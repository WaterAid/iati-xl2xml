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6.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ark\excel\iati-xl2xml\"/>
    </mc:Choice>
  </mc:AlternateContent>
  <bookViews>
    <workbookView xWindow="2730" yWindow="1545" windowWidth="16200" windowHeight="6435" tabRatio="680" firstSheet="2" activeTab="3"/>
  </bookViews>
  <sheets>
    <sheet name="Prerequisites" sheetId="31" r:id="rId1"/>
    <sheet name="iati-activities" sheetId="34" r:id="rId2"/>
    <sheet name="Activity Main Information" sheetId="10" r:id="rId3"/>
    <sheet name="Activity Dates" sheetId="30" r:id="rId4"/>
    <sheet name="Participating Organisations" sheetId="17" r:id="rId5"/>
    <sheet name="Transactions" sheetId="15" r:id="rId6"/>
    <sheet name="Related Activities" sheetId="27" r:id="rId7"/>
    <sheet name="Codelists" sheetId="28" r:id="rId8"/>
    <sheet name="WaterAid Shortcuts" sheetId="32" r:id="rId9"/>
  </sheets>
  <functionGroups builtInGroupCount="18"/>
  <definedNames>
    <definedName name="Default_Contact_Address">'Activity Main Information'!$G$12</definedName>
    <definedName name="Default_Contact_Email">'Activity Main Information'!$G$13</definedName>
    <definedName name="Default_Contact_Type">'Activity Main Information'!$G$11</definedName>
    <definedName name="Default_Contact_Website">'Activity Main Information'!$G$14</definedName>
    <definedName name="Default_Default_Aid_Type">'Activity Main Information'!$G$10</definedName>
    <definedName name="Default_Default_Currency">'Activity Main Information'!$C$10</definedName>
    <definedName name="Default_Default_Finance_Type">'Activity Main Information'!$G$9</definedName>
    <definedName name="Default_Default_Flow_Type">'Activity Main Information'!$G$8</definedName>
    <definedName name="Default_Default_Language_Code">'Activity Main Information'!$C$9</definedName>
    <definedName name="Default_Description_Type">'Activity Main Information'!$C$11</definedName>
    <definedName name="Default_Hierarchy">'Activity Main Information'!$C$8</definedName>
    <definedName name="Default_Recipient_Country">'Activity Main Information'!$C$12</definedName>
    <definedName name="Default_Sector_code">'Activity Main Information'!$C$14</definedName>
    <definedName name="Default_Sector_Percentage">'Activity Main Information'!$C$15</definedName>
    <definedName name="Default_Sector_Vocab">'Activity Main Information'!$C$13</definedName>
    <definedName name="info_Activity_File">Prerequisites!$C$10</definedName>
    <definedName name="info_end_range_publish">Prerequisites!$C$12</definedName>
    <definedName name="info_IATI_standard_version">Prerequisites!$G$12</definedName>
    <definedName name="info_last_file_update_time">Prerequisites!$G$11</definedName>
    <definedName name="info_last_update_time">Prerequisites!$C$14</definedName>
    <definedName name="info_publish_date">Prerequisites!$C$13</definedName>
    <definedName name="info_reporting_org_name">Prerequisites!$C$18</definedName>
    <definedName name="info_reporting_org_type">Prerequisites!$D$18</definedName>
    <definedName name="info_start_range_publish">Prerequisites!$C$11</definedName>
    <definedName name="List_Activity_Dates">Table_Activity_Dates[Activity Date Type]</definedName>
    <definedName name="List_Aid_Type">Table_Aid_Type[Aid Type]</definedName>
    <definedName name="List_Contact_Type_Code">Table_Contact_Type[Code]</definedName>
    <definedName name="List_Currency">Table_Currency[Code]</definedName>
    <definedName name="List_DAC_Sector">Table_DAC_Sector[DAC Sector]</definedName>
    <definedName name="List_Donor_Category">Table_Org_Type[Organisation Type]</definedName>
    <definedName name="List_Finance_Type">Table_Finance_Type[Finance Type]</definedName>
    <definedName name="List_Flow_Type">Table_Flow_Type[Flow Type]</definedName>
    <definedName name="List_In_File">Table_In_File[In this File]</definedName>
    <definedName name="List_Inter_Activity">Data_Inter_Activity[Activity]</definedName>
    <definedName name="List_Inter_Title">Data_Inter_Activity[Title]</definedName>
    <definedName name="List_Intra_Activity">Data_Main[iati-identifier]</definedName>
    <definedName name="List_Intra_Title">Data_Main[title]</definedName>
    <definedName name="List_Language_Code">Table_Language[Code]</definedName>
    <definedName name="List_Org">Data_Org[Partner]</definedName>
    <definedName name="List_Org_Ref">Data_Main[meta-iati-activity-ref]</definedName>
    <definedName name="List_Org_Role">Table_Org_Role[Organisation Role]</definedName>
    <definedName name="List_Org_Type">Table_Org_Type[Organisation Type]</definedName>
    <definedName name="List_Provider_Name">Data_Fund_Flows[provider-org]</definedName>
    <definedName name="List_Reciever_Name">Data_Fund_Flows[receiver-org]</definedName>
    <definedName name="List_Related">Table_related[Related Activity Type]</definedName>
    <definedName name="List_Sector_Vocab">Table_Sector_Vocab[Code]</definedName>
    <definedName name="List_Status">Table_Status[Activity Status]</definedName>
    <definedName name="List_Tied_Status">Table_Tied_Status[Tied Status]</definedName>
    <definedName name="List_Transaction_Type">Table_Transaction_Type[Transaction Type]</definedName>
    <definedName name="List_WA_CP">Table_WA_CPs[Code]</definedName>
    <definedName name="Name_Table_In_File">Table_In_File[]</definedName>
    <definedName name="Name_Table_Sector_Vocab">Table_Sector_Vocab[]</definedName>
    <definedName name="_xlnm.Print_Area" localSheetId="2">'Activity Main Information'!$B$2:$AK$21</definedName>
  </definedNames>
  <calcPr calcId="152511"/>
</workbook>
</file>

<file path=xl/calcChain.xml><?xml version="1.0" encoding="utf-8"?>
<calcChain xmlns="http://schemas.openxmlformats.org/spreadsheetml/2006/main">
  <c r="F35" i="30" l="1"/>
  <c r="F34" i="30"/>
  <c r="F33" i="30"/>
  <c r="F32" i="30"/>
  <c r="F31" i="30"/>
  <c r="F30" i="30"/>
  <c r="F29" i="30"/>
  <c r="F28" i="30"/>
  <c r="F27" i="30"/>
  <c r="F26" i="30"/>
  <c r="F25" i="30"/>
  <c r="F24" i="30"/>
  <c r="F23" i="30"/>
  <c r="F22" i="30"/>
  <c r="F21" i="30"/>
  <c r="H22" i="30"/>
  <c r="H23" i="30"/>
  <c r="H24" i="30"/>
  <c r="H25" i="30"/>
  <c r="H26" i="30"/>
  <c r="H27" i="30"/>
  <c r="H28" i="30"/>
  <c r="H29" i="30"/>
  <c r="H30" i="30"/>
  <c r="H31" i="30"/>
  <c r="H32" i="30"/>
  <c r="H33" i="30"/>
  <c r="H34" i="30"/>
  <c r="H35" i="30"/>
  <c r="M3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I22" i="15"/>
  <c r="D22" i="15" s="1"/>
  <c r="G22" i="15" s="1"/>
  <c r="I23" i="15"/>
  <c r="D23" i="15" s="1"/>
  <c r="G23" i="15" s="1"/>
  <c r="I24" i="15"/>
  <c r="D24" i="15" s="1"/>
  <c r="G24" i="15" s="1"/>
  <c r="I25" i="15"/>
  <c r="D25" i="15" s="1"/>
  <c r="G25" i="15" s="1"/>
  <c r="I26" i="15"/>
  <c r="D26" i="15" s="1"/>
  <c r="G26" i="15" s="1"/>
  <c r="I27" i="15"/>
  <c r="D27" i="15" s="1"/>
  <c r="G27" i="15" s="1"/>
  <c r="I28" i="15"/>
  <c r="D28" i="15" s="1"/>
  <c r="G28" i="15" s="1"/>
  <c r="I29" i="15"/>
  <c r="D29" i="15" s="1"/>
  <c r="G29" i="15" s="1"/>
  <c r="I30" i="15"/>
  <c r="D30" i="15" s="1"/>
  <c r="G30" i="15" s="1"/>
  <c r="I31" i="15"/>
  <c r="D31" i="15" s="1"/>
  <c r="G31" i="15" s="1"/>
  <c r="I32" i="15"/>
  <c r="D32" i="15" s="1"/>
  <c r="G32" i="15" s="1"/>
  <c r="I33" i="15"/>
  <c r="D33" i="15" s="1"/>
  <c r="G33" i="15" s="1"/>
  <c r="I34" i="15"/>
  <c r="D34" i="15" s="1"/>
  <c r="G34" i="15" s="1"/>
  <c r="I35" i="15"/>
  <c r="D35" i="15" s="1"/>
  <c r="G35" i="15" s="1"/>
  <c r="I36" i="15"/>
  <c r="D36" i="15" s="1"/>
  <c r="G36" i="15" s="1"/>
  <c r="I37" i="15"/>
  <c r="D37" i="15" s="1"/>
  <c r="G37" i="15" s="1"/>
  <c r="I38" i="15"/>
  <c r="D38" i="15" s="1"/>
  <c r="G38" i="15" s="1"/>
  <c r="I39" i="15"/>
  <c r="D39" i="15" s="1"/>
  <c r="G39" i="15" s="1"/>
  <c r="I40" i="15"/>
  <c r="D40" i="15" s="1"/>
  <c r="G40" i="15" s="1"/>
  <c r="I41" i="15"/>
  <c r="D41" i="15" s="1"/>
  <c r="G41" i="15" s="1"/>
  <c r="I42" i="15"/>
  <c r="D42" i="15" s="1"/>
  <c r="G42" i="15" s="1"/>
  <c r="I43" i="15"/>
  <c r="D43" i="15" s="1"/>
  <c r="G43" i="15" s="1"/>
  <c r="I44" i="15"/>
  <c r="D44" i="15" s="1"/>
  <c r="G44" i="15" s="1"/>
  <c r="I45" i="15"/>
  <c r="D45" i="15" s="1"/>
  <c r="G45" i="15" s="1"/>
  <c r="I46" i="15"/>
  <c r="D46" i="15" s="1"/>
  <c r="G46" i="15" s="1"/>
  <c r="I47" i="15"/>
  <c r="D47" i="15" s="1"/>
  <c r="G47" i="15" s="1"/>
  <c r="I48" i="15"/>
  <c r="D48" i="15" s="1"/>
  <c r="G48" i="15" s="1"/>
  <c r="I49" i="15"/>
  <c r="D49" i="15" s="1"/>
  <c r="G49" i="15" s="1"/>
  <c r="I50" i="15"/>
  <c r="D50" i="15" s="1"/>
  <c r="G50" i="15" s="1"/>
  <c r="I51" i="15"/>
  <c r="D51" i="15" s="1"/>
  <c r="G51" i="15" s="1"/>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R22" i="15"/>
  <c r="P22" i="15" s="1"/>
  <c r="Q22" i="15" s="1"/>
  <c r="R23" i="15"/>
  <c r="P23" i="15" s="1"/>
  <c r="Q23" i="15" s="1"/>
  <c r="R24" i="15"/>
  <c r="S24" i="15" s="1"/>
  <c r="R25" i="15"/>
  <c r="P25" i="15" s="1"/>
  <c r="Q25" i="15" s="1"/>
  <c r="R26" i="15"/>
  <c r="P26" i="15" s="1"/>
  <c r="Q26" i="15" s="1"/>
  <c r="R27" i="15"/>
  <c r="P27" i="15" s="1"/>
  <c r="Q27" i="15" s="1"/>
  <c r="R28" i="15"/>
  <c r="P28" i="15" s="1"/>
  <c r="Q28" i="15" s="1"/>
  <c r="R29" i="15"/>
  <c r="P29" i="15" s="1"/>
  <c r="Q29" i="15" s="1"/>
  <c r="R30" i="15"/>
  <c r="P30" i="15" s="1"/>
  <c r="Q30" i="15" s="1"/>
  <c r="R31" i="15"/>
  <c r="P31" i="15" s="1"/>
  <c r="Q31" i="15" s="1"/>
  <c r="R32" i="15"/>
  <c r="S32" i="15" s="1"/>
  <c r="R33" i="15"/>
  <c r="P33" i="15" s="1"/>
  <c r="Q33" i="15" s="1"/>
  <c r="R34" i="15"/>
  <c r="P34" i="15" s="1"/>
  <c r="Q34" i="15" s="1"/>
  <c r="R35" i="15"/>
  <c r="P35" i="15" s="1"/>
  <c r="Q35" i="15" s="1"/>
  <c r="R36" i="15"/>
  <c r="S36" i="15" s="1"/>
  <c r="R37" i="15"/>
  <c r="P37" i="15" s="1"/>
  <c r="Q37" i="15" s="1"/>
  <c r="R38" i="15"/>
  <c r="P38" i="15" s="1"/>
  <c r="Q38" i="15" s="1"/>
  <c r="R39" i="15"/>
  <c r="P39" i="15" s="1"/>
  <c r="Q39" i="15" s="1"/>
  <c r="R40" i="15"/>
  <c r="P40" i="15" s="1"/>
  <c r="Q40" i="15" s="1"/>
  <c r="R41" i="15"/>
  <c r="P41" i="15" s="1"/>
  <c r="Q41" i="15" s="1"/>
  <c r="R42" i="15"/>
  <c r="P42" i="15" s="1"/>
  <c r="Q42" i="15" s="1"/>
  <c r="R43" i="15"/>
  <c r="P43" i="15" s="1"/>
  <c r="Q43" i="15" s="1"/>
  <c r="R44" i="15"/>
  <c r="S44" i="15" s="1"/>
  <c r="R45" i="15"/>
  <c r="P45" i="15" s="1"/>
  <c r="Q45" i="15" s="1"/>
  <c r="R46" i="15"/>
  <c r="P46" i="15" s="1"/>
  <c r="Q46" i="15" s="1"/>
  <c r="R47" i="15"/>
  <c r="P47" i="15" s="1"/>
  <c r="Q47" i="15" s="1"/>
  <c r="R48" i="15"/>
  <c r="S48" i="15" s="1"/>
  <c r="R49" i="15"/>
  <c r="P49" i="15" s="1"/>
  <c r="Q49" i="15" s="1"/>
  <c r="R50" i="15"/>
  <c r="P50" i="15" s="1"/>
  <c r="Q50" i="15" s="1"/>
  <c r="R51" i="15"/>
  <c r="P51" i="15" s="1"/>
  <c r="Q51" i="15" s="1"/>
  <c r="U22" i="15"/>
  <c r="V22" i="15" s="1"/>
  <c r="U23" i="15"/>
  <c r="V23" i="15" s="1"/>
  <c r="U24" i="15"/>
  <c r="W24" i="15" s="1"/>
  <c r="U25" i="15"/>
  <c r="W25" i="15" s="1"/>
  <c r="U26" i="15"/>
  <c r="V26" i="15" s="1"/>
  <c r="U27" i="15"/>
  <c r="V27" i="15" s="1"/>
  <c r="U28" i="15"/>
  <c r="V28" i="15" s="1"/>
  <c r="U29" i="15"/>
  <c r="V29" i="15" s="1"/>
  <c r="U30" i="15"/>
  <c r="V30" i="15" s="1"/>
  <c r="U31" i="15"/>
  <c r="V31" i="15" s="1"/>
  <c r="U32" i="15"/>
  <c r="V32" i="15" s="1"/>
  <c r="U33" i="15"/>
  <c r="V33" i="15" s="1"/>
  <c r="U34" i="15"/>
  <c r="V34" i="15" s="1"/>
  <c r="U35" i="15"/>
  <c r="V35" i="15" s="1"/>
  <c r="U36" i="15"/>
  <c r="V36" i="15" s="1"/>
  <c r="U37" i="15"/>
  <c r="V37" i="15" s="1"/>
  <c r="U38" i="15"/>
  <c r="V38" i="15" s="1"/>
  <c r="U39" i="15"/>
  <c r="V39" i="15" s="1"/>
  <c r="U40" i="15"/>
  <c r="W40" i="15" s="1"/>
  <c r="U41" i="15"/>
  <c r="V41" i="15" s="1"/>
  <c r="U42" i="15"/>
  <c r="V42" i="15" s="1"/>
  <c r="U43" i="15"/>
  <c r="V43" i="15" s="1"/>
  <c r="U44" i="15"/>
  <c r="V44" i="15" s="1"/>
  <c r="U45" i="15"/>
  <c r="V45" i="15" s="1"/>
  <c r="U46" i="15"/>
  <c r="V46" i="15" s="1"/>
  <c r="U47" i="15"/>
  <c r="V47" i="15" s="1"/>
  <c r="U48" i="15"/>
  <c r="V48" i="15" s="1"/>
  <c r="U49" i="15"/>
  <c r="W49" i="15" s="1"/>
  <c r="U50" i="15"/>
  <c r="V50" i="15" s="1"/>
  <c r="U51" i="15"/>
  <c r="V51" i="15" s="1"/>
  <c r="V24" i="15"/>
  <c r="V25" i="15"/>
  <c r="W22" i="15"/>
  <c r="W41" i="15"/>
  <c r="I29" i="27"/>
  <c r="I38" i="27"/>
  <c r="I47" i="27"/>
  <c r="I56" i="27"/>
  <c r="I65" i="27"/>
  <c r="I74" i="27"/>
  <c r="I83" i="27"/>
  <c r="I92" i="27"/>
  <c r="I28" i="27"/>
  <c r="I37" i="27"/>
  <c r="I46" i="27"/>
  <c r="I55" i="27"/>
  <c r="I64" i="27"/>
  <c r="I73" i="27"/>
  <c r="I82" i="27"/>
  <c r="I91" i="27"/>
  <c r="I27" i="27"/>
  <c r="I36" i="27"/>
  <c r="I45" i="27"/>
  <c r="I54" i="27"/>
  <c r="I63" i="27"/>
  <c r="I72" i="27"/>
  <c r="I81" i="27"/>
  <c r="I90" i="27"/>
  <c r="I26" i="27"/>
  <c r="I35" i="27"/>
  <c r="I44" i="27"/>
  <c r="I53" i="27"/>
  <c r="I62" i="27"/>
  <c r="I71" i="27"/>
  <c r="I80" i="27"/>
  <c r="I89" i="27"/>
  <c r="I25" i="27"/>
  <c r="I34" i="27"/>
  <c r="I43" i="27"/>
  <c r="I52" i="27"/>
  <c r="I61" i="27"/>
  <c r="I70" i="27"/>
  <c r="I79" i="27"/>
  <c r="I88" i="27"/>
  <c r="I24" i="27"/>
  <c r="I33" i="27"/>
  <c r="I42" i="27"/>
  <c r="I51" i="27"/>
  <c r="I60" i="27"/>
  <c r="I69" i="27"/>
  <c r="I78" i="27"/>
  <c r="I87" i="27"/>
  <c r="I23" i="27"/>
  <c r="I32" i="27"/>
  <c r="I41" i="27"/>
  <c r="I50" i="27"/>
  <c r="I59" i="27"/>
  <c r="I68" i="27"/>
  <c r="I77" i="27"/>
  <c r="I86" i="27"/>
  <c r="I22" i="27"/>
  <c r="I31" i="27"/>
  <c r="I40" i="27"/>
  <c r="I49" i="27"/>
  <c r="I58" i="27"/>
  <c r="I67" i="27"/>
  <c r="I76" i="27"/>
  <c r="I85" i="27"/>
  <c r="I30" i="27"/>
  <c r="I39" i="27"/>
  <c r="I48" i="27"/>
  <c r="I57" i="27"/>
  <c r="I66" i="27"/>
  <c r="I75" i="27"/>
  <c r="I84" i="27"/>
  <c r="G22" i="17"/>
  <c r="G23" i="17"/>
  <c r="G24" i="17"/>
  <c r="G25" i="17"/>
  <c r="G26" i="17"/>
  <c r="G27" i="17"/>
  <c r="G28" i="17"/>
  <c r="G29" i="17"/>
  <c r="G30" i="17"/>
  <c r="G31" i="17"/>
  <c r="G32" i="17"/>
  <c r="G35" i="17"/>
  <c r="G36" i="17"/>
  <c r="G39" i="17"/>
  <c r="G42" i="17"/>
  <c r="G43" i="17"/>
  <c r="G44" i="17"/>
  <c r="G45" i="17"/>
  <c r="G46" i="17"/>
  <c r="G47" i="17"/>
  <c r="G48" i="17"/>
  <c r="G49" i="17"/>
  <c r="G50" i="17"/>
  <c r="G53" i="17"/>
  <c r="G54" i="17"/>
  <c r="G55" i="17"/>
  <c r="G56" i="17"/>
  <c r="G59" i="17"/>
  <c r="G62" i="17"/>
  <c r="G63" i="17"/>
  <c r="G66" i="17"/>
  <c r="H22" i="17"/>
  <c r="H23" i="17"/>
  <c r="H24" i="17"/>
  <c r="H25" i="17"/>
  <c r="H26" i="17"/>
  <c r="H27" i="17"/>
  <c r="H28" i="17"/>
  <c r="H29" i="17"/>
  <c r="H30" i="17"/>
  <c r="H31" i="17"/>
  <c r="H32" i="17"/>
  <c r="H35" i="17"/>
  <c r="H36" i="17"/>
  <c r="H39" i="17"/>
  <c r="H42" i="17"/>
  <c r="H43" i="17"/>
  <c r="H44" i="17"/>
  <c r="H45" i="17"/>
  <c r="H46" i="17"/>
  <c r="H47" i="17"/>
  <c r="H48" i="17"/>
  <c r="H49" i="17"/>
  <c r="H50" i="17"/>
  <c r="H53" i="17"/>
  <c r="H54" i="17"/>
  <c r="H55" i="17"/>
  <c r="H56" i="17"/>
  <c r="H59" i="17"/>
  <c r="H62" i="17"/>
  <c r="H63" i="17"/>
  <c r="H66" i="17"/>
  <c r="G34" i="17"/>
  <c r="G38" i="17"/>
  <c r="G41" i="17"/>
  <c r="G52" i="17"/>
  <c r="G58" i="17"/>
  <c r="G61" i="17"/>
  <c r="G65" i="17"/>
  <c r="H34" i="17"/>
  <c r="H38" i="17"/>
  <c r="H41" i="17"/>
  <c r="H52" i="17"/>
  <c r="H58" i="17"/>
  <c r="H61" i="17"/>
  <c r="H65" i="17"/>
  <c r="G33" i="17"/>
  <c r="G37" i="17"/>
  <c r="G40" i="17"/>
  <c r="G51" i="17"/>
  <c r="G57" i="17"/>
  <c r="G60" i="17"/>
  <c r="G64" i="17"/>
  <c r="H33" i="17"/>
  <c r="H37" i="17"/>
  <c r="H40" i="17"/>
  <c r="H51" i="17"/>
  <c r="H57" i="17"/>
  <c r="H60" i="17"/>
  <c r="H64" i="17"/>
  <c r="AF28" i="10"/>
  <c r="AF27" i="10"/>
  <c r="AF26" i="10"/>
  <c r="AF25" i="10"/>
  <c r="AF24" i="10"/>
  <c r="AF23" i="10"/>
  <c r="AF22" i="10"/>
  <c r="E22" i="10"/>
  <c r="E23" i="10"/>
  <c r="E24" i="10"/>
  <c r="E25" i="10"/>
  <c r="E26" i="10"/>
  <c r="E27" i="10"/>
  <c r="E28" i="10"/>
  <c r="F22" i="10"/>
  <c r="F23" i="10"/>
  <c r="F24" i="10"/>
  <c r="F25" i="10"/>
  <c r="F26" i="10"/>
  <c r="F27" i="10"/>
  <c r="F28" i="10"/>
  <c r="G22" i="10"/>
  <c r="G23" i="10"/>
  <c r="G24" i="10"/>
  <c r="G25" i="10"/>
  <c r="G26" i="10"/>
  <c r="G27" i="10"/>
  <c r="G28" i="10"/>
  <c r="H22" i="10"/>
  <c r="H23" i="10"/>
  <c r="H24" i="10"/>
  <c r="H25" i="10"/>
  <c r="H26" i="10"/>
  <c r="H27" i="10"/>
  <c r="H28" i="10"/>
  <c r="I22" i="10"/>
  <c r="I23" i="10"/>
  <c r="I24" i="10"/>
  <c r="I25" i="10"/>
  <c r="I26" i="10"/>
  <c r="I27" i="10"/>
  <c r="I28" i="10"/>
  <c r="L22" i="10"/>
  <c r="L23" i="10"/>
  <c r="L24" i="10"/>
  <c r="L25" i="10"/>
  <c r="L26" i="10"/>
  <c r="L27" i="10"/>
  <c r="L28" i="10"/>
  <c r="M22" i="10"/>
  <c r="N22" i="10" s="1"/>
  <c r="M23" i="10"/>
  <c r="N23" i="10" s="1"/>
  <c r="M24" i="10"/>
  <c r="N24" i="10" s="1"/>
  <c r="M25" i="10"/>
  <c r="N25" i="10" s="1"/>
  <c r="M26" i="10"/>
  <c r="N26" i="10" s="1"/>
  <c r="M27" i="10"/>
  <c r="N27" i="10" s="1"/>
  <c r="M28" i="10"/>
  <c r="N28" i="10" s="1"/>
  <c r="O22" i="10"/>
  <c r="O23" i="10"/>
  <c r="O24" i="10"/>
  <c r="O25" i="10"/>
  <c r="O26" i="10"/>
  <c r="O27" i="10"/>
  <c r="O28" i="10"/>
  <c r="T22" i="10"/>
  <c r="V22" i="10" s="1"/>
  <c r="T23" i="10"/>
  <c r="V23" i="10" s="1"/>
  <c r="T24" i="10"/>
  <c r="V24" i="10" s="1"/>
  <c r="T25" i="10"/>
  <c r="V25" i="10" s="1"/>
  <c r="T26" i="10"/>
  <c r="V26" i="10" s="1"/>
  <c r="T27" i="10"/>
  <c r="V27" i="10" s="1"/>
  <c r="T28" i="10"/>
  <c r="V28" i="10" s="1"/>
  <c r="W22" i="10"/>
  <c r="W23" i="10"/>
  <c r="W24" i="10"/>
  <c r="W25" i="10"/>
  <c r="W26" i="10"/>
  <c r="W27" i="10"/>
  <c r="W28" i="10"/>
  <c r="Y22" i="10"/>
  <c r="Z22" i="10" s="1"/>
  <c r="Y23" i="10"/>
  <c r="Z23" i="10" s="1"/>
  <c r="Y24" i="10"/>
  <c r="Z24" i="10" s="1"/>
  <c r="Y25" i="10"/>
  <c r="Z25" i="10" s="1"/>
  <c r="Y26" i="10"/>
  <c r="Z26" i="10" s="1"/>
  <c r="Y27" i="10"/>
  <c r="Z27" i="10" s="1"/>
  <c r="Y28" i="10"/>
  <c r="Z28" i="10" s="1"/>
  <c r="AA22" i="10"/>
  <c r="AB22" i="10" s="1"/>
  <c r="AA23" i="10"/>
  <c r="AB23" i="10" s="1"/>
  <c r="AA24" i="10"/>
  <c r="AB24" i="10" s="1"/>
  <c r="AA25" i="10"/>
  <c r="AB25" i="10" s="1"/>
  <c r="AA26" i="10"/>
  <c r="AB26" i="10" s="1"/>
  <c r="AA27" i="10"/>
  <c r="AB27" i="10" s="1"/>
  <c r="AA28" i="10"/>
  <c r="AB28" i="10" s="1"/>
  <c r="AC22" i="10"/>
  <c r="AD22" i="10" s="1"/>
  <c r="AC23" i="10"/>
  <c r="AD23" i="10" s="1"/>
  <c r="AC24" i="10"/>
  <c r="AD24" i="10" s="1"/>
  <c r="AC25" i="10"/>
  <c r="AD25" i="10" s="1"/>
  <c r="AC26" i="10"/>
  <c r="AD26" i="10" s="1"/>
  <c r="AC27" i="10"/>
  <c r="AD27" i="10" s="1"/>
  <c r="AC28" i="10"/>
  <c r="AD28" i="10" s="1"/>
  <c r="AG22" i="10"/>
  <c r="AG23" i="10"/>
  <c r="AG24" i="10"/>
  <c r="AG25" i="10"/>
  <c r="AG26" i="10"/>
  <c r="AG27" i="10"/>
  <c r="AG28" i="10"/>
  <c r="AH22" i="10"/>
  <c r="AH23" i="10"/>
  <c r="AH24" i="10"/>
  <c r="AH25" i="10"/>
  <c r="AH26" i="10"/>
  <c r="AH27" i="10"/>
  <c r="AH28" i="10"/>
  <c r="AI22" i="10"/>
  <c r="AI23" i="10"/>
  <c r="AI24" i="10"/>
  <c r="AI25" i="10"/>
  <c r="AI26" i="10"/>
  <c r="AI27" i="10"/>
  <c r="AI28" i="10"/>
  <c r="AJ22" i="10"/>
  <c r="AJ23" i="10"/>
  <c r="AJ24" i="10"/>
  <c r="AJ25" i="10"/>
  <c r="AJ26" i="10"/>
  <c r="AJ27" i="10"/>
  <c r="AJ28" i="10"/>
  <c r="AK22" i="10"/>
  <c r="AK23" i="10"/>
  <c r="AK24" i="10"/>
  <c r="AK25" i="10"/>
  <c r="AK26" i="10"/>
  <c r="AK27" i="10"/>
  <c r="AK28" i="10"/>
  <c r="E21" i="15"/>
  <c r="N21" i="15"/>
  <c r="AK21" i="10"/>
  <c r="AJ21" i="10"/>
  <c r="AI21" i="10"/>
  <c r="AG21" i="10"/>
  <c r="AC21" i="10"/>
  <c r="AA21" i="10"/>
  <c r="Y21" i="10"/>
  <c r="W21" i="10"/>
  <c r="T21" i="10"/>
  <c r="L21" i="10"/>
  <c r="G21" i="10"/>
  <c r="F21" i="10"/>
  <c r="E21" i="10"/>
  <c r="M21" i="10"/>
  <c r="C12" i="10"/>
  <c r="R21" i="10" s="1"/>
  <c r="T39" i="15" l="1"/>
  <c r="T47" i="15"/>
  <c r="S31" i="15"/>
  <c r="C21" i="30"/>
  <c r="E21" i="30"/>
  <c r="H21" i="30" s="1"/>
  <c r="T23" i="15"/>
  <c r="C21" i="27"/>
  <c r="S43" i="15"/>
  <c r="W46" i="15"/>
  <c r="T34" i="15"/>
  <c r="V49" i="15"/>
  <c r="S26" i="15"/>
  <c r="C22" i="27"/>
  <c r="C23" i="27"/>
  <c r="C24" i="27"/>
  <c r="C25" i="27"/>
  <c r="C26" i="27"/>
  <c r="C27" i="27"/>
  <c r="C28" i="27"/>
  <c r="C29" i="27"/>
  <c r="S50" i="15"/>
  <c r="W30" i="15"/>
  <c r="T51" i="15"/>
  <c r="T27" i="15"/>
  <c r="S35" i="15"/>
  <c r="V40" i="15"/>
  <c r="W37" i="15"/>
  <c r="W38" i="15"/>
  <c r="W29" i="15"/>
  <c r="T50" i="15"/>
  <c r="T35" i="15"/>
  <c r="T26" i="15"/>
  <c r="S47" i="15"/>
  <c r="S34" i="15"/>
  <c r="S23" i="15"/>
  <c r="W45" i="15"/>
  <c r="W33" i="15"/>
  <c r="T43" i="15"/>
  <c r="T31" i="15"/>
  <c r="S51" i="15"/>
  <c r="S39" i="15"/>
  <c r="S27" i="15"/>
  <c r="W50" i="15"/>
  <c r="W42" i="15"/>
  <c r="W34" i="15"/>
  <c r="W26" i="15"/>
  <c r="T42" i="15"/>
  <c r="S42" i="15"/>
  <c r="W48" i="15"/>
  <c r="W44" i="15"/>
  <c r="W36" i="15"/>
  <c r="W32" i="15"/>
  <c r="W28" i="15"/>
  <c r="T46" i="15"/>
  <c r="T38" i="15"/>
  <c r="T30" i="15"/>
  <c r="T22" i="15"/>
  <c r="S46" i="15"/>
  <c r="S38" i="15"/>
  <c r="S30" i="15"/>
  <c r="S22" i="15"/>
  <c r="W51" i="15"/>
  <c r="W47" i="15"/>
  <c r="W43" i="15"/>
  <c r="W39" i="15"/>
  <c r="W35" i="15"/>
  <c r="W31" i="15"/>
  <c r="W27" i="15"/>
  <c r="W23" i="15"/>
  <c r="T48" i="15"/>
  <c r="T44" i="15"/>
  <c r="T40" i="15"/>
  <c r="T36" i="15"/>
  <c r="T32" i="15"/>
  <c r="T28" i="15"/>
  <c r="T24" i="15"/>
  <c r="T49" i="15"/>
  <c r="T45" i="15"/>
  <c r="T41" i="15"/>
  <c r="T37" i="15"/>
  <c r="T33" i="15"/>
  <c r="T29" i="15"/>
  <c r="T25" i="15"/>
  <c r="P48" i="15"/>
  <c r="Q48" i="15" s="1"/>
  <c r="P44" i="15"/>
  <c r="Q44" i="15" s="1"/>
  <c r="P36" i="15"/>
  <c r="Q36" i="15" s="1"/>
  <c r="P32" i="15"/>
  <c r="Q32" i="15" s="1"/>
  <c r="P24" i="15"/>
  <c r="Q24" i="15" s="1"/>
  <c r="S40" i="15"/>
  <c r="S28" i="15"/>
  <c r="S49" i="15"/>
  <c r="S45" i="15"/>
  <c r="S41" i="15"/>
  <c r="S37" i="15"/>
  <c r="S33" i="15"/>
  <c r="S29" i="15"/>
  <c r="S25" i="15"/>
  <c r="R26" i="10"/>
  <c r="R22" i="10"/>
  <c r="R28" i="10"/>
  <c r="R24" i="10"/>
  <c r="R25" i="10"/>
  <c r="R27" i="10"/>
  <c r="S27" i="10" s="1"/>
  <c r="R23" i="10"/>
  <c r="S23" i="10" s="1"/>
  <c r="C21" i="17"/>
  <c r="J21" i="10"/>
  <c r="C21" i="10"/>
  <c r="D22" i="30" l="1"/>
  <c r="D23" i="30"/>
  <c r="D24" i="30"/>
  <c r="D25" i="30"/>
  <c r="D26" i="30"/>
  <c r="D27" i="30"/>
  <c r="D28" i="30"/>
  <c r="D29" i="30"/>
  <c r="D30" i="30"/>
  <c r="D31" i="30"/>
  <c r="D32" i="30"/>
  <c r="D33" i="30"/>
  <c r="D34" i="30"/>
  <c r="D35" i="30"/>
  <c r="D21" i="30"/>
  <c r="D21" i="17" a="1"/>
  <c r="D21" i="17" s="1"/>
  <c r="X23" i="10"/>
  <c r="S25" i="10"/>
  <c r="X25" i="10"/>
  <c r="S26" i="10"/>
  <c r="X26" i="10"/>
  <c r="X28" i="10"/>
  <c r="S28" i="10"/>
  <c r="S22" i="10"/>
  <c r="X22" i="10"/>
  <c r="D25" i="17" a="1"/>
  <c r="D25" i="17" s="1"/>
  <c r="D29" i="17" a="1"/>
  <c r="D29" i="17" s="1"/>
  <c r="D35" i="17" a="1"/>
  <c r="D35" i="17" s="1"/>
  <c r="D43" i="17" a="1"/>
  <c r="D43" i="17" s="1"/>
  <c r="D47" i="17" a="1"/>
  <c r="D47" i="17" s="1"/>
  <c r="D53" i="17" a="1"/>
  <c r="D53" i="17" s="1"/>
  <c r="D59" i="17" a="1"/>
  <c r="D59" i="17" s="1"/>
  <c r="D52" i="17" a="1"/>
  <c r="D52" i="17" s="1"/>
  <c r="D40" i="17" a="1"/>
  <c r="D40" i="17" s="1"/>
  <c r="D64" i="17" a="1"/>
  <c r="D64" i="17" s="1"/>
  <c r="D39" i="17" a="1"/>
  <c r="D39" i="17" s="1"/>
  <c r="D55" i="17" a="1"/>
  <c r="D55" i="17" s="1"/>
  <c r="D38" i="17" a="1"/>
  <c r="D38" i="17" s="1"/>
  <c r="D33" i="17" a="1"/>
  <c r="D33" i="17" s="1"/>
  <c r="D22" i="17" a="1"/>
  <c r="D22" i="17" s="1"/>
  <c r="D30" i="17" a="1"/>
  <c r="D30" i="17" s="1"/>
  <c r="D44" i="17" a="1"/>
  <c r="D44" i="17" s="1"/>
  <c r="D54" i="17" a="1"/>
  <c r="D54" i="17" s="1"/>
  <c r="D34" i="17" a="1"/>
  <c r="D34" i="17" s="1"/>
  <c r="D24" i="17" a="1"/>
  <c r="D24" i="17" s="1"/>
  <c r="D28" i="17" a="1"/>
  <c r="D28" i="17" s="1"/>
  <c r="D32" i="17" a="1"/>
  <c r="D32" i="17" s="1"/>
  <c r="D42" i="17" a="1"/>
  <c r="D42" i="17" s="1"/>
  <c r="D46" i="17" a="1"/>
  <c r="D46" i="17" s="1"/>
  <c r="D50" i="17" a="1"/>
  <c r="D50" i="17" s="1"/>
  <c r="D56" i="17" a="1"/>
  <c r="D56" i="17" s="1"/>
  <c r="D66" i="17" a="1"/>
  <c r="D66" i="17" s="1"/>
  <c r="D41" i="17" a="1"/>
  <c r="D41" i="17" s="1"/>
  <c r="D65" i="17" a="1"/>
  <c r="D65" i="17" s="1"/>
  <c r="D37" i="17" a="1"/>
  <c r="D37" i="17" s="1"/>
  <c r="D60" i="17" a="1"/>
  <c r="D60" i="17" s="1"/>
  <c r="D23" i="17" a="1"/>
  <c r="D23" i="17" s="1"/>
  <c r="D27" i="17" a="1"/>
  <c r="D27" i="17" s="1"/>
  <c r="D31" i="17" a="1"/>
  <c r="D31" i="17" s="1"/>
  <c r="D45" i="17" a="1"/>
  <c r="D45" i="17" s="1"/>
  <c r="D49" i="17" a="1"/>
  <c r="D49" i="17" s="1"/>
  <c r="D63" i="17" a="1"/>
  <c r="D63" i="17" s="1"/>
  <c r="D61" i="17" a="1"/>
  <c r="D61" i="17" s="1"/>
  <c r="D57" i="17" a="1"/>
  <c r="D57" i="17" s="1"/>
  <c r="D26" i="17" a="1"/>
  <c r="D26" i="17" s="1"/>
  <c r="D36" i="17" a="1"/>
  <c r="D36" i="17" s="1"/>
  <c r="D48" i="17" a="1"/>
  <c r="D48" i="17" s="1"/>
  <c r="D62" i="17" a="1"/>
  <c r="D62" i="17" s="1"/>
  <c r="D58" i="17" a="1"/>
  <c r="D58" i="17" s="1"/>
  <c r="D51" i="17" a="1"/>
  <c r="D51" i="17" s="1"/>
  <c r="X24" i="10"/>
  <c r="S24" i="10"/>
  <c r="X27" i="10"/>
  <c r="G10" i="31"/>
  <c r="D21" i="34" l="1"/>
  <c r="C21" i="34"/>
  <c r="I18" i="31"/>
  <c r="I21" i="27" l="1"/>
  <c r="G21" i="17"/>
  <c r="H21" i="17"/>
  <c r="I21" i="10"/>
  <c r="H21" i="10"/>
  <c r="N21" i="10"/>
  <c r="O21" i="10"/>
  <c r="X21" i="10"/>
  <c r="V21" i="10"/>
  <c r="Z21" i="10"/>
  <c r="AB21" i="10"/>
  <c r="AD21" i="10"/>
  <c r="AF21" i="10"/>
  <c r="AH21" i="10"/>
  <c r="G42" i="27"/>
  <c r="G90" i="27"/>
  <c r="G85" i="27"/>
  <c r="G27" i="27"/>
  <c r="G56" i="27"/>
  <c r="G51" i="27"/>
  <c r="G38" i="27"/>
  <c r="G73" i="27"/>
  <c r="G28" i="27"/>
  <c r="G59" i="27"/>
  <c r="G53" i="27"/>
  <c r="G70" i="27"/>
  <c r="G61" i="27"/>
  <c r="G60" i="27"/>
  <c r="G64" i="27"/>
  <c r="G92" i="27"/>
  <c r="G40" i="27"/>
  <c r="G23" i="27"/>
  <c r="G32" i="27"/>
  <c r="G35" i="27"/>
  <c r="G47" i="27"/>
  <c r="G71" i="27"/>
  <c r="G24" i="27"/>
  <c r="G78" i="27"/>
  <c r="G91" i="27"/>
  <c r="G63" i="27"/>
  <c r="G80" i="27"/>
  <c r="G72" i="27"/>
  <c r="G41" i="27"/>
  <c r="G69" i="27"/>
  <c r="G76" i="27"/>
  <c r="G54" i="27"/>
  <c r="G44" i="27"/>
  <c r="G89" i="27"/>
  <c r="G50" i="27"/>
  <c r="G83" i="27"/>
  <c r="G58" i="27"/>
  <c r="G68" i="27"/>
  <c r="G22" i="27"/>
  <c r="G43" i="27"/>
  <c r="G77" i="27"/>
  <c r="G26" i="27"/>
  <c r="G62" i="27"/>
  <c r="G86" i="27"/>
  <c r="G46" i="27"/>
  <c r="G37" i="27"/>
  <c r="G88" i="27"/>
  <c r="G33" i="27"/>
  <c r="G25" i="27"/>
  <c r="G55" i="27"/>
  <c r="G79" i="27"/>
  <c r="G87" i="27"/>
  <c r="G45" i="27"/>
  <c r="G67" i="27"/>
  <c r="G31" i="27"/>
  <c r="G29" i="27"/>
  <c r="G49" i="27"/>
  <c r="G34" i="27"/>
  <c r="G65" i="27"/>
  <c r="G74" i="27"/>
  <c r="G82" i="27"/>
  <c r="G81" i="27"/>
  <c r="G36" i="27"/>
  <c r="G52" i="27"/>
  <c r="S21" i="10" l="1"/>
  <c r="U21" i="15"/>
  <c r="V21" i="15" s="1"/>
  <c r="W21" i="15" l="1"/>
  <c r="R21" i="15"/>
  <c r="P21" i="15" s="1"/>
  <c r="I21" i="15"/>
  <c r="D21" i="15" s="1"/>
  <c r="G21" i="15" s="1"/>
  <c r="J21" i="15"/>
  <c r="T21" i="15" l="1"/>
  <c r="J18" i="31"/>
  <c r="S21" i="15"/>
  <c r="G14" i="30"/>
  <c r="K21" i="15"/>
  <c r="G21" i="27"/>
  <c r="G57" i="27"/>
  <c r="G75" i="27"/>
  <c r="G39" i="27"/>
  <c r="G84" i="27"/>
  <c r="G48" i="27"/>
  <c r="G30" i="27"/>
  <c r="G66" i="27"/>
  <c r="O21" i="15" l="1"/>
  <c r="Q21" i="15"/>
  <c r="P21" i="10" l="1" a="1"/>
  <c r="P21" i="10" s="1"/>
  <c r="Q21" i="10" s="1"/>
  <c r="P24" i="10" a="1"/>
  <c r="P24" i="10" s="1"/>
  <c r="Q24" i="10" s="1"/>
  <c r="P22" i="10" a="1"/>
  <c r="P22" i="10" s="1"/>
  <c r="Q22" i="10" s="1"/>
  <c r="P27" i="10" a="1"/>
  <c r="P27" i="10" s="1"/>
  <c r="Q27" i="10" s="1"/>
  <c r="P26" i="10" a="1"/>
  <c r="P26" i="10" s="1"/>
  <c r="Q26" i="10" s="1"/>
  <c r="P28" i="10" a="1"/>
  <c r="P28" i="10" s="1"/>
  <c r="Q28" i="10" s="1"/>
  <c r="P25" i="10" a="1"/>
  <c r="P25" i="10" s="1"/>
  <c r="Q25" i="10" s="1"/>
  <c r="P23" i="10" a="1"/>
  <c r="P23" i="10" s="1"/>
  <c r="Q23" i="10" s="1"/>
  <c r="J21" i="27"/>
  <c r="D21" i="27"/>
  <c r="J22" i="27"/>
  <c r="D22" i="27"/>
  <c r="J23" i="27"/>
  <c r="D23" i="27"/>
  <c r="J24" i="27"/>
  <c r="D24" i="27"/>
  <c r="D25" i="27"/>
  <c r="J25" i="27"/>
  <c r="D26" i="27"/>
  <c r="J26" i="27"/>
  <c r="D27" i="27"/>
  <c r="J27" i="27"/>
  <c r="J28" i="27"/>
  <c r="D28" i="27"/>
  <c r="D29" i="27"/>
  <c r="J29" i="27"/>
  <c r="D30" i="27"/>
  <c r="J30" i="27"/>
  <c r="J31" i="27"/>
  <c r="D31" i="27"/>
  <c r="J32" i="27"/>
  <c r="D32" i="27"/>
  <c r="D33" i="27"/>
  <c r="J33" i="27"/>
  <c r="J34" i="27"/>
  <c r="D34" i="27"/>
  <c r="D35" i="27"/>
  <c r="J35" i="27"/>
  <c r="J36" i="27"/>
  <c r="D36" i="27"/>
  <c r="J37" i="27"/>
  <c r="D37" i="27"/>
  <c r="D38" i="27"/>
  <c r="J38" i="27"/>
  <c r="J39" i="27"/>
  <c r="D39" i="27"/>
  <c r="J40" i="27"/>
  <c r="D40" i="27"/>
  <c r="J41" i="27"/>
  <c r="D41" i="27"/>
  <c r="J42" i="27"/>
  <c r="D42" i="27"/>
  <c r="J43" i="27"/>
  <c r="D43" i="27"/>
  <c r="J44" i="27"/>
  <c r="D44" i="27"/>
  <c r="J45" i="27"/>
  <c r="D45" i="27"/>
  <c r="J46" i="27"/>
  <c r="D46" i="27"/>
  <c r="D47" i="27"/>
  <c r="J47" i="27"/>
  <c r="D48" i="27"/>
  <c r="J48" i="27"/>
  <c r="D49" i="27"/>
  <c r="J49" i="27"/>
  <c r="D50" i="27"/>
  <c r="J50" i="27"/>
  <c r="D51" i="27"/>
  <c r="J51" i="27"/>
  <c r="J52" i="27"/>
  <c r="D52" i="27"/>
  <c r="J53" i="27"/>
  <c r="D53" i="27"/>
  <c r="D54" i="27"/>
  <c r="J54" i="27"/>
  <c r="D55" i="27"/>
  <c r="J55" i="27"/>
  <c r="J56" i="27"/>
  <c r="D56" i="27"/>
  <c r="D57" i="27"/>
  <c r="J57" i="27"/>
  <c r="J58" i="27"/>
  <c r="D58" i="27"/>
  <c r="J59" i="27"/>
  <c r="D59" i="27"/>
  <c r="J60" i="27"/>
  <c r="D60" i="27"/>
  <c r="J61" i="27"/>
  <c r="D61" i="27"/>
  <c r="J62" i="27"/>
  <c r="D62" i="27"/>
  <c r="J63" i="27"/>
  <c r="D63" i="27"/>
  <c r="D64" i="27"/>
  <c r="J64" i="27"/>
  <c r="J65" i="27"/>
  <c r="D65" i="27"/>
  <c r="J66" i="27"/>
  <c r="D66" i="27"/>
  <c r="D67" i="27"/>
  <c r="J67" i="27"/>
  <c r="D68" i="27"/>
  <c r="J68" i="27"/>
  <c r="J69" i="27"/>
  <c r="D69" i="27"/>
  <c r="J70" i="27"/>
  <c r="D70" i="27"/>
  <c r="J71" i="27"/>
  <c r="D71" i="27"/>
  <c r="D72" i="27"/>
  <c r="J72" i="27"/>
  <c r="D73" i="27"/>
  <c r="J73" i="27"/>
  <c r="J74" i="27"/>
  <c r="D74" i="27"/>
  <c r="J75" i="27"/>
  <c r="D75" i="27"/>
  <c r="J76" i="27"/>
  <c r="D76" i="27"/>
  <c r="D77" i="27"/>
  <c r="J77" i="27"/>
  <c r="J78" i="27"/>
  <c r="D78" i="27"/>
  <c r="D79" i="27"/>
  <c r="J79" i="27"/>
  <c r="D80" i="27"/>
  <c r="J80" i="27"/>
  <c r="D81" i="27"/>
  <c r="J81" i="27"/>
  <c r="D82" i="27"/>
  <c r="J82" i="27"/>
  <c r="D83" i="27"/>
  <c r="J83" i="27"/>
  <c r="J84" i="27"/>
  <c r="D84" i="27"/>
  <c r="D85" i="27"/>
  <c r="J85" i="27"/>
  <c r="D86" i="27"/>
  <c r="J86" i="27"/>
  <c r="J87" i="27"/>
  <c r="D87" i="27"/>
  <c r="D88" i="27"/>
  <c r="J88" i="27"/>
  <c r="J89" i="27"/>
  <c r="D89" i="27"/>
  <c r="J90" i="27"/>
  <c r="D90" i="27"/>
  <c r="J91" i="27"/>
  <c r="D91" i="27"/>
  <c r="D92" i="27"/>
  <c r="J92" i="27"/>
</calcChain>
</file>

<file path=xl/comments1.xml><?xml version="1.0" encoding="utf-8"?>
<comments xmlns="http://schemas.openxmlformats.org/spreadsheetml/2006/main">
  <authors>
    <author>Mike</author>
    <author>Olivia Brambill</author>
  </authors>
  <commentList>
    <comment ref="G11" authorId="0" shapeId="0">
      <text>
        <r>
          <rPr>
            <b/>
            <sz val="9"/>
            <color indexed="81"/>
            <rFont val="Tahoma"/>
            <family val="2"/>
          </rPr>
          <t>Mike:</t>
        </r>
        <r>
          <rPr>
            <sz val="9"/>
            <color indexed="81"/>
            <rFont val="Tahoma"/>
            <family val="2"/>
          </rPr>
          <t xml:space="preserve">
Set on pressing convert to XML button</t>
        </r>
      </text>
    </comment>
    <comment ref="G12" authorId="0" shapeId="0">
      <text>
        <r>
          <rPr>
            <b/>
            <sz val="9"/>
            <color indexed="81"/>
            <rFont val="Tahoma"/>
            <family val="2"/>
          </rPr>
          <t>Mike:</t>
        </r>
        <r>
          <rPr>
            <sz val="9"/>
            <color indexed="81"/>
            <rFont val="Tahoma"/>
            <family val="2"/>
          </rPr>
          <t xml:space="preserve">
To come from Schema</t>
        </r>
      </text>
    </comment>
    <comment ref="D24" authorId="1" shapeId="0">
      <text>
        <r>
          <rPr>
            <b/>
            <sz val="9"/>
            <color indexed="81"/>
            <rFont val="Tahoma"/>
            <family val="2"/>
          </rPr>
          <t>Olivia Brambill:</t>
        </r>
        <r>
          <rPr>
            <sz val="9"/>
            <color indexed="81"/>
            <rFont val="Tahoma"/>
            <family val="2"/>
          </rPr>
          <t xml:space="preserve">
Is this the same as Swedish Radio Appeal? That is listed differently twice.</t>
        </r>
      </text>
    </comment>
  </commentList>
</comments>
</file>

<file path=xl/comments2.xml><?xml version="1.0" encoding="utf-8"?>
<comments xmlns="http://schemas.openxmlformats.org/spreadsheetml/2006/main">
  <authors>
    <author>Mike</author>
    <author>Olivia Brambill</author>
  </authors>
  <commentList>
    <comment ref="E18" authorId="0" shapeId="0">
      <text>
        <r>
          <rPr>
            <sz val="9"/>
            <color indexed="81"/>
            <rFont val="Tahoma"/>
            <family val="2"/>
          </rPr>
          <t>For WaterAid this will always be "4", "en", "GBP", &lt;last time the row was updated&gt;</t>
        </r>
      </text>
    </comment>
    <comment ref="I18" authorId="0" shapeId="0">
      <text>
        <r>
          <rPr>
            <sz val="9"/>
            <color indexed="81"/>
            <rFont val="Tahoma"/>
            <family val="2"/>
          </rPr>
          <t xml:space="preserve">This is a concatenation of the organisations Identifier eg. "GB-CHC-288701" and unique code for the project as per column A. Eg "GB-CHC-288701-NPA32"
</t>
        </r>
      </text>
    </comment>
    <comment ref="K18" authorId="0" shapeId="0">
      <text>
        <r>
          <rPr>
            <sz val="9"/>
            <color indexed="81"/>
            <rFont val="Tahoma"/>
            <family val="2"/>
          </rPr>
          <t>For WaterAid type is always "1"</t>
        </r>
      </text>
    </comment>
    <comment ref="M18" authorId="0" shapeId="0">
      <text>
        <r>
          <rPr>
            <sz val="9"/>
            <color indexed="81"/>
            <rFont val="Tahoma"/>
            <family val="2"/>
          </rPr>
          <t>For WaterAid this is always "WaterAid", "GB-CC-288701", "21"</t>
        </r>
      </text>
    </comment>
    <comment ref="P18" authorId="0" shapeId="0">
      <text>
        <r>
          <rPr>
            <sz val="9"/>
            <color indexed="81"/>
            <rFont val="Tahoma"/>
            <family val="2"/>
          </rPr>
          <t>For WaterAid this will always be "Implementation", 2 or "Completion", 3 or "Post-completion", 4 or  "cancelled", 5</t>
        </r>
      </text>
    </comment>
    <comment ref="R18" authorId="0" shapeId="0">
      <text>
        <r>
          <rPr>
            <sz val="9"/>
            <color indexed="81"/>
            <rFont val="Tahoma"/>
            <family val="2"/>
          </rPr>
          <t>For WaterAid this will always be the Country Programme that this activity belongs to, except regional projects, in which case recipient countries will be on a separate sheet (as there will be mulitple countries per activity).</t>
        </r>
      </text>
    </comment>
    <comment ref="T18" authorId="0" shapeId="0">
      <text>
        <r>
          <rPr>
            <sz val="9"/>
            <color indexed="81"/>
            <rFont val="Tahoma"/>
            <family val="2"/>
          </rPr>
          <t>For WaterAid this will always be "DAC", "Water and Sanitation", "140", "100"</t>
        </r>
      </text>
    </comment>
    <comment ref="X18" authorId="0" shapeId="0">
      <text>
        <r>
          <rPr>
            <sz val="9"/>
            <color indexed="81"/>
            <rFont val="Tahoma"/>
            <family val="2"/>
          </rPr>
          <t xml:space="preserve">For WaterAid this willl typically be the WaterAid Country Programme website. </t>
        </r>
      </text>
    </comment>
    <comment ref="Y18" authorId="0" shapeId="0">
      <text>
        <r>
          <rPr>
            <sz val="9"/>
            <color indexed="81"/>
            <rFont val="Tahoma"/>
            <family val="2"/>
          </rPr>
          <t xml:space="preserve">For WaterAid this is always "Private Grant", 30 - locally overriden for government flows
</t>
        </r>
      </text>
    </comment>
    <comment ref="AA18" authorId="0" shapeId="0">
      <text>
        <r>
          <rPr>
            <sz val="9"/>
            <color indexed="81"/>
            <rFont val="Tahoma"/>
            <family val="2"/>
          </rPr>
          <t>For WaterAid this is always "Aid Grant excluding debt reorganisation", 110.</t>
        </r>
      </text>
    </comment>
    <comment ref="AC18" authorId="0" shapeId="0">
      <text>
        <r>
          <rPr>
            <sz val="9"/>
            <color indexed="81"/>
            <rFont val="Tahoma"/>
            <family val="2"/>
          </rPr>
          <t xml:space="preserve">For WaterAid this is </t>
        </r>
        <r>
          <rPr>
            <sz val="9"/>
            <color indexed="81"/>
            <rFont val="Tahoma"/>
            <family val="2"/>
          </rPr>
          <t xml:space="preserve">
typically "Project Type Intervention", C01 or sometimes "Core support to NGOs, other private bodies, PPPs and research institutes", B01</t>
        </r>
      </text>
    </comment>
    <comment ref="AE18" authorId="0" shapeId="0">
      <text>
        <r>
          <rPr>
            <sz val="9"/>
            <color indexed="81"/>
            <rFont val="Tahoma"/>
            <family val="2"/>
          </rPr>
          <t>For WaterAid this is either "Untied", 5 or "partially tied", 3</t>
        </r>
      </text>
    </comment>
    <comment ref="C23" authorId="1" shapeId="0">
      <text>
        <r>
          <rPr>
            <b/>
            <sz val="9"/>
            <color indexed="81"/>
            <rFont val="Tahoma"/>
            <family val="2"/>
          </rPr>
          <t>Olivia Brambill:</t>
        </r>
        <r>
          <rPr>
            <sz val="9"/>
            <color indexed="81"/>
            <rFont val="Tahoma"/>
            <family val="2"/>
          </rPr>
          <t xml:space="preserve">
Amended code</t>
        </r>
      </text>
    </comment>
    <comment ref="K23" authorId="1" shapeId="0">
      <text>
        <r>
          <rPr>
            <b/>
            <sz val="9"/>
            <color indexed="81"/>
            <rFont val="Tahoma"/>
            <family val="2"/>
          </rPr>
          <t>Olivia Brambill:</t>
        </r>
        <r>
          <rPr>
            <sz val="9"/>
            <color indexed="81"/>
            <rFont val="Tahoma"/>
            <family val="2"/>
          </rPr>
          <t xml:space="preserve">
shortened this</t>
        </r>
      </text>
    </comment>
  </commentList>
</comments>
</file>

<file path=xl/comments3.xml><?xml version="1.0" encoding="utf-8"?>
<comments xmlns="http://schemas.openxmlformats.org/spreadsheetml/2006/main">
  <authors>
    <author>Olivia Brambill</author>
  </authors>
  <commentList>
    <comment ref="C24" authorId="0" shapeId="0">
      <text>
        <r>
          <rPr>
            <b/>
            <sz val="9"/>
            <color indexed="81"/>
            <rFont val="Tahoma"/>
            <family val="2"/>
          </rPr>
          <t>Olivia Brambill:</t>
        </r>
        <r>
          <rPr>
            <sz val="9"/>
            <color indexed="81"/>
            <rFont val="Tahoma"/>
            <family val="2"/>
          </rPr>
          <t xml:space="preserve">
Amended code</t>
        </r>
      </text>
    </comment>
    <comment ref="C25" authorId="0" shapeId="0">
      <text>
        <r>
          <rPr>
            <b/>
            <sz val="9"/>
            <color indexed="81"/>
            <rFont val="Tahoma"/>
            <family val="2"/>
          </rPr>
          <t>Olivia Brambill:</t>
        </r>
        <r>
          <rPr>
            <sz val="9"/>
            <color indexed="81"/>
            <rFont val="Tahoma"/>
            <family val="2"/>
          </rPr>
          <t xml:space="preserve">
Amended code</t>
        </r>
      </text>
    </comment>
  </commentList>
</comments>
</file>

<file path=xl/comments4.xml><?xml version="1.0" encoding="utf-8"?>
<comments xmlns="http://schemas.openxmlformats.org/spreadsheetml/2006/main">
  <authors>
    <author>Olivia Brambill</author>
  </authors>
  <commentList>
    <comment ref="C37" authorId="0" shapeId="0">
      <text>
        <r>
          <rPr>
            <b/>
            <sz val="9"/>
            <color indexed="81"/>
            <rFont val="Tahoma"/>
            <family val="2"/>
          </rPr>
          <t>Olivia Brambill:</t>
        </r>
        <r>
          <rPr>
            <sz val="9"/>
            <color indexed="81"/>
            <rFont val="Tahoma"/>
            <family val="2"/>
          </rPr>
          <t xml:space="preserve">
Amended code</t>
        </r>
      </text>
    </comment>
    <comment ref="C38" authorId="0" shapeId="0">
      <text>
        <r>
          <rPr>
            <b/>
            <sz val="9"/>
            <color indexed="81"/>
            <rFont val="Tahoma"/>
            <family val="2"/>
          </rPr>
          <t>Olivia Brambill:</t>
        </r>
        <r>
          <rPr>
            <sz val="9"/>
            <color indexed="81"/>
            <rFont val="Tahoma"/>
            <family val="2"/>
          </rPr>
          <t xml:space="preserve">
Amended code</t>
        </r>
      </text>
    </comment>
  </commentList>
</comments>
</file>

<file path=xl/comments5.xml><?xml version="1.0" encoding="utf-8"?>
<comments xmlns="http://schemas.openxmlformats.org/spreadsheetml/2006/main">
  <authors>
    <author>Mike</author>
  </authors>
  <commentList>
    <comment ref="G18" authorId="0" shapeId="0">
      <text>
        <r>
          <rPr>
            <sz val="9"/>
            <color indexed="81"/>
            <rFont val="Tahoma"/>
            <family val="2"/>
          </rPr>
          <t>This is a concatenation of the activity identifier as per the ProjectMain sheet, year, Quarter, transaction type and WaterAid donor shortname  Eg "GB-CC-288701-NPA32-2013-Q1-C-WSUP"</t>
        </r>
      </text>
    </comment>
    <comment ref="H18" authorId="0" shapeId="0">
      <text>
        <r>
          <rPr>
            <sz val="9"/>
            <color indexed="81"/>
            <rFont val="Tahoma"/>
            <family val="2"/>
          </rPr>
          <t>For WaterAid "Commitment", "C" for commitments made by donor as per contract and any official adjustments (eg at mid-term review etc), "Incoming Funds", "IF" for funds from donors, "Disbursements", "D" for spend by partners, "Expenditure", "E" for spend by WaterAid</t>
        </r>
      </text>
    </comment>
    <comment ref="K18" authorId="0" shapeId="0">
      <text>
        <r>
          <rPr>
            <sz val="9"/>
            <color indexed="81"/>
            <rFont val="Tahoma"/>
            <family val="2"/>
          </rPr>
          <t>For WaterAid iso-date is always the first day of the quarter.</t>
        </r>
      </text>
    </comment>
    <comment ref="M18" authorId="0" shapeId="0">
      <text>
        <r>
          <rPr>
            <sz val="9"/>
            <color indexed="81"/>
            <rFont val="Tahoma"/>
            <family val="2"/>
          </rPr>
          <t>For WaterAid this value will always be in GBP except for commitments which are in the donor currency specified on the grant.  value-date  is the last day of the quarter</t>
        </r>
      </text>
    </comment>
    <comment ref="P18" authorId="0" shapeId="0">
      <text>
        <r>
          <rPr>
            <sz val="9"/>
            <color indexed="81"/>
            <rFont val="Tahoma"/>
            <family val="2"/>
          </rPr>
          <t xml:space="preserve">For WaterAid "Official Development Assistance", "ODA" if donor government provider, else  "Private Grant", "Private Grants" </t>
        </r>
      </text>
    </comment>
  </commentList>
</comments>
</file>

<file path=xl/comments6.xml><?xml version="1.0" encoding="utf-8"?>
<comments xmlns="http://schemas.openxmlformats.org/spreadsheetml/2006/main">
  <authors>
    <author>Olivia Brambill</author>
  </authors>
  <commentList>
    <comment ref="C39" authorId="0" shapeId="0">
      <text>
        <r>
          <rPr>
            <b/>
            <sz val="9"/>
            <color indexed="81"/>
            <rFont val="Tahoma"/>
            <family val="2"/>
          </rPr>
          <t>Olivia Brambill:</t>
        </r>
        <r>
          <rPr>
            <sz val="9"/>
            <color indexed="81"/>
            <rFont val="Tahoma"/>
            <family val="2"/>
          </rPr>
          <t xml:space="preserve">
Amended code</t>
        </r>
      </text>
    </comment>
    <comment ref="C40" authorId="0" shapeId="0">
      <text>
        <r>
          <rPr>
            <b/>
            <sz val="9"/>
            <color indexed="81"/>
            <rFont val="Tahoma"/>
            <family val="2"/>
          </rPr>
          <t>Olivia Brambill:</t>
        </r>
        <r>
          <rPr>
            <sz val="9"/>
            <color indexed="81"/>
            <rFont val="Tahoma"/>
            <family val="2"/>
          </rPr>
          <t xml:space="preserve">
Amended code</t>
        </r>
      </text>
    </comment>
    <comment ref="C41" authorId="0" shapeId="0">
      <text>
        <r>
          <rPr>
            <b/>
            <sz val="9"/>
            <color indexed="81"/>
            <rFont val="Tahoma"/>
            <family val="2"/>
          </rPr>
          <t>Olivia Brambill:</t>
        </r>
        <r>
          <rPr>
            <sz val="9"/>
            <color indexed="81"/>
            <rFont val="Tahoma"/>
            <family val="2"/>
          </rPr>
          <t xml:space="preserve">
Amended code</t>
        </r>
      </text>
    </comment>
    <comment ref="C42" authorId="0" shapeId="0">
      <text>
        <r>
          <rPr>
            <b/>
            <sz val="9"/>
            <color indexed="81"/>
            <rFont val="Tahoma"/>
            <family val="2"/>
          </rPr>
          <t>Olivia Brambill:</t>
        </r>
        <r>
          <rPr>
            <sz val="9"/>
            <color indexed="81"/>
            <rFont val="Tahoma"/>
            <family val="2"/>
          </rPr>
          <t xml:space="preserve">
Amended code</t>
        </r>
      </text>
    </comment>
    <comment ref="C43" authorId="0" shapeId="0">
      <text>
        <r>
          <rPr>
            <b/>
            <sz val="9"/>
            <color indexed="81"/>
            <rFont val="Tahoma"/>
            <family val="2"/>
          </rPr>
          <t>Olivia Brambill:</t>
        </r>
        <r>
          <rPr>
            <sz val="9"/>
            <color indexed="81"/>
            <rFont val="Tahoma"/>
            <family val="2"/>
          </rPr>
          <t xml:space="preserve">
Amended code</t>
        </r>
      </text>
    </comment>
    <comment ref="C44" authorId="0" shapeId="0">
      <text>
        <r>
          <rPr>
            <b/>
            <sz val="9"/>
            <color indexed="81"/>
            <rFont val="Tahoma"/>
            <family val="2"/>
          </rPr>
          <t>Olivia Brambill:</t>
        </r>
        <r>
          <rPr>
            <sz val="9"/>
            <color indexed="81"/>
            <rFont val="Tahoma"/>
            <family val="2"/>
          </rPr>
          <t xml:space="preserve">
Amended code</t>
        </r>
      </text>
    </comment>
    <comment ref="C45" authorId="0" shapeId="0">
      <text>
        <r>
          <rPr>
            <b/>
            <sz val="9"/>
            <color indexed="81"/>
            <rFont val="Tahoma"/>
            <family val="2"/>
          </rPr>
          <t>Olivia Brambill:</t>
        </r>
        <r>
          <rPr>
            <sz val="9"/>
            <color indexed="81"/>
            <rFont val="Tahoma"/>
            <family val="2"/>
          </rPr>
          <t xml:space="preserve">
Amended code</t>
        </r>
      </text>
    </comment>
    <comment ref="C46" authorId="0" shapeId="0">
      <text>
        <r>
          <rPr>
            <b/>
            <sz val="9"/>
            <color indexed="81"/>
            <rFont val="Tahoma"/>
            <family val="2"/>
          </rPr>
          <t>Olivia Brambill:</t>
        </r>
        <r>
          <rPr>
            <sz val="9"/>
            <color indexed="81"/>
            <rFont val="Tahoma"/>
            <family val="2"/>
          </rPr>
          <t xml:space="preserve">
Amended code</t>
        </r>
      </text>
    </comment>
    <comment ref="C47" authorId="0" shapeId="0">
      <text>
        <r>
          <rPr>
            <b/>
            <sz val="9"/>
            <color indexed="81"/>
            <rFont val="Tahoma"/>
            <family val="2"/>
          </rPr>
          <t>Olivia Brambill:</t>
        </r>
        <r>
          <rPr>
            <sz val="9"/>
            <color indexed="81"/>
            <rFont val="Tahoma"/>
            <family val="2"/>
          </rPr>
          <t xml:space="preserve">
Amended code</t>
        </r>
      </text>
    </comment>
  </commentList>
</comments>
</file>

<file path=xl/connections.xml><?xml version="1.0" encoding="utf-8"?>
<connections xmlns="http://schemas.openxmlformats.org/spreadsheetml/2006/main">
  <connection id="1" name="iati-organisations-schema" type="4" refreshedVersion="0" background="1">
    <webPr xml="1" sourceData="1" url="C:\Users\d105050\Desktop\Code for Good\iati-organisations-schema.xsd" htmlTables="1" htmlFormat="all"/>
  </connection>
  <connection id="2" name="TemplateProjMain" type="4" refreshedVersion="0" background="1">
    <webPr xml="1" sourceData="1" url="C:\Dropbox\IATI\IATIGuide\SchemaV1_03\xml\TemplateProjMain.xml" htmlTables="1" htmlFormat="all"/>
  </connection>
  <connection id="3" name="TemplateProjRest3" type="4" refreshedVersion="0" background="1">
    <webPr xml="1" sourceData="1" url="C:\Dropbox\IATI\IATIGuide\SchemaV1_03\xml\TemplateProjRest.xml" htmlTables="1" htmlFormat="all"/>
  </connection>
</connections>
</file>

<file path=xl/sharedStrings.xml><?xml version="1.0" encoding="utf-8"?>
<sst xmlns="http://schemas.openxmlformats.org/spreadsheetml/2006/main" count="2942" uniqueCount="2055">
  <si>
    <t>Country</t>
  </si>
  <si>
    <t>Transaction value</t>
  </si>
  <si>
    <t>transaction type</t>
  </si>
  <si>
    <t>transaction description</t>
  </si>
  <si>
    <t>transaction date</t>
  </si>
  <si>
    <t>Transaction provider</t>
  </si>
  <si>
    <t>The monetary value of the transaction in the specified currency – negative for repayments or reduced/cancelled commitments.</t>
  </si>
  <si>
    <t>Description of the transaction.</t>
  </si>
  <si>
    <t xml:space="preserve">A milestone date for this transaction (such as the decision date, disbursement date, etc.). </t>
  </si>
  <si>
    <t>Text</t>
  </si>
  <si>
    <t>Value</t>
  </si>
  <si>
    <t>Value Date</t>
  </si>
  <si>
    <t>Transaction Type</t>
  </si>
  <si>
    <t>code</t>
  </si>
  <si>
    <t>Description</t>
  </si>
  <si>
    <t>Date Description</t>
  </si>
  <si>
    <t>iso-date</t>
  </si>
  <si>
    <t>Providing Organisation</t>
  </si>
  <si>
    <t>transaction-type</t>
  </si>
  <si>
    <t>transaction-date</t>
  </si>
  <si>
    <t>description</t>
  </si>
  <si>
    <r>
      <rPr>
        <b/>
        <sz val="12"/>
        <color theme="1"/>
        <rFont val="Calibri"/>
        <family val="2"/>
        <scheme val="minor"/>
      </rPr>
      <t>Note:</t>
    </r>
    <r>
      <rPr>
        <sz val="12"/>
        <color theme="1"/>
        <rFont val="Calibri"/>
        <family val="2"/>
        <scheme val="minor"/>
      </rPr>
      <t xml:space="preserve"> Although elements with a * do not contain aid information they are required as part of the IATI standard to facilitate the understanding and comparison of data.</t>
    </r>
  </si>
  <si>
    <t>Record Header *</t>
  </si>
  <si>
    <t xml:space="preserve">Activity Title </t>
  </si>
  <si>
    <t>Activity Description</t>
  </si>
  <si>
    <t>IATI activity identifier *</t>
  </si>
  <si>
    <t>Reporting Organisation</t>
  </si>
  <si>
    <t>Activity Status</t>
  </si>
  <si>
    <t xml:space="preserve">Activity Dates </t>
  </si>
  <si>
    <t>Recipient Country</t>
  </si>
  <si>
    <t>General / Detailed Sector</t>
  </si>
  <si>
    <t xml:space="preserve">Activity Contacts </t>
  </si>
  <si>
    <t>Activity Web Site</t>
  </si>
  <si>
    <t>Default Finance Type</t>
  </si>
  <si>
    <t>Top-level element of an IATI activity that describes the encoding and metadata of the activity.</t>
  </si>
  <si>
    <t>A short, human-readable title of the activity.</t>
  </si>
  <si>
    <t>A Human-readable description of the activity.</t>
  </si>
  <si>
    <t xml:space="preserve">The organisation issuing a report (not necessarily involved in the organisation or activity being described). </t>
  </si>
  <si>
    <t>The current status of the activity (e.g. "planned"), using a list defined by IATI.</t>
  </si>
  <si>
    <t>Sector code and name that applies for the activity.    They can be specified according to a number of vocabularies to aid with comparison and classification.</t>
  </si>
  <si>
    <t xml:space="preserve">Sets the default type of finance for all transaction elements in the activity.  </t>
  </si>
  <si>
    <t>hierarchical position</t>
  </si>
  <si>
    <t>default language</t>
  </si>
  <si>
    <t>default currency</t>
  </si>
  <si>
    <t>last-updated-datetime</t>
  </si>
  <si>
    <t>Title</t>
  </si>
  <si>
    <t>Type</t>
  </si>
  <si>
    <t>IATI Identifier</t>
  </si>
  <si>
    <t>Organisation</t>
  </si>
  <si>
    <t>type</t>
  </si>
  <si>
    <t>Status</t>
  </si>
  <si>
    <t>vocabulary</t>
  </si>
  <si>
    <t>Code</t>
  </si>
  <si>
    <t>percentage</t>
  </si>
  <si>
    <t>Web-site</t>
  </si>
  <si>
    <t>title</t>
  </si>
  <si>
    <t>iati-identifier</t>
  </si>
  <si>
    <t>reporting-org</t>
  </si>
  <si>
    <t>activity-status</t>
  </si>
  <si>
    <t>activity-date</t>
  </si>
  <si>
    <t>recipient-country</t>
  </si>
  <si>
    <t>sector</t>
  </si>
  <si>
    <t>organisation</t>
  </si>
  <si>
    <t>activity-website</t>
  </si>
  <si>
    <t>en</t>
  </si>
  <si>
    <t>WaterAid</t>
  </si>
  <si>
    <t>address</t>
  </si>
  <si>
    <t>Postal address of contact.</t>
  </si>
  <si>
    <t>Postal address</t>
  </si>
  <si>
    <t>provider-org</t>
  </si>
  <si>
    <t>Participating Organisation</t>
  </si>
  <si>
    <t>Organisations (including the reporting organisation) involved with the activity.</t>
  </si>
  <si>
    <t>role</t>
  </si>
  <si>
    <t>identifier</t>
  </si>
  <si>
    <t>Organisation type</t>
  </si>
  <si>
    <t>participating-org</t>
  </si>
  <si>
    <t>Funding</t>
  </si>
  <si>
    <t>Government</t>
  </si>
  <si>
    <t>Other Public Sector</t>
  </si>
  <si>
    <t>International NGO</t>
  </si>
  <si>
    <t>National NGO</t>
  </si>
  <si>
    <t>Regional NGO</t>
  </si>
  <si>
    <t>Public Private Partnership</t>
  </si>
  <si>
    <t>Multilateral</t>
  </si>
  <si>
    <t>Foundation</t>
  </si>
  <si>
    <t>Private Sector</t>
  </si>
  <si>
    <t>Academic, Training and Research</t>
  </si>
  <si>
    <t>Implementing</t>
  </si>
  <si>
    <t>email</t>
  </si>
  <si>
    <t>Email address</t>
  </si>
  <si>
    <t>Email address of contact.</t>
  </si>
  <si>
    <t>Aid grant excluding debt reorganisation</t>
  </si>
  <si>
    <t>Default Tied Aid Status</t>
  </si>
  <si>
    <t xml:space="preserve">Sets the default status of aid whether it is untied, tied, or partially tied for all transaction elements in the activity.  </t>
  </si>
  <si>
    <t>Default Aid Type</t>
  </si>
  <si>
    <t>Machine-readable IATI transaction identification string that uniquely identifies the transaction.</t>
  </si>
  <si>
    <t>transaction flow type</t>
  </si>
  <si>
    <t>The type of assistance provided, e.g. Official Development Assistance (ODA) for the transaction.</t>
  </si>
  <si>
    <t>Flow Type</t>
  </si>
  <si>
    <t>Transaction reciever</t>
  </si>
  <si>
    <t>The organisation recieving the money from the transaction.</t>
  </si>
  <si>
    <t>Receiving Organisation</t>
  </si>
  <si>
    <t>receiver-org</t>
  </si>
  <si>
    <t>The organisation providing the money for the transaction.</t>
  </si>
  <si>
    <t>Currency</t>
  </si>
  <si>
    <t>C</t>
  </si>
  <si>
    <t>Commitment</t>
  </si>
  <si>
    <t>Disbursement</t>
  </si>
  <si>
    <t>Expenditure</t>
  </si>
  <si>
    <t>IF</t>
  </si>
  <si>
    <t>Incoming Funds</t>
  </si>
  <si>
    <t>AUD</t>
  </si>
  <si>
    <t>GBP</t>
  </si>
  <si>
    <t>USD</t>
  </si>
  <si>
    <t>Default Flow Type</t>
  </si>
  <si>
    <t xml:space="preserve">Sets the default type of assistance provided, e.g. Official Development Assistance (ODA) for all transaction elements in the activity. </t>
  </si>
  <si>
    <t>Sets the default type of aid being supplied for all transaction elements in the activity.</t>
  </si>
  <si>
    <t>A link to a web site that provides more information about the aid activity.</t>
  </si>
  <si>
    <t>Untied</t>
  </si>
  <si>
    <t>Open data at WaterAid, 47-49 Durham Street, London, SE11 5JD, UK</t>
  </si>
  <si>
    <t>opendata@wateraid.org</t>
  </si>
  <si>
    <t>C01</t>
  </si>
  <si>
    <t>DAC</t>
  </si>
  <si>
    <t>GH</t>
  </si>
  <si>
    <t>Implementation</t>
  </si>
  <si>
    <t>First calendar quarter in which the project was reported</t>
  </si>
  <si>
    <t>Calendar quarter for the project</t>
  </si>
  <si>
    <t>Organisation Identifier</t>
  </si>
  <si>
    <t xml:space="preserve">Reports IATI activities that are related to this one, particularly activities that are part of a hierarchy. </t>
  </si>
  <si>
    <t xml:space="preserve">type </t>
  </si>
  <si>
    <t>IATI identifier</t>
  </si>
  <si>
    <t>Related Activity Type</t>
  </si>
  <si>
    <t>Parent</t>
  </si>
  <si>
    <t>An activity that contains sub-activities (sub-components)</t>
  </si>
  <si>
    <t>Child</t>
  </si>
  <si>
    <t>A sub-activity (sub-component) of a larger activity (the parent)</t>
  </si>
  <si>
    <t>Sibling</t>
  </si>
  <si>
    <t>A sub-activity (sub-component) related to another sub-activity of the same parent</t>
  </si>
  <si>
    <t>Multifunded</t>
  </si>
  <si>
    <t>A multifunded, or co-funded activity. The identifier should be globally unique and shared by all reporters of this activity.</t>
  </si>
  <si>
    <t xml:space="preserve">The partner country that will benefit from this activity. </t>
  </si>
  <si>
    <t xml:space="preserve">Committed or actual money flowing in or out of an aid activity.  Each transaction is uniquely identified and appears once as an in-flow in one organisation's activity and again as an outflow in another organisation's activity. </t>
  </si>
  <si>
    <t>GB-CHC-288701</t>
  </si>
  <si>
    <t>Source: ISO 4217</t>
  </si>
  <si>
    <t>AFN</t>
  </si>
  <si>
    <t>Afghani</t>
  </si>
  <si>
    <t>AED</t>
  </si>
  <si>
    <t>UAE Dirham</t>
  </si>
  <si>
    <t>ALL</t>
  </si>
  <si>
    <t>Lek</t>
  </si>
  <si>
    <t>AMD</t>
  </si>
  <si>
    <t>Armenian Dram</t>
  </si>
  <si>
    <t>ANG</t>
  </si>
  <si>
    <t>Netherlands Antillian Guilder</t>
  </si>
  <si>
    <t>AOA</t>
  </si>
  <si>
    <t>Kwanza</t>
  </si>
  <si>
    <t>ARS</t>
  </si>
  <si>
    <t>Argentine Peso</t>
  </si>
  <si>
    <t>Australian Dollar</t>
  </si>
  <si>
    <t>AWG</t>
  </si>
  <si>
    <t>Aruban Guilder</t>
  </si>
  <si>
    <t>AZN</t>
  </si>
  <si>
    <t>Azerbaijanian Manat</t>
  </si>
  <si>
    <t>BAM</t>
  </si>
  <si>
    <t>Convertible Marks</t>
  </si>
  <si>
    <t>BBD</t>
  </si>
  <si>
    <t>Barbados Dollar</t>
  </si>
  <si>
    <t>BDT</t>
  </si>
  <si>
    <t>Taka</t>
  </si>
  <si>
    <t>BGN</t>
  </si>
  <si>
    <t>Bulgarian Lev</t>
  </si>
  <si>
    <t>BHD</t>
  </si>
  <si>
    <t>Bahraini Dinar</t>
  </si>
  <si>
    <t>BIF</t>
  </si>
  <si>
    <t>Burundi Franc</t>
  </si>
  <si>
    <t>BMD</t>
  </si>
  <si>
    <t>Bermudian Dollar</t>
  </si>
  <si>
    <t>BND</t>
  </si>
  <si>
    <t>Brunei Dollar</t>
  </si>
  <si>
    <t>BOB</t>
  </si>
  <si>
    <t>Boliviano</t>
  </si>
  <si>
    <t>BOV</t>
  </si>
  <si>
    <t>Mvdol</t>
  </si>
  <si>
    <t>BRL</t>
  </si>
  <si>
    <t>Brazilian Real</t>
  </si>
  <si>
    <t>BSD</t>
  </si>
  <si>
    <t>Bahamian Dollar</t>
  </si>
  <si>
    <t>BTN</t>
  </si>
  <si>
    <t>Ngultrum</t>
  </si>
  <si>
    <t>BWP</t>
  </si>
  <si>
    <t>Pula</t>
  </si>
  <si>
    <t>BYR</t>
  </si>
  <si>
    <t>Belarussian Ruble</t>
  </si>
  <si>
    <t>BZD</t>
  </si>
  <si>
    <t>Belize Dollar</t>
  </si>
  <si>
    <t>CAD</t>
  </si>
  <si>
    <t>Canadian Dollar</t>
  </si>
  <si>
    <t>CDF</t>
  </si>
  <si>
    <t>Congolese Franc</t>
  </si>
  <si>
    <t>CHF</t>
  </si>
  <si>
    <t>Swiss Franc</t>
  </si>
  <si>
    <t>CLF</t>
  </si>
  <si>
    <t>Unidades de fomento</t>
  </si>
  <si>
    <t>CLP</t>
  </si>
  <si>
    <t>Chilean Peso</t>
  </si>
  <si>
    <t>CNY</t>
  </si>
  <si>
    <t>Yuan Renminbi</t>
  </si>
  <si>
    <t>COP</t>
  </si>
  <si>
    <t>Colombian Peso</t>
  </si>
  <si>
    <t>COU</t>
  </si>
  <si>
    <t>Unidad de Valor Real</t>
  </si>
  <si>
    <t>CRC</t>
  </si>
  <si>
    <t>Costa Rican Colon</t>
  </si>
  <si>
    <t>CUC</t>
  </si>
  <si>
    <t>Peso Convertible</t>
  </si>
  <si>
    <t>CUP</t>
  </si>
  <si>
    <t>Cuban Peso</t>
  </si>
  <si>
    <t>CVE</t>
  </si>
  <si>
    <t>Cape Verde Escudo</t>
  </si>
  <si>
    <t>CZK</t>
  </si>
  <si>
    <t>Czech Koruna</t>
  </si>
  <si>
    <t>DJF</t>
  </si>
  <si>
    <t>Djibouti Franc</t>
  </si>
  <si>
    <t>DKK</t>
  </si>
  <si>
    <t>Danish Krone</t>
  </si>
  <si>
    <t>DOP</t>
  </si>
  <si>
    <t>Dominican Peso</t>
  </si>
  <si>
    <t>DZD</t>
  </si>
  <si>
    <t>Algerian Dinar</t>
  </si>
  <si>
    <t>EEK</t>
  </si>
  <si>
    <t>Kroon</t>
  </si>
  <si>
    <t>EGP</t>
  </si>
  <si>
    <t>Egyptian Pound</t>
  </si>
  <si>
    <t>ERN</t>
  </si>
  <si>
    <t>Nakfa</t>
  </si>
  <si>
    <t>ETB</t>
  </si>
  <si>
    <t>Ethiopian Birr</t>
  </si>
  <si>
    <t>EUR</t>
  </si>
  <si>
    <t>Euro</t>
  </si>
  <si>
    <t>FJD</t>
  </si>
  <si>
    <t>Fiji Dollar</t>
  </si>
  <si>
    <t>FKP</t>
  </si>
  <si>
    <t>Falkland Islands Pound</t>
  </si>
  <si>
    <t>Pound Sterling</t>
  </si>
  <si>
    <t>GEL</t>
  </si>
  <si>
    <t>Lari</t>
  </si>
  <si>
    <t>GHS</t>
  </si>
  <si>
    <t>Cedi</t>
  </si>
  <si>
    <t>GIP</t>
  </si>
  <si>
    <t>Gibraltar Pound</t>
  </si>
  <si>
    <t>GMD</t>
  </si>
  <si>
    <t>Dalasi</t>
  </si>
  <si>
    <t>GNF</t>
  </si>
  <si>
    <t>Guinea Franc</t>
  </si>
  <si>
    <t>GTQ</t>
  </si>
  <si>
    <t>Quetzal</t>
  </si>
  <si>
    <t>GYD</t>
  </si>
  <si>
    <t>Guyana Dollar</t>
  </si>
  <si>
    <t>HKD</t>
  </si>
  <si>
    <t>Hong Kong Dollar</t>
  </si>
  <si>
    <t>HNL</t>
  </si>
  <si>
    <t>Lempira</t>
  </si>
  <si>
    <t>HRK</t>
  </si>
  <si>
    <t>Croatian Kuna</t>
  </si>
  <si>
    <t>HTG</t>
  </si>
  <si>
    <t>Gourde</t>
  </si>
  <si>
    <t>HUF</t>
  </si>
  <si>
    <t>Forint</t>
  </si>
  <si>
    <t>IDR</t>
  </si>
  <si>
    <t>Rupiah</t>
  </si>
  <si>
    <t>ILS</t>
  </si>
  <si>
    <t>New Israeli Sheqel</t>
  </si>
  <si>
    <t>INR</t>
  </si>
  <si>
    <t>Indian Rupee</t>
  </si>
  <si>
    <t>IQD</t>
  </si>
  <si>
    <t>Iraqi Dinar</t>
  </si>
  <si>
    <t>IRR</t>
  </si>
  <si>
    <t>Iranian Rial</t>
  </si>
  <si>
    <t>ISK</t>
  </si>
  <si>
    <t>Iceland Krona</t>
  </si>
  <si>
    <t>JMD</t>
  </si>
  <si>
    <t>Jamaican Dollar</t>
  </si>
  <si>
    <t>JOD</t>
  </si>
  <si>
    <t>Jordanian Dinar</t>
  </si>
  <si>
    <t>JPY</t>
  </si>
  <si>
    <t>Yen</t>
  </si>
  <si>
    <t>KES</t>
  </si>
  <si>
    <t>Kenyan Shilling</t>
  </si>
  <si>
    <t>KGS</t>
  </si>
  <si>
    <t>Som</t>
  </si>
  <si>
    <t>KHR</t>
  </si>
  <si>
    <t>Riel</t>
  </si>
  <si>
    <t>KMF</t>
  </si>
  <si>
    <t>Comoro Franc</t>
  </si>
  <si>
    <t>KPW</t>
  </si>
  <si>
    <t>North Korean Won</t>
  </si>
  <si>
    <t>KRW</t>
  </si>
  <si>
    <t>Won</t>
  </si>
  <si>
    <t>KWD</t>
  </si>
  <si>
    <t>Kuwaiti Dinar</t>
  </si>
  <si>
    <t>KYD</t>
  </si>
  <si>
    <t>Cayman Islands Dollar</t>
  </si>
  <si>
    <t>KZT</t>
  </si>
  <si>
    <t>Tenge</t>
  </si>
  <si>
    <t>LAK</t>
  </si>
  <si>
    <t>Kip</t>
  </si>
  <si>
    <t>LBP</t>
  </si>
  <si>
    <t>Lebanese Pound</t>
  </si>
  <si>
    <t>LKR</t>
  </si>
  <si>
    <t>Sri Lanka Rupee</t>
  </si>
  <si>
    <t>LRD</t>
  </si>
  <si>
    <t>Liberian Dollar</t>
  </si>
  <si>
    <t>LSL</t>
  </si>
  <si>
    <t>Loti</t>
  </si>
  <si>
    <t>LTL</t>
  </si>
  <si>
    <t>Lithuanian Litas</t>
  </si>
  <si>
    <t>LVL</t>
  </si>
  <si>
    <t>Latvian Lats</t>
  </si>
  <si>
    <t>LYD</t>
  </si>
  <si>
    <t>Libyan Dinar</t>
  </si>
  <si>
    <t>MAD</t>
  </si>
  <si>
    <t>Moroccan Dirham</t>
  </si>
  <si>
    <t>MDL</t>
  </si>
  <si>
    <t>Moldovan Leu</t>
  </si>
  <si>
    <t>MGA</t>
  </si>
  <si>
    <t>Malagasy Ariary</t>
  </si>
  <si>
    <t>MKD</t>
  </si>
  <si>
    <t>Denar</t>
  </si>
  <si>
    <t>MMK</t>
  </si>
  <si>
    <t>Kyat</t>
  </si>
  <si>
    <t>MNT</t>
  </si>
  <si>
    <t>Tugrik</t>
  </si>
  <si>
    <t>MOP</t>
  </si>
  <si>
    <t>Pataca</t>
  </si>
  <si>
    <t>MRO</t>
  </si>
  <si>
    <t>Ouguiya</t>
  </si>
  <si>
    <t>MUR</t>
  </si>
  <si>
    <t>Mauritius Rupee</t>
  </si>
  <si>
    <t>MVR</t>
  </si>
  <si>
    <t>Rufiyaa</t>
  </si>
  <si>
    <t>MWK</t>
  </si>
  <si>
    <t>Malawi Kwacha</t>
  </si>
  <si>
    <t>MXN</t>
  </si>
  <si>
    <t>Mexican Peso</t>
  </si>
  <si>
    <t>MXV</t>
  </si>
  <si>
    <t>Mexican Unidad de Inversion (UDI)</t>
  </si>
  <si>
    <t>MYR</t>
  </si>
  <si>
    <t>Malaysian Ringgit</t>
  </si>
  <si>
    <t>MZN</t>
  </si>
  <si>
    <t>Metical</t>
  </si>
  <si>
    <t>NAD</t>
  </si>
  <si>
    <t>Namibia Dollar</t>
  </si>
  <si>
    <t>NGN</t>
  </si>
  <si>
    <t>Naira</t>
  </si>
  <si>
    <t>NIO</t>
  </si>
  <si>
    <t>Cordoba Oro</t>
  </si>
  <si>
    <t>NOK</t>
  </si>
  <si>
    <t>Norwegian Krone</t>
  </si>
  <si>
    <t>NPR</t>
  </si>
  <si>
    <t>Nepalese Rupee</t>
  </si>
  <si>
    <t>NZD</t>
  </si>
  <si>
    <t>New Zealand Dollar</t>
  </si>
  <si>
    <t>OMR</t>
  </si>
  <si>
    <t>Rial Omani</t>
  </si>
  <si>
    <t>PAB</t>
  </si>
  <si>
    <t>Balboa</t>
  </si>
  <si>
    <t>PEN</t>
  </si>
  <si>
    <t>Nuevo Sol</t>
  </si>
  <si>
    <t>PGK</t>
  </si>
  <si>
    <t>Kina</t>
  </si>
  <si>
    <t>PHP</t>
  </si>
  <si>
    <t>Philippine Peso</t>
  </si>
  <si>
    <t>PKR</t>
  </si>
  <si>
    <t>Pakistan Rupee</t>
  </si>
  <si>
    <t>PLN</t>
  </si>
  <si>
    <t>Zloty</t>
  </si>
  <si>
    <t>PYG</t>
  </si>
  <si>
    <t>Guarani</t>
  </si>
  <si>
    <t>QAR</t>
  </si>
  <si>
    <t>Qatari Rial</t>
  </si>
  <si>
    <t>RON</t>
  </si>
  <si>
    <t>New Leu</t>
  </si>
  <si>
    <t>RSD</t>
  </si>
  <si>
    <t>Serbian Dinar</t>
  </si>
  <si>
    <t>RUB</t>
  </si>
  <si>
    <t>Russian Ruble</t>
  </si>
  <si>
    <t>RWF</t>
  </si>
  <si>
    <t>Rwanda Franc</t>
  </si>
  <si>
    <t>SAR</t>
  </si>
  <si>
    <t>Saudi Riyal</t>
  </si>
  <si>
    <t>SBD</t>
  </si>
  <si>
    <t>Solomon Islands Dollar</t>
  </si>
  <si>
    <t>SCR</t>
  </si>
  <si>
    <t>Seychelles Rupee</t>
  </si>
  <si>
    <t>SDG</t>
  </si>
  <si>
    <t>Sudanese Pound</t>
  </si>
  <si>
    <t>SEK</t>
  </si>
  <si>
    <t>Swedish Krona</t>
  </si>
  <si>
    <t>SGD</t>
  </si>
  <si>
    <t>Singapore Dollar</t>
  </si>
  <si>
    <t>SHP</t>
  </si>
  <si>
    <t>Saint Helena Pound</t>
  </si>
  <si>
    <t>SLL</t>
  </si>
  <si>
    <t>Leone</t>
  </si>
  <si>
    <t>SOS</t>
  </si>
  <si>
    <t>Somali Shilling</t>
  </si>
  <si>
    <t>SRD</t>
  </si>
  <si>
    <t>Surinam Dollar</t>
  </si>
  <si>
    <t>STD</t>
  </si>
  <si>
    <t>Dobra</t>
  </si>
  <si>
    <t>SVC</t>
  </si>
  <si>
    <t>El Salvador Colon</t>
  </si>
  <si>
    <t>SYP</t>
  </si>
  <si>
    <t>Syrian Pound</t>
  </si>
  <si>
    <t>SZL</t>
  </si>
  <si>
    <t>Lilangeni</t>
  </si>
  <si>
    <t>THB</t>
  </si>
  <si>
    <t>Baht</t>
  </si>
  <si>
    <t>TJS</t>
  </si>
  <si>
    <t>Somoni</t>
  </si>
  <si>
    <t>TMT</t>
  </si>
  <si>
    <t>Manat</t>
  </si>
  <si>
    <t>TND</t>
  </si>
  <si>
    <t>Tunisian Dinar</t>
  </si>
  <si>
    <t>TOP</t>
  </si>
  <si>
    <t>Paanga</t>
  </si>
  <si>
    <t>TRY</t>
  </si>
  <si>
    <t>Turkish Lira</t>
  </si>
  <si>
    <t>TTD</t>
  </si>
  <si>
    <t>Trinidad and Tobago Dollar</t>
  </si>
  <si>
    <t>TWD</t>
  </si>
  <si>
    <t>New Taiwan Dollar</t>
  </si>
  <si>
    <t>TZS</t>
  </si>
  <si>
    <t>Tanzanian Shilling</t>
  </si>
  <si>
    <t>UAH</t>
  </si>
  <si>
    <t>Hryvnia</t>
  </si>
  <si>
    <t>UGX</t>
  </si>
  <si>
    <t>Uganda Shilling</t>
  </si>
  <si>
    <t>US Dollar</t>
  </si>
  <si>
    <t>USN</t>
  </si>
  <si>
    <t>US Dollar (Next day)</t>
  </si>
  <si>
    <t>USS</t>
  </si>
  <si>
    <t>US Dollar (Same day)</t>
  </si>
  <si>
    <t>UYI</t>
  </si>
  <si>
    <t>Uruguay Peso en Unidades Indexadas</t>
  </si>
  <si>
    <t>UYU</t>
  </si>
  <si>
    <t>Peso Uruguayo</t>
  </si>
  <si>
    <t>UZS</t>
  </si>
  <si>
    <t>Uzbekistan Sum</t>
  </si>
  <si>
    <t>VEF</t>
  </si>
  <si>
    <t>Bolivar Fuerte</t>
  </si>
  <si>
    <t>VND</t>
  </si>
  <si>
    <t>Dong</t>
  </si>
  <si>
    <t>VUV</t>
  </si>
  <si>
    <t>Vatu</t>
  </si>
  <si>
    <t>WST</t>
  </si>
  <si>
    <t>Tala</t>
  </si>
  <si>
    <t>XAF</t>
  </si>
  <si>
    <t>CFA Franc BEAC</t>
  </si>
  <si>
    <t>XCD</t>
  </si>
  <si>
    <t>East Caribbean Dollar</t>
  </si>
  <si>
    <t>XOF</t>
  </si>
  <si>
    <t>CFA Franc BCEAO</t>
  </si>
  <si>
    <t>XPF</t>
  </si>
  <si>
    <t>CFP Franc</t>
  </si>
  <si>
    <t>YER</t>
  </si>
  <si>
    <t>Yemeni Rial</t>
  </si>
  <si>
    <t>ZAR</t>
  </si>
  <si>
    <t>Rand</t>
  </si>
  <si>
    <t>ZMK</t>
  </si>
  <si>
    <t>Zambian Kwacha</t>
  </si>
  <si>
    <t>ZWL</t>
  </si>
  <si>
    <t>Zimbabwe Dollar</t>
  </si>
  <si>
    <t>ZW</t>
  </si>
  <si>
    <t>ZM</t>
  </si>
  <si>
    <t>YE</t>
  </si>
  <si>
    <t>EH</t>
  </si>
  <si>
    <t>WF</t>
  </si>
  <si>
    <t>VI</t>
  </si>
  <si>
    <t>VG</t>
  </si>
  <si>
    <t>VN</t>
  </si>
  <si>
    <t>VE</t>
  </si>
  <si>
    <t>VU</t>
  </si>
  <si>
    <t>UZ</t>
  </si>
  <si>
    <t>UY</t>
  </si>
  <si>
    <t>UM</t>
  </si>
  <si>
    <t>US</t>
  </si>
  <si>
    <t>GB</t>
  </si>
  <si>
    <t>AE</t>
  </si>
  <si>
    <t>UA</t>
  </si>
  <si>
    <t>UG</t>
  </si>
  <si>
    <t>TV</t>
  </si>
  <si>
    <t>TC</t>
  </si>
  <si>
    <t>TM</t>
  </si>
  <si>
    <t>TR</t>
  </si>
  <si>
    <t>TN</t>
  </si>
  <si>
    <t>TT</t>
  </si>
  <si>
    <t>TO</t>
  </si>
  <si>
    <t>TK</t>
  </si>
  <si>
    <t>TG</t>
  </si>
  <si>
    <t>TL</t>
  </si>
  <si>
    <t>TH</t>
  </si>
  <si>
    <t>TZ</t>
  </si>
  <si>
    <t>TJ</t>
  </si>
  <si>
    <t>TW</t>
  </si>
  <si>
    <t>SY</t>
  </si>
  <si>
    <t>CH</t>
  </si>
  <si>
    <t>SE</t>
  </si>
  <si>
    <t>SZ</t>
  </si>
  <si>
    <t>SJ</t>
  </si>
  <si>
    <t>SR</t>
  </si>
  <si>
    <t>SD</t>
  </si>
  <si>
    <t>LK</t>
  </si>
  <si>
    <t>ES</t>
  </si>
  <si>
    <t>GS</t>
  </si>
  <si>
    <t>ZA</t>
  </si>
  <si>
    <t>SO</t>
  </si>
  <si>
    <t>SB</t>
  </si>
  <si>
    <t>SI</t>
  </si>
  <si>
    <t>SK</t>
  </si>
  <si>
    <t>SX</t>
  </si>
  <si>
    <t>SG</t>
  </si>
  <si>
    <t>SL</t>
  </si>
  <si>
    <t>SC</t>
  </si>
  <si>
    <t>RS</t>
  </si>
  <si>
    <t>SN</t>
  </si>
  <si>
    <t>SA</t>
  </si>
  <si>
    <t>ST</t>
  </si>
  <si>
    <t>SM</t>
  </si>
  <si>
    <t>WS</t>
  </si>
  <si>
    <t>VC</t>
  </si>
  <si>
    <t>PM</t>
  </si>
  <si>
    <t>MF</t>
  </si>
  <si>
    <t>LC</t>
  </si>
  <si>
    <t>KN</t>
  </si>
  <si>
    <t>SH</t>
  </si>
  <si>
    <t>BL</t>
  </si>
  <si>
    <t>RW</t>
  </si>
  <si>
    <t>RU</t>
  </si>
  <si>
    <t>RO</t>
  </si>
  <si>
    <t>RE</t>
  </si>
  <si>
    <t>QA</t>
  </si>
  <si>
    <t>PR</t>
  </si>
  <si>
    <t>PT</t>
  </si>
  <si>
    <t>PL</t>
  </si>
  <si>
    <t>PN</t>
  </si>
  <si>
    <t>PH</t>
  </si>
  <si>
    <t>PE</t>
  </si>
  <si>
    <t>PY</t>
  </si>
  <si>
    <t>PG</t>
  </si>
  <si>
    <t>PA</t>
  </si>
  <si>
    <t>PS</t>
  </si>
  <si>
    <t>PW</t>
  </si>
  <si>
    <t>PK</t>
  </si>
  <si>
    <t>OM</t>
  </si>
  <si>
    <t>NO</t>
  </si>
  <si>
    <t>MP</t>
  </si>
  <si>
    <t>NF</t>
  </si>
  <si>
    <t>NU</t>
  </si>
  <si>
    <t>NG</t>
  </si>
  <si>
    <t>NE</t>
  </si>
  <si>
    <t>NI</t>
  </si>
  <si>
    <t>NZ</t>
  </si>
  <si>
    <t>NC</t>
  </si>
  <si>
    <t>NL</t>
  </si>
  <si>
    <t>NP</t>
  </si>
  <si>
    <t>NR</t>
  </si>
  <si>
    <t>NA</t>
  </si>
  <si>
    <t>MM</t>
  </si>
  <si>
    <t>MZ</t>
  </si>
  <si>
    <t>MA</t>
  </si>
  <si>
    <t>MS</t>
  </si>
  <si>
    <t>ME</t>
  </si>
  <si>
    <t>MN</t>
  </si>
  <si>
    <t>MC</t>
  </si>
  <si>
    <t>MD</t>
  </si>
  <si>
    <t>FM</t>
  </si>
  <si>
    <t>MX</t>
  </si>
  <si>
    <t>YT</t>
  </si>
  <si>
    <t>MU</t>
  </si>
  <si>
    <t>MR</t>
  </si>
  <si>
    <t>MQ</t>
  </si>
  <si>
    <t>MH</t>
  </si>
  <si>
    <t>MT</t>
  </si>
  <si>
    <t>ML</t>
  </si>
  <si>
    <t>MV</t>
  </si>
  <si>
    <t>MY</t>
  </si>
  <si>
    <t>MW</t>
  </si>
  <si>
    <t>MG</t>
  </si>
  <si>
    <t>MK</t>
  </si>
  <si>
    <t>MO</t>
  </si>
  <si>
    <t>LU</t>
  </si>
  <si>
    <t>LT</t>
  </si>
  <si>
    <t>LI</t>
  </si>
  <si>
    <t>LY</t>
  </si>
  <si>
    <t>LR</t>
  </si>
  <si>
    <t>LS</t>
  </si>
  <si>
    <t>LB</t>
  </si>
  <si>
    <t>LV</t>
  </si>
  <si>
    <t>LA</t>
  </si>
  <si>
    <t>KG</t>
  </si>
  <si>
    <t>KW</t>
  </si>
  <si>
    <t>KR</t>
  </si>
  <si>
    <t>KP</t>
  </si>
  <si>
    <t>KI</t>
  </si>
  <si>
    <t>KE</t>
  </si>
  <si>
    <t>KZ</t>
  </si>
  <si>
    <t>JO</t>
  </si>
  <si>
    <t>JE</t>
  </si>
  <si>
    <t>JP</t>
  </si>
  <si>
    <t>JM</t>
  </si>
  <si>
    <t>IT</t>
  </si>
  <si>
    <t>IL</t>
  </si>
  <si>
    <t>IM</t>
  </si>
  <si>
    <t>IE</t>
  </si>
  <si>
    <t>IQ</t>
  </si>
  <si>
    <t>IR</t>
  </si>
  <si>
    <t>ID</t>
  </si>
  <si>
    <t>IN</t>
  </si>
  <si>
    <t>IS</t>
  </si>
  <si>
    <t>HU</t>
  </si>
  <si>
    <t>HK</t>
  </si>
  <si>
    <t>HN</t>
  </si>
  <si>
    <t>VA</t>
  </si>
  <si>
    <t>HM</t>
  </si>
  <si>
    <t>HT</t>
  </si>
  <si>
    <t>GY</t>
  </si>
  <si>
    <t>GW</t>
  </si>
  <si>
    <t>GN</t>
  </si>
  <si>
    <t>GG</t>
  </si>
  <si>
    <t>GT</t>
  </si>
  <si>
    <t>GU</t>
  </si>
  <si>
    <t>GP</t>
  </si>
  <si>
    <t>GD</t>
  </si>
  <si>
    <t>GL</t>
  </si>
  <si>
    <t>GR</t>
  </si>
  <si>
    <t>GI</t>
  </si>
  <si>
    <t>DE</t>
  </si>
  <si>
    <t>GE</t>
  </si>
  <si>
    <t>GM</t>
  </si>
  <si>
    <t>GA</t>
  </si>
  <si>
    <t>TF</t>
  </si>
  <si>
    <t>PF</t>
  </si>
  <si>
    <t>GF</t>
  </si>
  <si>
    <t>FR</t>
  </si>
  <si>
    <t>FI</t>
  </si>
  <si>
    <t>FJ</t>
  </si>
  <si>
    <t>FO</t>
  </si>
  <si>
    <t>FK</t>
  </si>
  <si>
    <t>ET</t>
  </si>
  <si>
    <t>EE</t>
  </si>
  <si>
    <t>ER</t>
  </si>
  <si>
    <t>GQ</t>
  </si>
  <si>
    <t>SV</t>
  </si>
  <si>
    <t>EG</t>
  </si>
  <si>
    <t>EC</t>
  </si>
  <si>
    <t>DO</t>
  </si>
  <si>
    <t>DM</t>
  </si>
  <si>
    <t>DJ</t>
  </si>
  <si>
    <t>DK</t>
  </si>
  <si>
    <t>CZ</t>
  </si>
  <si>
    <t>CY</t>
  </si>
  <si>
    <t>CW</t>
  </si>
  <si>
    <t>CU</t>
  </si>
  <si>
    <t>HR</t>
  </si>
  <si>
    <t>CI</t>
  </si>
  <si>
    <t>CR</t>
  </si>
  <si>
    <t>CK</t>
  </si>
  <si>
    <t>CD</t>
  </si>
  <si>
    <t>CG</t>
  </si>
  <si>
    <t>KM</t>
  </si>
  <si>
    <t>CO</t>
  </si>
  <si>
    <t>CC</t>
  </si>
  <si>
    <t>CX</t>
  </si>
  <si>
    <t>CN</t>
  </si>
  <si>
    <t>CL</t>
  </si>
  <si>
    <t>TD</t>
  </si>
  <si>
    <t>CF</t>
  </si>
  <si>
    <t>KY</t>
  </si>
  <si>
    <t>CV</t>
  </si>
  <si>
    <t>CA</t>
  </si>
  <si>
    <t>CM</t>
  </si>
  <si>
    <t>KH</t>
  </si>
  <si>
    <t>BI</t>
  </si>
  <si>
    <t>BF</t>
  </si>
  <si>
    <t>BG</t>
  </si>
  <si>
    <t>BN</t>
  </si>
  <si>
    <t>IO</t>
  </si>
  <si>
    <t>BR</t>
  </si>
  <si>
    <t>BV</t>
  </si>
  <si>
    <t>BW</t>
  </si>
  <si>
    <t>BA</t>
  </si>
  <si>
    <t>BQ</t>
  </si>
  <si>
    <t>BO</t>
  </si>
  <si>
    <t>BT</t>
  </si>
  <si>
    <t>BM</t>
  </si>
  <si>
    <t>BJ</t>
  </si>
  <si>
    <t>BZ</t>
  </si>
  <si>
    <t>BE</t>
  </si>
  <si>
    <t>BY</t>
  </si>
  <si>
    <t>BB</t>
  </si>
  <si>
    <t>BD</t>
  </si>
  <si>
    <t>BH</t>
  </si>
  <si>
    <t>BS</t>
  </si>
  <si>
    <t>AZ</t>
  </si>
  <si>
    <t>AT</t>
  </si>
  <si>
    <t>AU</t>
  </si>
  <si>
    <t>AW</t>
  </si>
  <si>
    <t>AM</t>
  </si>
  <si>
    <t>AR</t>
  </si>
  <si>
    <t>AG</t>
  </si>
  <si>
    <t>AQ</t>
  </si>
  <si>
    <t>AI</t>
  </si>
  <si>
    <t>AO</t>
  </si>
  <si>
    <t>AD</t>
  </si>
  <si>
    <t>AS</t>
  </si>
  <si>
    <t>DZ</t>
  </si>
  <si>
    <t>AL</t>
  </si>
  <si>
    <t>AX</t>
  </si>
  <si>
    <t>AF</t>
  </si>
  <si>
    <t>Source: ISO 3166-1 alpha-2</t>
  </si>
  <si>
    <t>Saint Helena, Ascension and Tristan da Cunha</t>
  </si>
  <si>
    <t>South Georgia and the South Sandwich Islands</t>
  </si>
  <si>
    <t>Education</t>
  </si>
  <si>
    <t>Education, level unspecified</t>
  </si>
  <si>
    <t>Education policy and administrative management</t>
  </si>
  <si>
    <t>Education facilities and training</t>
  </si>
  <si>
    <t>Teacher training</t>
  </si>
  <si>
    <t>Educational research</t>
  </si>
  <si>
    <t>Basic education</t>
  </si>
  <si>
    <t>Primary education</t>
  </si>
  <si>
    <t>Basic life skills for youth and adults</t>
  </si>
  <si>
    <t>Early childhood education</t>
  </si>
  <si>
    <t>Secondary education</t>
  </si>
  <si>
    <t>Vocational training</t>
  </si>
  <si>
    <t>Post-secondary education</t>
  </si>
  <si>
    <t>Higher education</t>
  </si>
  <si>
    <t>Advanced technical and managerial training</t>
  </si>
  <si>
    <t>Health</t>
  </si>
  <si>
    <t>Health, general</t>
  </si>
  <si>
    <t>Health policy and administrative management</t>
  </si>
  <si>
    <t>Medical education/training</t>
  </si>
  <si>
    <t>Medical research</t>
  </si>
  <si>
    <t>Medical services</t>
  </si>
  <si>
    <t>Basic health</t>
  </si>
  <si>
    <t>Basic health care</t>
  </si>
  <si>
    <t>Basic health infrastructure</t>
  </si>
  <si>
    <t>Basic nutrition</t>
  </si>
  <si>
    <t>Infectious disease control</t>
  </si>
  <si>
    <t>Health education</t>
  </si>
  <si>
    <t>Malaria control</t>
  </si>
  <si>
    <t>Tuberculosis control</t>
  </si>
  <si>
    <t>Health personnel development</t>
  </si>
  <si>
    <t>Population policies/programmes and reproductive health</t>
  </si>
  <si>
    <t>Population policy and administrative management</t>
  </si>
  <si>
    <t>Reproductive health care</t>
  </si>
  <si>
    <t>Family planning</t>
  </si>
  <si>
    <t>STD control including HIV/AIDS</t>
  </si>
  <si>
    <t>Personnel development for population and reproductive health</t>
  </si>
  <si>
    <t>Water and sanitation</t>
  </si>
  <si>
    <t>Water resources policy and administrative management</t>
  </si>
  <si>
    <t>Water resources protection</t>
  </si>
  <si>
    <t>Water supply and sanitation - large systems</t>
  </si>
  <si>
    <t>Basic drinking water supply and basic sanitation</t>
  </si>
  <si>
    <t>River development</t>
  </si>
  <si>
    <t>Waste management/disposal</t>
  </si>
  <si>
    <t>Education and training in water supply and sanitation</t>
  </si>
  <si>
    <t>Government and civil society</t>
  </si>
  <si>
    <t>Government and civil society, general</t>
  </si>
  <si>
    <t>Economic and development policy/planning</t>
  </si>
  <si>
    <t>Public sector financial management</t>
  </si>
  <si>
    <t>Legal and judicial development</t>
  </si>
  <si>
    <t>Government administration</t>
  </si>
  <si>
    <t>Strengthening civil society</t>
  </si>
  <si>
    <t>Elections</t>
  </si>
  <si>
    <t>Human rights</t>
  </si>
  <si>
    <t>Free flow of information</t>
  </si>
  <si>
    <t>Womens equality organisations and institutions</t>
  </si>
  <si>
    <t>Conflict prevention and resolution, peace and security</t>
  </si>
  <si>
    <t>Security system management and reform</t>
  </si>
  <si>
    <t>Civilian peace-building, conflict prevention and resolution</t>
  </si>
  <si>
    <t>Post-conflict peace-building (UN)</t>
  </si>
  <si>
    <t>Reintegration and SALW control</t>
  </si>
  <si>
    <t>Land mine clearance</t>
  </si>
  <si>
    <t>Child soldiers (Prevention and demobilisation)</t>
  </si>
  <si>
    <t>Other social infrastructure and services</t>
  </si>
  <si>
    <t>Social/ welfare services</t>
  </si>
  <si>
    <t>Employment policy and administrative management</t>
  </si>
  <si>
    <t>Housing policy and administrative management</t>
  </si>
  <si>
    <t>Low-cost housing</t>
  </si>
  <si>
    <t>Multisector aid for basic social services</t>
  </si>
  <si>
    <t>Culture and recreation</t>
  </si>
  <si>
    <t>Statistical capacity building</t>
  </si>
  <si>
    <t>Narcotics control</t>
  </si>
  <si>
    <t>Social mitigation of HIV/AIDS</t>
  </si>
  <si>
    <t>Transport and storage</t>
  </si>
  <si>
    <t>Transport policy and administrative management</t>
  </si>
  <si>
    <t>Road transport</t>
  </si>
  <si>
    <t>Rail transport</t>
  </si>
  <si>
    <t>Water transport</t>
  </si>
  <si>
    <t>Air transport</t>
  </si>
  <si>
    <t>Storage</t>
  </si>
  <si>
    <t>Education and training in transport and storage</t>
  </si>
  <si>
    <t>Communication</t>
  </si>
  <si>
    <t>Communications policy and administrative management</t>
  </si>
  <si>
    <t>Telecommunications</t>
  </si>
  <si>
    <t>Radio/television/print media</t>
  </si>
  <si>
    <t>Information and communication technology (ICT)</t>
  </si>
  <si>
    <t>Energy generation and supply</t>
  </si>
  <si>
    <t>Energy policy and administrative management</t>
  </si>
  <si>
    <t>Power generation/non-renewable sources</t>
  </si>
  <si>
    <t>Power generation/renewable sources</t>
  </si>
  <si>
    <t>Electrical transmission/ distribution</t>
  </si>
  <si>
    <t>Gas distribution</t>
  </si>
  <si>
    <t>Oil-fired power plants</t>
  </si>
  <si>
    <t>Gas-fired power plants</t>
  </si>
  <si>
    <t>Coal-fired power plants</t>
  </si>
  <si>
    <t>Nuclear power plants</t>
  </si>
  <si>
    <t>Hydro-electric power plants</t>
  </si>
  <si>
    <t>Geothermal energy</t>
  </si>
  <si>
    <t>Solar energy</t>
  </si>
  <si>
    <t>Wind power</t>
  </si>
  <si>
    <t>Ocean power</t>
  </si>
  <si>
    <t>Biomass</t>
  </si>
  <si>
    <t>Energy education/training</t>
  </si>
  <si>
    <t>Energy research</t>
  </si>
  <si>
    <t>Banking and financial services</t>
  </si>
  <si>
    <t>Financial policy and administrative management</t>
  </si>
  <si>
    <t>Monetary institutions</t>
  </si>
  <si>
    <t>Formal sector financial intermediaries</t>
  </si>
  <si>
    <t>Informal/semi-formal financial intermediaries</t>
  </si>
  <si>
    <t>Education/training in banking and financial services</t>
  </si>
  <si>
    <t>Business and other services</t>
  </si>
  <si>
    <t>Business support services and institutions</t>
  </si>
  <si>
    <t>Privatisation</t>
  </si>
  <si>
    <t>Agriculture</t>
  </si>
  <si>
    <t>Agricultural policy and administrative management</t>
  </si>
  <si>
    <t>Agricultural development</t>
  </si>
  <si>
    <t>Agricultural land resources</t>
  </si>
  <si>
    <t>Agricultural water resources</t>
  </si>
  <si>
    <t>Agricultural inputs</t>
  </si>
  <si>
    <t>Food crop production</t>
  </si>
  <si>
    <t>Industrial crops/export crops</t>
  </si>
  <si>
    <t>Livestock</t>
  </si>
  <si>
    <t>Agrarian reform</t>
  </si>
  <si>
    <t>Agricultural alternative development</t>
  </si>
  <si>
    <t>Agricultural extension</t>
  </si>
  <si>
    <t>Agricultural education/training</t>
  </si>
  <si>
    <t>Agricultural research</t>
  </si>
  <si>
    <t>Agricultural services</t>
  </si>
  <si>
    <t>Plant and post-harvest protection and pest control</t>
  </si>
  <si>
    <t>Agricultural financial services</t>
  </si>
  <si>
    <t>Agricultural co-operatives</t>
  </si>
  <si>
    <t>Livestock/veterinary services</t>
  </si>
  <si>
    <t>Forestry</t>
  </si>
  <si>
    <t>Forestry policy and administrative management</t>
  </si>
  <si>
    <t>Forestry development</t>
  </si>
  <si>
    <t>Fuelwood/charcoal</t>
  </si>
  <si>
    <t>Forestry education/training</t>
  </si>
  <si>
    <t>Forestry research</t>
  </si>
  <si>
    <t>Forestry services</t>
  </si>
  <si>
    <t>Fishing</t>
  </si>
  <si>
    <t>Fishing policy and administrative management</t>
  </si>
  <si>
    <t>Fishery development</t>
  </si>
  <si>
    <t>Fishery education/training</t>
  </si>
  <si>
    <t>Fishery research</t>
  </si>
  <si>
    <t>Fishery services</t>
  </si>
  <si>
    <t>Industry</t>
  </si>
  <si>
    <t>Industrial policy and administrative management</t>
  </si>
  <si>
    <t>Industrial development</t>
  </si>
  <si>
    <t>Small and medium-sized enterprises (SME) development</t>
  </si>
  <si>
    <t>Cottage industries and handicraft</t>
  </si>
  <si>
    <t>Agro-industries</t>
  </si>
  <si>
    <t>Forest industries</t>
  </si>
  <si>
    <t>Textiles, leather and substitutes</t>
  </si>
  <si>
    <t>Chemicals</t>
  </si>
  <si>
    <t>Fertilizer plants</t>
  </si>
  <si>
    <t>Cement/lime/plaster</t>
  </si>
  <si>
    <t>Energy manufacturing</t>
  </si>
  <si>
    <t>Pharmaceutical production</t>
  </si>
  <si>
    <t>Basic metal industries</t>
  </si>
  <si>
    <t>Non-ferrous metal industries</t>
  </si>
  <si>
    <t>Engineering</t>
  </si>
  <si>
    <t>Transport equipment industry</t>
  </si>
  <si>
    <t>Technological research and development</t>
  </si>
  <si>
    <t>Mineral resources and mining</t>
  </si>
  <si>
    <t>Mineral/mining policy and administrative management</t>
  </si>
  <si>
    <t>Mineral prospection and exploration</t>
  </si>
  <si>
    <t>Coal</t>
  </si>
  <si>
    <t>Oil and gas</t>
  </si>
  <si>
    <t>Ferrous metals</t>
  </si>
  <si>
    <t>Nonferrous metals</t>
  </si>
  <si>
    <t>Precious metals/materials</t>
  </si>
  <si>
    <t>Industrial minerals</t>
  </si>
  <si>
    <t>Fertilizer minerals</t>
  </si>
  <si>
    <t>Offshore minerals</t>
  </si>
  <si>
    <t>Construction</t>
  </si>
  <si>
    <t>Construction policy and administrative management</t>
  </si>
  <si>
    <t>Trade policy and regulations and trade-related adjustment</t>
  </si>
  <si>
    <t>Trade policy and administrative management</t>
  </si>
  <si>
    <t>Trade facilitation</t>
  </si>
  <si>
    <t>Regional trade agreements (RTAs)</t>
  </si>
  <si>
    <t>Multilateral trade negotiations</t>
  </si>
  <si>
    <t>Trade-related adjustment</t>
  </si>
  <si>
    <t>Trade education/training</t>
  </si>
  <si>
    <t>Tourism</t>
  </si>
  <si>
    <t>Tourism policy and administrative management</t>
  </si>
  <si>
    <t>Multisector/cross-cutting</t>
  </si>
  <si>
    <t>General environmental protection</t>
  </si>
  <si>
    <t>Environmental policy and administrative management</t>
  </si>
  <si>
    <t>Biosphere protection</t>
  </si>
  <si>
    <t>Bio-diversity</t>
  </si>
  <si>
    <t>Site preservation</t>
  </si>
  <si>
    <t>Flood prevention/control</t>
  </si>
  <si>
    <t>Environmental education/ training</t>
  </si>
  <si>
    <t>Environmental research</t>
  </si>
  <si>
    <t>Other multisector</t>
  </si>
  <si>
    <t>Multisector aid</t>
  </si>
  <si>
    <t>Urban development and management</t>
  </si>
  <si>
    <t>Rural development</t>
  </si>
  <si>
    <t>Non-agricultural alternative development</t>
  </si>
  <si>
    <t>Multisector education/training</t>
  </si>
  <si>
    <t>Research/scientific institutions</t>
  </si>
  <si>
    <t>Commodity aid and general programme assistance</t>
  </si>
  <si>
    <t>General budget support</t>
  </si>
  <si>
    <t>Developmental food aid/Food security assistance</t>
  </si>
  <si>
    <t>Food aid/Food security programmes</t>
  </si>
  <si>
    <t>Other commodity assistance</t>
  </si>
  <si>
    <t>Import support (capital goods)</t>
  </si>
  <si>
    <t>Import support (commodities)</t>
  </si>
  <si>
    <t>Action relating to debt</t>
  </si>
  <si>
    <t>Debt forgiveness</t>
  </si>
  <si>
    <t>Relief of multilateral debt</t>
  </si>
  <si>
    <t>Rescheduling and refinancing</t>
  </si>
  <si>
    <t>Debt for development swap</t>
  </si>
  <si>
    <t>Other debt swap</t>
  </si>
  <si>
    <t>Debt buy-back</t>
  </si>
  <si>
    <t>Humanitarian aid</t>
  </si>
  <si>
    <t>Emergency Response</t>
  </si>
  <si>
    <t>Material relief assistance and services</t>
  </si>
  <si>
    <t>Emergency food aid</t>
  </si>
  <si>
    <t>Relief co-ordination; protection and support services</t>
  </si>
  <si>
    <t>Reconstruction relief and rehabilitation</t>
  </si>
  <si>
    <t>Disaster prevention and preparedness</t>
  </si>
  <si>
    <t>Administrative costs of donors</t>
  </si>
  <si>
    <t>Administrative costs</t>
  </si>
  <si>
    <t>Support to non-governmental organisations (ngos)</t>
  </si>
  <si>
    <t>Support to national NGOs</t>
  </si>
  <si>
    <t>Support to international NGOs</t>
  </si>
  <si>
    <t>Support to local and regional NGOs</t>
  </si>
  <si>
    <t>Refugees in donor countries</t>
  </si>
  <si>
    <t>Unallocated/ unspecified</t>
  </si>
  <si>
    <t>Sectors not specified</t>
  </si>
  <si>
    <t>Promotion of development awareness</t>
  </si>
  <si>
    <t>Website</t>
  </si>
  <si>
    <t>http://www.wateraid.org.uk/</t>
  </si>
  <si>
    <t xml:space="preserve">http://www.wateraid.org/uk/where-we-work/page/angola </t>
  </si>
  <si>
    <t>http://www.wateraid.org/uk/where-we-work/page/bangladesh</t>
  </si>
  <si>
    <t>http://www.wateraid.org/uk/where-we-work/page/burkina-faso</t>
  </si>
  <si>
    <t>http://www.wateraid.org/uk/where-we-work/page/ethiopia</t>
  </si>
  <si>
    <t>http://www.wateraid.org/uk/where-we-work/page/ghana</t>
  </si>
  <si>
    <t>http://www.wateraid.org/uk/where-we-work/page/india</t>
  </si>
  <si>
    <t>http://www.wateraid.org/uk/where-we-work/page/kenya</t>
  </si>
  <si>
    <t>http://www.wateraid.org/uk/where-we-work/page/lesotho</t>
  </si>
  <si>
    <t>http://www.wateraid.org/uk/where-we-work/page/liberia</t>
  </si>
  <si>
    <t>http://www.wateraid.org/mg</t>
  </si>
  <si>
    <t>http://www.wateraid.org/uk/where-we-work/page/malawi</t>
  </si>
  <si>
    <t>http://www.wateraid.org/uk/where-we-work/page/mali</t>
  </si>
  <si>
    <t>http://www.wateraid.org/uk/where-we-work/page/mozambique</t>
  </si>
  <si>
    <t>http://www.wateraid.org/np</t>
  </si>
  <si>
    <t>http://www.wateraid.org/uk/where-we-work/page/niger</t>
  </si>
  <si>
    <t>http://www.wateraid.org/ng</t>
  </si>
  <si>
    <t>http://www.wateraid.org/where-we-work/page/pakistan</t>
  </si>
  <si>
    <t>http://www.wateraid.org/uk/where-we-work/page/rwanda</t>
  </si>
  <si>
    <t>http://www.wateraid.org/uk/where-we-work/page/sierra-leone</t>
  </si>
  <si>
    <t>http://www.wateraid.org/uk/where-we-work/page/swaziland</t>
  </si>
  <si>
    <t>http://www.wateraid.org/uk/where-we-work/page/tanzania</t>
  </si>
  <si>
    <t>http://www.wateraid.org/uk/where-we-work/page/uganda</t>
  </si>
  <si>
    <t>http://www.wateraid.org/uk/where-we-work/page/zambia</t>
  </si>
  <si>
    <t>ODA</t>
  </si>
  <si>
    <t>OOF</t>
  </si>
  <si>
    <t>Private Grants</t>
  </si>
  <si>
    <t>Private Market</t>
  </si>
  <si>
    <t>Non flow (e.g. GNI)</t>
  </si>
  <si>
    <t>Other flows</t>
  </si>
  <si>
    <t>Source: DAC/CRS</t>
  </si>
  <si>
    <t>Column1</t>
  </si>
  <si>
    <t>Pipeline/identification</t>
  </si>
  <si>
    <t>Completion</t>
  </si>
  <si>
    <t>Post-completion</t>
  </si>
  <si>
    <t>Cancelled</t>
  </si>
  <si>
    <t>Source: IATI</t>
  </si>
  <si>
    <t>DAC Sector</t>
  </si>
  <si>
    <t>List_DAC_Sector</t>
  </si>
  <si>
    <t>ADT</t>
  </si>
  <si>
    <t>AidData</t>
  </si>
  <si>
    <t>COFOG</t>
  </si>
  <si>
    <t>Classification of the Functions of Government (UN)</t>
  </si>
  <si>
    <t>OECD Development Assistance Committee</t>
  </si>
  <si>
    <t>DAC-3</t>
  </si>
  <si>
    <t>OECD Development Assistance Committee 3 digit codes</t>
  </si>
  <si>
    <t>ISO</t>
  </si>
  <si>
    <t>International Organization for Standardization</t>
  </si>
  <si>
    <t>NTEE</t>
  </si>
  <si>
    <t>National Taxonomy for Exempt Entities (USA)</t>
  </si>
  <si>
    <t>Reporting Organisation (i.e. maintained by the reporting organisation of the activity).</t>
  </si>
  <si>
    <t>WB</t>
  </si>
  <si>
    <t>World Bank</t>
  </si>
  <si>
    <t>Only the above has been listed in this spreadsheet</t>
  </si>
  <si>
    <t>Vocabulary</t>
  </si>
  <si>
    <t>Named Range</t>
  </si>
  <si>
    <t>Source: IATI (based on DAC/CRS Channel of Delivery)</t>
  </si>
  <si>
    <t>Organisation Type</t>
  </si>
  <si>
    <t>Grant</t>
  </si>
  <si>
    <t>Subsidies to national private investors</t>
  </si>
  <si>
    <t>Interest subsidy</t>
  </si>
  <si>
    <t>Interest subsidy grant in AF</t>
  </si>
  <si>
    <t>Interest subsidy to national private exporters</t>
  </si>
  <si>
    <t>Capital subscription</t>
  </si>
  <si>
    <t>Deposit basis</t>
  </si>
  <si>
    <t>Encashment basis</t>
  </si>
  <si>
    <t>Loan</t>
  </si>
  <si>
    <t>Aid loan excluding debt reorganisation</t>
  </si>
  <si>
    <t>Investment-related loan to developing countries</t>
  </si>
  <si>
    <t>Loan in a joint venture with the recipient</t>
  </si>
  <si>
    <t>Loan to national private investor</t>
  </si>
  <si>
    <t>Loan to national private exporter</t>
  </si>
  <si>
    <t>Export credit</t>
  </si>
  <si>
    <t>Non-banks guaranteed export credits</t>
  </si>
  <si>
    <t>Non-banks non-guaranteed portions of guaranteed export credits</t>
  </si>
  <si>
    <t>Bank export credits</t>
  </si>
  <si>
    <t>Equity</t>
  </si>
  <si>
    <t>Acquisition of equity as part of a joint venture with the recipient</t>
  </si>
  <si>
    <t>Acquisition of equity not part of joint venture in developing countries</t>
  </si>
  <si>
    <t>Other acquisition of equity. Investment in a country on the DAC List of ODA Recipients that is not made to acquire a lasting interest in an enterprise.</t>
  </si>
  <si>
    <t>Debt relief</t>
  </si>
  <si>
    <t>Debt forgiveness: ODA claims (P)</t>
  </si>
  <si>
    <t>Debt forgiveness: ODA claims (I)</t>
  </si>
  <si>
    <t>Debt forgiveness: OOF claims (P)</t>
  </si>
  <si>
    <t>Debt forgiveness: OOF claims (I)</t>
  </si>
  <si>
    <t>Debt forgiveness: Private claims (P)</t>
  </si>
  <si>
    <t>Debt forgiveness: Private claims (I)</t>
  </si>
  <si>
    <t>Debt forgiveness: OOF claims (DSR)</t>
  </si>
  <si>
    <t>Debt forgiveness: Private claims (DSR)</t>
  </si>
  <si>
    <t>Debt forgiveness: Other</t>
  </si>
  <si>
    <t>Debt rescheduling: ODA claims (P)</t>
  </si>
  <si>
    <t>Debt rescheduling: ODA claims (I)</t>
  </si>
  <si>
    <t>Debt rescheduling: OOF claims (P)</t>
  </si>
  <si>
    <t>Debt rescheduling: OOF claims (I)</t>
  </si>
  <si>
    <t>Debt rescheduling: Private claims (P)</t>
  </si>
  <si>
    <t>Debt rescheduling: Private claims (I)</t>
  </si>
  <si>
    <t>Debt rescheduling: OOF claims (DSR)</t>
  </si>
  <si>
    <t>Debt rescheduling: Private claims (DSR)</t>
  </si>
  <si>
    <t>Debt rescheduling: OOF claim (DSR – original loan principal)</t>
  </si>
  <si>
    <t>Debt rescheduling: OOF claim (DSR – original loan interest)</t>
  </si>
  <si>
    <t>Debt rescheduling: Private claim (DSR – original loan principal)</t>
  </si>
  <si>
    <t>Investment</t>
  </si>
  <si>
    <t>Foreign direct investment</t>
  </si>
  <si>
    <t>Other foreign direct investment, including reinvested earnings</t>
  </si>
  <si>
    <t>Bonds</t>
  </si>
  <si>
    <t>Bank bonds</t>
  </si>
  <si>
    <t>Non-bank bonds</t>
  </si>
  <si>
    <t>Other securities/claims</t>
  </si>
  <si>
    <t>Other bank securities/claims</t>
  </si>
  <si>
    <t>Other non-bank securities/claims</t>
  </si>
  <si>
    <t>Securities and other instruments issued by multilateral agencies</t>
  </si>
  <si>
    <t>Finance Type</t>
  </si>
  <si>
    <t>A</t>
  </si>
  <si>
    <t>Budget support</t>
  </si>
  <si>
    <t>A01</t>
  </si>
  <si>
    <t>A02</t>
  </si>
  <si>
    <t>Sector budget support</t>
  </si>
  <si>
    <t>B</t>
  </si>
  <si>
    <t>Core contributions and pooled programmes and funds</t>
  </si>
  <si>
    <t>B01</t>
  </si>
  <si>
    <t>Core support to NGOs, other private bodies, PPPs and research institutes</t>
  </si>
  <si>
    <t>B02</t>
  </si>
  <si>
    <t>Core contributions to multilateral institutions</t>
  </si>
  <si>
    <t>B03</t>
  </si>
  <si>
    <t>Contributions to specific-purpose programmes and funds managed by international organisations (multilateral, INGO)</t>
  </si>
  <si>
    <t>B04</t>
  </si>
  <si>
    <t>Basket funds/pooled funding</t>
  </si>
  <si>
    <t>Project-type interventions</t>
  </si>
  <si>
    <t>D</t>
  </si>
  <si>
    <t>Experts and other technical assistance</t>
  </si>
  <si>
    <t>D01</t>
  </si>
  <si>
    <t>Donor country personnel</t>
  </si>
  <si>
    <t>D02</t>
  </si>
  <si>
    <t>Other technical assistance</t>
  </si>
  <si>
    <t>E</t>
  </si>
  <si>
    <t>Scholarships and student costs in donor countries</t>
  </si>
  <si>
    <t>E01</t>
  </si>
  <si>
    <t>Scholarships/training in donor country</t>
  </si>
  <si>
    <t>E02</t>
  </si>
  <si>
    <t>Imputed student costs</t>
  </si>
  <si>
    <t>F</t>
  </si>
  <si>
    <t>F01</t>
  </si>
  <si>
    <t>G</t>
  </si>
  <si>
    <t>Administrative costs not included elsewhere</t>
  </si>
  <si>
    <t>G01</t>
  </si>
  <si>
    <t>H</t>
  </si>
  <si>
    <t>Other in-donor expenditures</t>
  </si>
  <si>
    <t>H01</t>
  </si>
  <si>
    <t>Development awareness</t>
  </si>
  <si>
    <t>H02</t>
  </si>
  <si>
    <t>Aid Type</t>
  </si>
  <si>
    <t>Project-type interventions (Category)</t>
  </si>
  <si>
    <t>Administrative costs not included elsewhere (Category)</t>
  </si>
  <si>
    <t>Debt relief (Category)</t>
  </si>
  <si>
    <t>Partially tied</t>
  </si>
  <si>
    <t>Tied</t>
  </si>
  <si>
    <t>Tied Status</t>
  </si>
  <si>
    <t>Extending</t>
  </si>
  <si>
    <t>Accountable</t>
  </si>
  <si>
    <t>Organisation Role</t>
  </si>
  <si>
    <t>Activity</t>
  </si>
  <si>
    <t>In this File</t>
  </si>
  <si>
    <t>Yes</t>
  </si>
  <si>
    <t>No</t>
  </si>
  <si>
    <t>List_Inter_Activity</t>
  </si>
  <si>
    <t>List_Intra_Activity</t>
  </si>
  <si>
    <t>List_Intra_Title</t>
  </si>
  <si>
    <t>List_Inter_Title</t>
  </si>
  <si>
    <t>R</t>
  </si>
  <si>
    <t>Reimbursement</t>
  </si>
  <si>
    <t>Loan Repayment</t>
  </si>
  <si>
    <t>Interest Repayment</t>
  </si>
  <si>
    <t>QP</t>
  </si>
  <si>
    <t>Purchase of Equity</t>
  </si>
  <si>
    <t>QS</t>
  </si>
  <si>
    <t>Sale of Equity</t>
  </si>
  <si>
    <t>Credit Guarantee</t>
  </si>
  <si>
    <t>Disbursement to partner for current quarter of the project</t>
  </si>
  <si>
    <t>Expenditure by WaterAid for current quarter of the project</t>
  </si>
  <si>
    <t>Incoming Funds from the donor for the current quarter of the project</t>
  </si>
  <si>
    <t>Total commitment for the duration of the project from the donor</t>
  </si>
  <si>
    <t>Start Month Day</t>
  </si>
  <si>
    <t>End Month Day</t>
  </si>
  <si>
    <t>-01-01Z</t>
  </si>
  <si>
    <t>-04-01Z</t>
  </si>
  <si>
    <t>-07-01Z</t>
  </si>
  <si>
    <t>-10-01Z</t>
  </si>
  <si>
    <t>-03-31Z</t>
  </si>
  <si>
    <t>-06-30Z</t>
  </si>
  <si>
    <t>-09-30Z</t>
  </si>
  <si>
    <t>-12-31Z</t>
  </si>
  <si>
    <t>Q1</t>
  </si>
  <si>
    <t>Q2</t>
  </si>
  <si>
    <t>Q3</t>
  </si>
  <si>
    <t>Q4</t>
  </si>
  <si>
    <t>IATI ID</t>
  </si>
  <si>
    <t>Activity Named Range</t>
  </si>
  <si>
    <t>Title Named Range</t>
  </si>
  <si>
    <t>Org Named Range</t>
  </si>
  <si>
    <t>List_Provider_Name</t>
  </si>
  <si>
    <t>List_Reciever_Name</t>
  </si>
  <si>
    <t>website</t>
  </si>
  <si>
    <t>Website of the contact.</t>
  </si>
  <si>
    <t>General Enquiries</t>
  </si>
  <si>
    <t>Project Management</t>
  </si>
  <si>
    <t>Financial Management</t>
  </si>
  <si>
    <t>Communications</t>
  </si>
  <si>
    <t>Contact type</t>
  </si>
  <si>
    <t xml:space="preserve">Type of contact: 1 (General Enquiry), 2 (Project Management), 3 (Financial Management), 4 (Communications) </t>
  </si>
  <si>
    <t>Contact_Type</t>
  </si>
  <si>
    <t>start-actual</t>
  </si>
  <si>
    <t>end-planned</t>
  </si>
  <si>
    <t>start-planned</t>
  </si>
  <si>
    <t>Date Started</t>
  </si>
  <si>
    <t>Activity Date Type</t>
  </si>
  <si>
    <t>The planned start date as recorded in project documentation. Can be date of signature of activity agreement or approval by relevant body</t>
  </si>
  <si>
    <t>The planned end date as recorded in project documentation</t>
  </si>
  <si>
    <t>The actual start date, such as date of first disbursement</t>
  </si>
  <si>
    <t>end-actual</t>
  </si>
  <si>
    <t>The actual end date, such as date of last disbursement</t>
  </si>
  <si>
    <t>Planned and actual dates of the activity.</t>
  </si>
  <si>
    <t>Name of contact organisation.</t>
  </si>
  <si>
    <t>Ghana</t>
  </si>
  <si>
    <t>United Kingdom</t>
  </si>
  <si>
    <t>Angola</t>
  </si>
  <si>
    <t>Bangladesh</t>
  </si>
  <si>
    <t>Burkina Faso</t>
  </si>
  <si>
    <t>Ethiopia</t>
  </si>
  <si>
    <t>India</t>
  </si>
  <si>
    <t>Kenya</t>
  </si>
  <si>
    <t>Lesotho</t>
  </si>
  <si>
    <t>Liberia</t>
  </si>
  <si>
    <t>Madagascar</t>
  </si>
  <si>
    <t>Malawi</t>
  </si>
  <si>
    <t>Mali</t>
  </si>
  <si>
    <t>Mozambique</t>
  </si>
  <si>
    <t>Nepal</t>
  </si>
  <si>
    <t>Niger</t>
  </si>
  <si>
    <t>Nigeria</t>
  </si>
  <si>
    <t>Pakistan</t>
  </si>
  <si>
    <t>Rwanda</t>
  </si>
  <si>
    <t>Sierra Leone</t>
  </si>
  <si>
    <t>Swaziland</t>
  </si>
  <si>
    <t>Tanzania, United Republic of</t>
  </si>
  <si>
    <t>Uganda</t>
  </si>
  <si>
    <t>Zambia</t>
  </si>
  <si>
    <t>Afghanistan</t>
  </si>
  <si>
    <t>Åland Islands</t>
  </si>
  <si>
    <t>Albania</t>
  </si>
  <si>
    <t>Algeria</t>
  </si>
  <si>
    <t>American Samoa</t>
  </si>
  <si>
    <t>Andorra</t>
  </si>
  <si>
    <t>Anguilla</t>
  </si>
  <si>
    <t>Antarctica</t>
  </si>
  <si>
    <t>Antigua and Barbuda</t>
  </si>
  <si>
    <t>Argentina</t>
  </si>
  <si>
    <t>Armenia</t>
  </si>
  <si>
    <t>Aruba</t>
  </si>
  <si>
    <t>Australia</t>
  </si>
  <si>
    <t>Austria</t>
  </si>
  <si>
    <t>Azerbaijan</t>
  </si>
  <si>
    <t>Bahamas</t>
  </si>
  <si>
    <t>Bahrain</t>
  </si>
  <si>
    <t>Barbados</t>
  </si>
  <si>
    <t>Belarus</t>
  </si>
  <si>
    <t>Belgium</t>
  </si>
  <si>
    <t>Belize</t>
  </si>
  <si>
    <t>Benin</t>
  </si>
  <si>
    <t>Bermuda</t>
  </si>
  <si>
    <t>Bhutan</t>
  </si>
  <si>
    <t>Bolivia, Plurinational State of</t>
  </si>
  <si>
    <t>Bonaire, Saint Eustatius and Saba</t>
  </si>
  <si>
    <t>Bosnia and Herzegovina</t>
  </si>
  <si>
    <t>Botswana</t>
  </si>
  <si>
    <t>Bouvet Island</t>
  </si>
  <si>
    <t>Brazil</t>
  </si>
  <si>
    <t>British Indian Ocean Territory</t>
  </si>
  <si>
    <t>Brunei Darussalam</t>
  </si>
  <si>
    <t>Bulgaria</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</si>
  <si>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</si>
  <si>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</si>
  <si>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</si>
  <si>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</si>
  <si>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</si>
  <si>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</si>
  <si>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</si>
  <si>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</si>
  <si>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</si>
  <si>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</si>
  <si>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</si>
  <si>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</si>
  <si>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</si>
  <si>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</si>
  <si>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</si>
  <si>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</si>
  <si>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</si>
  <si>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</si>
  <si>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Côte D'Ivoire</t>
  </si>
  <si>
    <t>Croatia</t>
  </si>
  <si>
    <t>Cuba</t>
  </si>
  <si>
    <t>Curaçao</t>
  </si>
  <si>
    <t>Cyprus</t>
  </si>
  <si>
    <t>Czech Republic</t>
  </si>
  <si>
    <t>Denmark</t>
  </si>
  <si>
    <t>Djibouti</t>
  </si>
  <si>
    <t>Dominica</t>
  </si>
  <si>
    <t>Dominican Republic</t>
  </si>
  <si>
    <t>Ecuador</t>
  </si>
  <si>
    <t>Egypt</t>
  </si>
  <si>
    <t>El Salvador</t>
  </si>
  <si>
    <t>Equatorial Guinea</t>
  </si>
  <si>
    <t>Eritrea</t>
  </si>
  <si>
    <t>Estonia</t>
  </si>
  <si>
    <t>Falkland Islands (Malvinas)</t>
  </si>
  <si>
    <t>Faroe Islands</t>
  </si>
  <si>
    <t>Fiji</t>
  </si>
  <si>
    <t>Finland</t>
  </si>
  <si>
    <t>France</t>
  </si>
  <si>
    <t>French Guiana</t>
  </si>
  <si>
    <t>French Polynesia</t>
  </si>
  <si>
    <t>French Southern Territories</t>
  </si>
  <si>
    <t>Gabon</t>
  </si>
  <si>
    <t>Gambia</t>
  </si>
  <si>
    <t>Georgia</t>
  </si>
  <si>
    <t>Germany</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</si>
  <si>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</si>
  <si>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</si>
  <si>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</si>
  <si>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</si>
  <si>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</si>
  <si>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</si>
  <si>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</si>
  <si>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</si>
  <si>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</si>
  <si>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</si>
  <si>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</si>
  <si>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</si>
  <si>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</si>
  <si>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</si>
  <si>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</si>
  <si>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</si>
  <si>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</si>
  <si>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</si>
  <si>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</si>
  <si>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Iran, Islamic Republic of</t>
  </si>
  <si>
    <t>Iraq</t>
  </si>
  <si>
    <t>Ireland</t>
  </si>
  <si>
    <t>Isle of Man</t>
  </si>
  <si>
    <t>Israel</t>
  </si>
  <si>
    <t>Italy</t>
  </si>
  <si>
    <t>Jamaica</t>
  </si>
  <si>
    <t>Japan</t>
  </si>
  <si>
    <t>Jersey</t>
  </si>
  <si>
    <t>Jordan</t>
  </si>
  <si>
    <t>Kazakhstan</t>
  </si>
  <si>
    <t>Kiribati</t>
  </si>
  <si>
    <t>Korea, Democratic People's Republic of</t>
  </si>
  <si>
    <t>Korea, Republic of</t>
  </si>
  <si>
    <t>Kuwait</t>
  </si>
  <si>
    <t>Kyrgyzstan</t>
  </si>
  <si>
    <t>Lao People's Democratic Republic</t>
  </si>
  <si>
    <t>Latvia</t>
  </si>
  <si>
    <t>Lebanon</t>
  </si>
  <si>
    <t>Libyan Arab Jamahiriya</t>
  </si>
  <si>
    <t>Liechtenstein</t>
  </si>
  <si>
    <t>Lithuania</t>
  </si>
  <si>
    <t>Luxembourg</t>
  </si>
  <si>
    <t>Macao</t>
  </si>
  <si>
    <t>Macedonia, the Former Yugoslav Republic of</t>
  </si>
  <si>
    <t>Malaysia</t>
  </si>
  <si>
    <t>Maldives</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</si>
  <si>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</si>
  <si>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</si>
  <si>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</si>
  <si>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</si>
  <si>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</si>
  <si>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</si>
  <si>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</si>
  <si>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</si>
  <si>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</si>
  <si>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</si>
  <si>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</si>
  <si>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</si>
  <si>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</si>
  <si>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</si>
  <si>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Myanmar</t>
  </si>
  <si>
    <t>Namibia</t>
  </si>
  <si>
    <t>Nauru</t>
  </si>
  <si>
    <t>Netherlands</t>
  </si>
  <si>
    <t>New Caledonia</t>
  </si>
  <si>
    <t>New Zealand</t>
  </si>
  <si>
    <t>Nicaragua</t>
  </si>
  <si>
    <t>Niue</t>
  </si>
  <si>
    <t>Norfolk Island</t>
  </si>
  <si>
    <t>Northern Mariana Islands</t>
  </si>
  <si>
    <t>Norway</t>
  </si>
  <si>
    <t>Oman</t>
  </si>
  <si>
    <t>Palau</t>
  </si>
  <si>
    <t>Palestinian Territory, Occupied</t>
  </si>
  <si>
    <t>Panama</t>
  </si>
  <si>
    <t>Papua New Guinea</t>
  </si>
  <si>
    <t>Paraguay</t>
  </si>
  <si>
    <t>Peru</t>
  </si>
  <si>
    <t>Philippines</t>
  </si>
  <si>
    <t>Pitcairn</t>
  </si>
  <si>
    <t>Poland</t>
  </si>
  <si>
    <t>Portugal</t>
  </si>
  <si>
    <t>Puerto Rico</t>
  </si>
  <si>
    <t>Qatar</t>
  </si>
  <si>
    <t>Reunion</t>
  </si>
  <si>
    <t>Romania</t>
  </si>
  <si>
    <t>Russian Federation</t>
  </si>
  <si>
    <t>Saint Barthélemy</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</si>
  <si>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</si>
  <si>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</si>
  <si>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</si>
  <si>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</si>
  <si>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</si>
  <si>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</si>
  <si>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</si>
  <si>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</si>
  <si>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</si>
  <si>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</si>
  <si>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</si>
  <si>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</si>
  <si>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Singapore</t>
  </si>
  <si>
    <t>Sint Maarten (Dutch part)</t>
  </si>
  <si>
    <t>Slovakia</t>
  </si>
  <si>
    <t>Slovenia</t>
  </si>
  <si>
    <t>Solomon Islands</t>
  </si>
  <si>
    <t>Somalia</t>
  </si>
  <si>
    <t>South Africa</t>
  </si>
  <si>
    <t>Spain</t>
  </si>
  <si>
    <t>Sri Lanka</t>
  </si>
  <si>
    <t>Sudan</t>
  </si>
  <si>
    <t>Suriname</t>
  </si>
  <si>
    <t>Svalbard and Jan Mayen</t>
  </si>
  <si>
    <t>Sweden</t>
  </si>
  <si>
    <t>Switzerland</t>
  </si>
  <si>
    <t>Syrian Arab Republic</t>
  </si>
  <si>
    <t>Taiwan, Province of China</t>
  </si>
  <si>
    <t>Tajikistan</t>
  </si>
  <si>
    <t>Thailand</t>
  </si>
  <si>
    <t>Timor-leste</t>
  </si>
  <si>
    <t>Togo</t>
  </si>
  <si>
    <t>Tokelau</t>
  </si>
  <si>
    <t>Tonga</t>
  </si>
  <si>
    <t>Trinidad and Tobago</t>
  </si>
  <si>
    <t>Tunisia</t>
  </si>
  <si>
    <t>Turkey</t>
  </si>
  <si>
    <t>Turkmenistan</t>
  </si>
  <si>
    <t>Turks and Caicos Islands</t>
  </si>
  <si>
    <t>Tuvalu</t>
  </si>
  <si>
    <t>Ukraine</t>
  </si>
  <si>
    <t>United Arab Emirates</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</si>
  <si>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</si>
  <si>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</si>
  <si>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</si>
  <si>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</si>
  <si>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</si>
  <si>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</si>
  <si>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</si>
  <si>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</si>
  <si>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</si>
  <si>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</si>
  <si>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</si>
  <si>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</si>
  <si>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Zimbabwe</t>
  </si>
  <si>
    <t>WaterAid Transaction Types</t>
  </si>
  <si>
    <t>CPs</t>
  </si>
  <si>
    <t>in order to link your transactions to others, their transaction Ids are required - see "Provider activity ID" and "Reciever activity ID" in  "FundFlows" sheet.</t>
  </si>
  <si>
    <t>To link to related activities that are not in this file.</t>
  </si>
  <si>
    <t>Quarter</t>
  </si>
  <si>
    <t>Code2</t>
  </si>
  <si>
    <t>Transaction type</t>
  </si>
  <si>
    <t>Quarters</t>
  </si>
  <si>
    <t>External Activities Link</t>
  </si>
  <si>
    <t>http://www.wateraid.org/uk/open</t>
  </si>
  <si>
    <t>Supporter Giving</t>
  </si>
  <si>
    <t>Proposed WaterAid Additions</t>
  </si>
  <si>
    <t>Anonymous</t>
  </si>
  <si>
    <t>The official IATI identifier for the activity. This must be globally unique.</t>
  </si>
  <si>
    <t>Organisation's reference for activity</t>
  </si>
  <si>
    <t>Key to the type of related activity</t>
  </si>
  <si>
    <t>Relation (see key above)</t>
  </si>
  <si>
    <t>Type of date (see key above)</t>
  </si>
  <si>
    <t>Organisation's reference for Partner</t>
  </si>
  <si>
    <t>Partner</t>
  </si>
  <si>
    <t>List of all organisations used in this file.  Please use the first line for your organisation.  Tip use "remove duplicates" tool to keep this list short ( generally best to do after input complete record as before remove duplications partners concerned with activity are at the bottom)</t>
  </si>
  <si>
    <t>ZZZZZ</t>
  </si>
  <si>
    <t>Providing organisation is Partner?</t>
  </si>
  <si>
    <t>Date that project is due to commence</t>
  </si>
  <si>
    <t>Date that project is due to end</t>
  </si>
  <si>
    <t>Date that project started to the nearest quarter</t>
  </si>
  <si>
    <t>Dates</t>
  </si>
  <si>
    <t>Indicates elements that are autofilled by WaterAid rules</t>
  </si>
  <si>
    <t>Date First Published (Optional)</t>
  </si>
  <si>
    <t>default-flow-type</t>
  </si>
  <si>
    <t>default-finance-type</t>
  </si>
  <si>
    <t>default-aid-type</t>
  </si>
  <si>
    <t>default-tied-status</t>
  </si>
  <si>
    <t>related-activity</t>
  </si>
  <si>
    <t>meta-first-published</t>
  </si>
  <si>
    <t>Element Name</t>
  </si>
  <si>
    <t>Element description</t>
  </si>
  <si>
    <t>IATI element name:</t>
  </si>
  <si>
    <t>N/A</t>
  </si>
  <si>
    <t>Data that are not included in the final IATI XML report but required unless otherwise stated</t>
  </si>
  <si>
    <t>Key for colour coding</t>
  </si>
  <si>
    <t>Sub-element description</t>
  </si>
  <si>
    <t>unique sub-element description (hidden)</t>
  </si>
  <si>
    <t>Key for type of dates</t>
  </si>
  <si>
    <t>Date for activity</t>
  </si>
  <si>
    <t>Start date for WaterAid's unrestricted (999) activity (to assist filling in of data):</t>
  </si>
  <si>
    <t>Text that describes date</t>
  </si>
  <si>
    <t>iso-date of date</t>
  </si>
  <si>
    <t>Organisation name</t>
  </si>
  <si>
    <t>iati-activities/iati-activity</t>
  </si>
  <si>
    <t>iati-activity/activity-date</t>
  </si>
  <si>
    <t>iati-activity/participating-org</t>
  </si>
  <si>
    <t>This row should be hidden, please do not delete it</t>
  </si>
  <si>
    <t>Key for role</t>
  </si>
  <si>
    <t>The country or institution which provides the funds.</t>
  </si>
  <si>
    <t>The government entity (central, state or local government agency or department), or agency within an institution, financing the activity from its own budget</t>
  </si>
  <si>
    <t>The government agency, civil society or private sector institution which is accountable for the implementation of the activity.</t>
  </si>
  <si>
    <t>The intermediary between the extending agency and the ultimate beneficiary. Also known as executing agency or channel of delivery. They can be public sector, non-governmental agencies (NGOs), Public-Private partnerships, or multilateral institutions</t>
  </si>
  <si>
    <t>meta-relation-type</t>
  </si>
  <si>
    <t>meta-published-this-file</t>
  </si>
  <si>
    <t>Title of related activity</t>
  </si>
  <si>
    <t>iati-activity/related-activity</t>
  </si>
  <si>
    <t>iati-activity/transaction</t>
  </si>
  <si>
    <t>Key for transaction type</t>
  </si>
  <si>
    <t>The type of the transaction as categorised by a code defined by IATI (see key above)</t>
  </si>
  <si>
    <t>Published in this file? (Optional *)</t>
  </si>
  <si>
    <t>Related Activity</t>
  </si>
  <si>
    <t>Copy in list of spend tracking orgs for each project</t>
  </si>
  <si>
    <t>remove deuplicateswith partner and org ref selected</t>
  </si>
  <si>
    <t>WaterAid is always listed as a funder for each activity.  All WaterAid donors are funders, implementing organisations are as per transactions.</t>
  </si>
  <si>
    <t>For WaterAid, all activities are related to the corresponding country programmme activity, and each other.</t>
  </si>
  <si>
    <t>Recieving organisation is Reporting Organisation?</t>
  </si>
  <si>
    <t>Name of partner  (Optional - fill this column to use WaterAid automatic filling of participating and recieving organisations)</t>
  </si>
  <si>
    <t>meta-partner-name</t>
  </si>
  <si>
    <t>Provider Activity Identifier</t>
  </si>
  <si>
    <t>Reciever Activity Identifier</t>
  </si>
  <si>
    <t>value</t>
  </si>
  <si>
    <t>meta-activity-date</t>
  </si>
  <si>
    <t>Indicates where exchange rate differences have been added (absorbed by WaterAid)</t>
  </si>
  <si>
    <t>Indicates elements that are autofilled from IATI codelists and data available elsewhere in the workbook</t>
  </si>
  <si>
    <t>iati-activities</t>
  </si>
  <si>
    <t>@version</t>
  </si>
  <si>
    <t>@generated-datetime</t>
  </si>
  <si>
    <t>IATI Activities</t>
  </si>
  <si>
    <t>Root node for the IATI XML document</t>
  </si>
  <si>
    <t>This sheet should be hidden. It is necessary to produce the IATI XML document</t>
  </si>
  <si>
    <t>Element Name (Click element to find out more)</t>
  </si>
  <si>
    <t>Activity Contacts Info</t>
  </si>
  <si>
    <t>Transaction Info</t>
  </si>
  <si>
    <t>meta-iati-activity-ref</t>
  </si>
  <si>
    <t>meta-parent-ref</t>
  </si>
  <si>
    <t>meta-transaction-ref</t>
  </si>
  <si>
    <t>Organisation's reference for transaction</t>
  </si>
  <si>
    <t>* This column is used to populate the IATI Identifier drop-down list</t>
  </si>
  <si>
    <t>Mike Smith</t>
  </si>
  <si>
    <t>Activity File:</t>
  </si>
  <si>
    <t>Last updated:</t>
  </si>
  <si>
    <t>Last updated by:</t>
  </si>
  <si>
    <t>Activity Filename:</t>
  </si>
  <si>
    <t>Last time file generated:</t>
  </si>
  <si>
    <t>IATI standard version:</t>
  </si>
  <si>
    <t>XML file information</t>
  </si>
  <si>
    <t>File management stats (Optional)</t>
  </si>
  <si>
    <t>Indicates the reporting organisation's information</t>
  </si>
  <si>
    <t>2013-12-19T12:00:00Z</t>
  </si>
  <si>
    <t>Language</t>
  </si>
  <si>
    <t>Date that project ended to the nearest quarter</t>
  </si>
  <si>
    <t>aa</t>
  </si>
  <si>
    <t>Afar</t>
  </si>
  <si>
    <t>ab</t>
  </si>
  <si>
    <t>Abkhazian</t>
  </si>
  <si>
    <t>ae</t>
  </si>
  <si>
    <t>Avestan</t>
  </si>
  <si>
    <t>af</t>
  </si>
  <si>
    <t>Afrikaans</t>
  </si>
  <si>
    <t>ak</t>
  </si>
  <si>
    <t>Akan</t>
  </si>
  <si>
    <t>am</t>
  </si>
  <si>
    <t>Amharic</t>
  </si>
  <si>
    <t>an</t>
  </si>
  <si>
    <t>Aragonese</t>
  </si>
  <si>
    <t>ar</t>
  </si>
  <si>
    <t>Arabic</t>
  </si>
  <si>
    <t>as</t>
  </si>
  <si>
    <t>Assamese</t>
  </si>
  <si>
    <t>av</t>
  </si>
  <si>
    <t>Avaric</t>
  </si>
  <si>
    <t>ay</t>
  </si>
  <si>
    <t>Aymara</t>
  </si>
  <si>
    <t>az</t>
  </si>
  <si>
    <t>Azerbaijani</t>
  </si>
  <si>
    <t>ba</t>
  </si>
  <si>
    <t>Bashkir</t>
  </si>
  <si>
    <t>be</t>
  </si>
  <si>
    <t>Belarusian</t>
  </si>
  <si>
    <t>bg</t>
  </si>
  <si>
    <t>Bulgarian</t>
  </si>
  <si>
    <t>bh</t>
  </si>
  <si>
    <t>Bihari languages</t>
  </si>
  <si>
    <t>bi</t>
  </si>
  <si>
    <t>Bislama</t>
  </si>
  <si>
    <t>bm</t>
  </si>
  <si>
    <t>Bambara</t>
  </si>
  <si>
    <t>bn</t>
  </si>
  <si>
    <t>Bengali</t>
  </si>
  <si>
    <t>bo</t>
  </si>
  <si>
    <t>Tibetan</t>
  </si>
  <si>
    <t>br</t>
  </si>
  <si>
    <t>Breton</t>
  </si>
  <si>
    <t>bs</t>
  </si>
  <si>
    <t>Bosnian</t>
  </si>
  <si>
    <t>ca</t>
  </si>
  <si>
    <t>Catalan; Valencian</t>
  </si>
  <si>
    <t>ce</t>
  </si>
  <si>
    <t>Chechen</t>
  </si>
  <si>
    <t>ch</t>
  </si>
  <si>
    <t>Chamorro</t>
  </si>
  <si>
    <t>co</t>
  </si>
  <si>
    <t>Corsican</t>
  </si>
  <si>
    <t>cr</t>
  </si>
  <si>
    <t>Cree</t>
  </si>
  <si>
    <t>cs</t>
  </si>
  <si>
    <t>Czech</t>
  </si>
  <si>
    <t>cv</t>
  </si>
  <si>
    <t>Chuvash</t>
  </si>
  <si>
    <t>cy</t>
  </si>
  <si>
    <t>Welsh</t>
  </si>
  <si>
    <t>da</t>
  </si>
  <si>
    <t>Danish</t>
  </si>
  <si>
    <t>de</t>
  </si>
  <si>
    <t>German</t>
  </si>
  <si>
    <t>dv</t>
  </si>
  <si>
    <t>Divehi; Dhivehi; Maldivian</t>
  </si>
  <si>
    <t>dz</t>
  </si>
  <si>
    <t>Dzongkha</t>
  </si>
  <si>
    <t>ee</t>
  </si>
  <si>
    <t>Ewe</t>
  </si>
  <si>
    <t>el</t>
  </si>
  <si>
    <t>Greek</t>
  </si>
  <si>
    <t>English</t>
  </si>
  <si>
    <t>eo</t>
  </si>
  <si>
    <t>Esperanto</t>
  </si>
  <si>
    <t>es</t>
  </si>
  <si>
    <t>Spanish; Castilian</t>
  </si>
  <si>
    <t>et</t>
  </si>
  <si>
    <t>Estonian</t>
  </si>
  <si>
    <t>eu</t>
  </si>
  <si>
    <t>Basque</t>
  </si>
  <si>
    <t>fa</t>
  </si>
  <si>
    <t>Persian</t>
  </si>
  <si>
    <t>ff</t>
  </si>
  <si>
    <t>Fulah</t>
  </si>
  <si>
    <t>fi</t>
  </si>
  <si>
    <t>Finnish</t>
  </si>
  <si>
    <t>fj</t>
  </si>
  <si>
    <t>Fijian</t>
  </si>
  <si>
    <t>fo</t>
  </si>
  <si>
    <t>Faroese</t>
  </si>
  <si>
    <t>fr</t>
  </si>
  <si>
    <t>French</t>
  </si>
  <si>
    <t>fy</t>
  </si>
  <si>
    <t>Western Frisian</t>
  </si>
  <si>
    <t>ga</t>
  </si>
  <si>
    <t>Irish</t>
  </si>
  <si>
    <t>gd</t>
  </si>
  <si>
    <t>Gaelic; Scottish Gaelic</t>
  </si>
  <si>
    <t>gl</t>
  </si>
  <si>
    <t>Galician</t>
  </si>
  <si>
    <t>gn</t>
  </si>
  <si>
    <t>gu</t>
  </si>
  <si>
    <t>Gujarati</t>
  </si>
  <si>
    <t>gv</t>
  </si>
  <si>
    <t>Manx</t>
  </si>
  <si>
    <t>ha</t>
  </si>
  <si>
    <t>Hausa</t>
  </si>
  <si>
    <t>he</t>
  </si>
  <si>
    <t>Hebrew</t>
  </si>
  <si>
    <t>hi</t>
  </si>
  <si>
    <t>Hindi</t>
  </si>
  <si>
    <t>ho</t>
  </si>
  <si>
    <t>Hiri Motu</t>
  </si>
  <si>
    <t>hr</t>
  </si>
  <si>
    <t>Croatian</t>
  </si>
  <si>
    <t>ht</t>
  </si>
  <si>
    <t>Haitian; Haitian Creole</t>
  </si>
  <si>
    <t>hu</t>
  </si>
  <si>
    <t>Hungarian</t>
  </si>
  <si>
    <t>hy</t>
  </si>
  <si>
    <t>Armenian</t>
  </si>
  <si>
    <t>hz</t>
  </si>
  <si>
    <t>Herero</t>
  </si>
  <si>
    <t>id</t>
  </si>
  <si>
    <t>Indonesian</t>
  </si>
  <si>
    <t>ig</t>
  </si>
  <si>
    <t>Igbo</t>
  </si>
  <si>
    <t>ii</t>
  </si>
  <si>
    <t>Sichuan Yi; Nuosu</t>
  </si>
  <si>
    <t>ik</t>
  </si>
  <si>
    <t>Inupiaq</t>
  </si>
  <si>
    <t>io</t>
  </si>
  <si>
    <t>Ido</t>
  </si>
  <si>
    <t>is</t>
  </si>
  <si>
    <t>Icelandic</t>
  </si>
  <si>
    <t>it</t>
  </si>
  <si>
    <t>Italian</t>
  </si>
  <si>
    <t>iu</t>
  </si>
  <si>
    <t>Inuktitut</t>
  </si>
  <si>
    <t>ja</t>
  </si>
  <si>
    <t>Japanese</t>
  </si>
  <si>
    <t>jv</t>
  </si>
  <si>
    <t>Javanese</t>
  </si>
  <si>
    <t>ka</t>
  </si>
  <si>
    <t>Georgian</t>
  </si>
  <si>
    <t>kg</t>
  </si>
  <si>
    <t>Kongo</t>
  </si>
  <si>
    <t>ki</t>
  </si>
  <si>
    <t>Kikuyu; Gikuyu</t>
  </si>
  <si>
    <t>kj</t>
  </si>
  <si>
    <t>Kuanyama; Kwanyama</t>
  </si>
  <si>
    <t>kk</t>
  </si>
  <si>
    <t>Kazakh</t>
  </si>
  <si>
    <t>kl</t>
  </si>
  <si>
    <t>Kalaallisut; Greenlandic</t>
  </si>
  <si>
    <t>km</t>
  </si>
  <si>
    <t>Central Khmer</t>
  </si>
  <si>
    <t>kn</t>
  </si>
  <si>
    <t>Kannada</t>
  </si>
  <si>
    <t>ko</t>
  </si>
  <si>
    <t>Korean</t>
  </si>
  <si>
    <t>kr</t>
  </si>
  <si>
    <t>Kanuri</t>
  </si>
  <si>
    <t>ks</t>
  </si>
  <si>
    <t>Kashmiri</t>
  </si>
  <si>
    <t>ku</t>
  </si>
  <si>
    <t>Kurdish</t>
  </si>
  <si>
    <t>kv</t>
  </si>
  <si>
    <t>Komi</t>
  </si>
  <si>
    <t>kw</t>
  </si>
  <si>
    <t>Cornish</t>
  </si>
  <si>
    <t>ky</t>
  </si>
  <si>
    <t>Kirghiz; Kyrgyz</t>
  </si>
  <si>
    <t>la</t>
  </si>
  <si>
    <t>Latin</t>
  </si>
  <si>
    <t>lb</t>
  </si>
  <si>
    <t>Luxembourgish; Letzeburgesch</t>
  </si>
  <si>
    <t>lg</t>
  </si>
  <si>
    <t>Ganda</t>
  </si>
  <si>
    <t>li</t>
  </si>
  <si>
    <t>Limburgan; Limburger; Limburgish</t>
  </si>
  <si>
    <t>ln</t>
  </si>
  <si>
    <t>Lingala</t>
  </si>
  <si>
    <t>lo</t>
  </si>
  <si>
    <t>Lao</t>
  </si>
  <si>
    <t>lt</t>
  </si>
  <si>
    <t>Lithuanian</t>
  </si>
  <si>
    <t>lu</t>
  </si>
  <si>
    <t>Luba-Katanga</t>
  </si>
  <si>
    <t>lv</t>
  </si>
  <si>
    <t>Latvian</t>
  </si>
  <si>
    <t>mg</t>
  </si>
  <si>
    <t>Malagasy</t>
  </si>
  <si>
    <t>mh</t>
  </si>
  <si>
    <t>Marshallese</t>
  </si>
  <si>
    <t>mi</t>
  </si>
  <si>
    <t>Maori</t>
  </si>
  <si>
    <t>mk</t>
  </si>
  <si>
    <t>Macedonian</t>
  </si>
  <si>
    <t>ml</t>
  </si>
  <si>
    <t>Malayalam</t>
  </si>
  <si>
    <t>mn</t>
  </si>
  <si>
    <t>Mongolian</t>
  </si>
  <si>
    <t>mr</t>
  </si>
  <si>
    <t>Marathi</t>
  </si>
  <si>
    <t>ms</t>
  </si>
  <si>
    <t>Malay</t>
  </si>
  <si>
    <t>mt</t>
  </si>
  <si>
    <t>Maltese</t>
  </si>
  <si>
    <t>my</t>
  </si>
  <si>
    <t>Burmese</t>
  </si>
  <si>
    <t>na</t>
  </si>
  <si>
    <t>nb</t>
  </si>
  <si>
    <t>Bokmål, Norwegian; Norwegian Bokmål</t>
  </si>
  <si>
    <t>nd</t>
  </si>
  <si>
    <t>Ndebele, North; North Ndebele</t>
  </si>
  <si>
    <t>ne</t>
  </si>
  <si>
    <t>Nepali</t>
  </si>
  <si>
    <t>ng</t>
  </si>
  <si>
    <t>Ndonga</t>
  </si>
  <si>
    <t>nl</t>
  </si>
  <si>
    <t>Dutch; Flemish</t>
  </si>
  <si>
    <t>nn</t>
  </si>
  <si>
    <t>Norwegian Nynorsk; Nynorsk, Norwegian</t>
  </si>
  <si>
    <t>no</t>
  </si>
  <si>
    <t>Norwegian</t>
  </si>
  <si>
    <t>nr</t>
  </si>
  <si>
    <t>Ndebele, South; South Ndebele</t>
  </si>
  <si>
    <t>nv</t>
  </si>
  <si>
    <t>Navajo; Navaho</t>
  </si>
  <si>
    <t>ny</t>
  </si>
  <si>
    <t>Chichewa; Chewa; Nyanja</t>
  </si>
  <si>
    <t>oc</t>
  </si>
  <si>
    <t>Occitan (post 1500)</t>
  </si>
  <si>
    <t>oj</t>
  </si>
  <si>
    <t>Ojibwa</t>
  </si>
  <si>
    <t>om</t>
  </si>
  <si>
    <t>Oromo</t>
  </si>
  <si>
    <t>or</t>
  </si>
  <si>
    <t>Oriya</t>
  </si>
  <si>
    <t>os</t>
  </si>
  <si>
    <t>Ossetian; Ossetic</t>
  </si>
  <si>
    <t>pa</t>
  </si>
  <si>
    <t>Panjabi; Punjabi</t>
  </si>
  <si>
    <t>pi</t>
  </si>
  <si>
    <t>Pali</t>
  </si>
  <si>
    <t>pl</t>
  </si>
  <si>
    <t>Polish</t>
  </si>
  <si>
    <t>ps</t>
  </si>
  <si>
    <t>Pushto; Pashto</t>
  </si>
  <si>
    <t>pt</t>
  </si>
  <si>
    <t>Portuguese</t>
  </si>
  <si>
    <t>qu</t>
  </si>
  <si>
    <t>Quechua</t>
  </si>
  <si>
    <t>rm</t>
  </si>
  <si>
    <t>Romansh</t>
  </si>
  <si>
    <t>rn</t>
  </si>
  <si>
    <t>Rundi</t>
  </si>
  <si>
    <t>ro</t>
  </si>
  <si>
    <t>Romanian; Moldavian; Moldovan</t>
  </si>
  <si>
    <t>ru</t>
  </si>
  <si>
    <t>Russian</t>
  </si>
  <si>
    <t>rw</t>
  </si>
  <si>
    <t>Kinyarwanda</t>
  </si>
  <si>
    <t>sa</t>
  </si>
  <si>
    <t>Sanskrit</t>
  </si>
  <si>
    <t>sc</t>
  </si>
  <si>
    <t>Sardinian</t>
  </si>
  <si>
    <t>sd</t>
  </si>
  <si>
    <t>Sindhi</t>
  </si>
  <si>
    <t>se</t>
  </si>
  <si>
    <t>Northern Sami</t>
  </si>
  <si>
    <t>sg</t>
  </si>
  <si>
    <t>Sango</t>
  </si>
  <si>
    <t>si</t>
  </si>
  <si>
    <t>Sinhala; Sinhalese</t>
  </si>
  <si>
    <t>sk</t>
  </si>
  <si>
    <t>Slovak</t>
  </si>
  <si>
    <t>sl</t>
  </si>
  <si>
    <t>Slovenian</t>
  </si>
  <si>
    <t>sm</t>
  </si>
  <si>
    <t>Samoan</t>
  </si>
  <si>
    <t>sn</t>
  </si>
  <si>
    <t>Shona</t>
  </si>
  <si>
    <t>so</t>
  </si>
  <si>
    <t>Somali</t>
  </si>
  <si>
    <t>sq</t>
  </si>
  <si>
    <t>Albanian</t>
  </si>
  <si>
    <t>sr</t>
  </si>
  <si>
    <t>Serbian</t>
  </si>
  <si>
    <t>ss</t>
  </si>
  <si>
    <t>Swati</t>
  </si>
  <si>
    <t>st</t>
  </si>
  <si>
    <t>Sotho, Southern</t>
  </si>
  <si>
    <t>su</t>
  </si>
  <si>
    <t>Sundanese</t>
  </si>
  <si>
    <t>sv</t>
  </si>
  <si>
    <t>Swedish</t>
  </si>
  <si>
    <t>sw</t>
  </si>
  <si>
    <t>Swahili</t>
  </si>
  <si>
    <t>ta</t>
  </si>
  <si>
    <t>Tamil</t>
  </si>
  <si>
    <t>te</t>
  </si>
  <si>
    <t>Telugu</t>
  </si>
  <si>
    <t>tg</t>
  </si>
  <si>
    <t>Tajik</t>
  </si>
  <si>
    <t>th</t>
  </si>
  <si>
    <t>Thai</t>
  </si>
  <si>
    <t>ti</t>
  </si>
  <si>
    <t>Tigrinya</t>
  </si>
  <si>
    <t>tk</t>
  </si>
  <si>
    <t>Turkmen</t>
  </si>
  <si>
    <t>tl</t>
  </si>
  <si>
    <t>Tagalog</t>
  </si>
  <si>
    <t>tn</t>
  </si>
  <si>
    <t>Tswana</t>
  </si>
  <si>
    <t>to</t>
  </si>
  <si>
    <t>Tonga (Tonga Islands)</t>
  </si>
  <si>
    <t>tr</t>
  </si>
  <si>
    <t>Turkish</t>
  </si>
  <si>
    <t>ts</t>
  </si>
  <si>
    <t>Tsonga</t>
  </si>
  <si>
    <t>tt</t>
  </si>
  <si>
    <t>Tatar</t>
  </si>
  <si>
    <t>tw</t>
  </si>
  <si>
    <t>Twi</t>
  </si>
  <si>
    <t>ty</t>
  </si>
  <si>
    <t>Tahitian</t>
  </si>
  <si>
    <t>ug</t>
  </si>
  <si>
    <t>Uighur; Uyghur</t>
  </si>
  <si>
    <t>uk</t>
  </si>
  <si>
    <t>Ukrainian</t>
  </si>
  <si>
    <t>ur</t>
  </si>
  <si>
    <t>Urdu</t>
  </si>
  <si>
    <t>uz</t>
  </si>
  <si>
    <t>Uzbek</t>
  </si>
  <si>
    <t>ve</t>
  </si>
  <si>
    <t>Venda</t>
  </si>
  <si>
    <t>vi</t>
  </si>
  <si>
    <t>Vietnamese</t>
  </si>
  <si>
    <t>vo</t>
  </si>
  <si>
    <t>Volapük</t>
  </si>
  <si>
    <t>wa</t>
  </si>
  <si>
    <t>Walloon</t>
  </si>
  <si>
    <t>wo</t>
  </si>
  <si>
    <t>Wolof</t>
  </si>
  <si>
    <t>xh</t>
  </si>
  <si>
    <t>Xhosa</t>
  </si>
  <si>
    <t>yi</t>
  </si>
  <si>
    <t>Yiddish</t>
  </si>
  <si>
    <t>yo</t>
  </si>
  <si>
    <t>Yoruba</t>
  </si>
  <si>
    <t>za</t>
  </si>
  <si>
    <t>Zhuang; Chuang</t>
  </si>
  <si>
    <t>zh</t>
  </si>
  <si>
    <t>Chinese</t>
  </si>
  <si>
    <t>zu</t>
  </si>
  <si>
    <t>Zulu</t>
  </si>
  <si>
    <t>Source: ISO 639-1</t>
  </si>
  <si>
    <t>Hierarchy:</t>
  </si>
  <si>
    <t>Description type:</t>
  </si>
  <si>
    <t>Default language code:</t>
  </si>
  <si>
    <t>Default flow type:</t>
  </si>
  <si>
    <t>Default aid type:</t>
  </si>
  <si>
    <t>Default finance type:</t>
  </si>
  <si>
    <t>Contact type:</t>
  </si>
  <si>
    <t>Contact address:</t>
  </si>
  <si>
    <t>Contact email:</t>
  </si>
  <si>
    <t>Contact website:</t>
  </si>
  <si>
    <t>WaterAid Defaults</t>
  </si>
  <si>
    <t>Default currency:</t>
  </si>
  <si>
    <t>Sector vocabulary:</t>
  </si>
  <si>
    <t>Sector code:</t>
  </si>
  <si>
    <t>Sector percentage:</t>
  </si>
  <si>
    <t>Recipient country:</t>
  </si>
  <si>
    <t>Publish date:</t>
  </si>
  <si>
    <t>Start date of range being published:</t>
  </si>
  <si>
    <t>End date of range being published:</t>
  </si>
  <si>
    <t>meta-wateraid-only</t>
  </si>
  <si>
    <t>Publish day</t>
  </si>
  <si>
    <t>Add Year For Publish date</t>
  </si>
  <si>
    <t>UGA13</t>
  </si>
  <si>
    <t>UGA17</t>
  </si>
  <si>
    <t>UGA19</t>
  </si>
  <si>
    <t>UGA24</t>
  </si>
  <si>
    <t>UGA50</t>
  </si>
  <si>
    <t>UGL50</t>
  </si>
  <si>
    <t>UGR52</t>
  </si>
  <si>
    <t>Developing Southern Civil Society Advocacy in Water and Sanitation in Sub-Saharan Africa, South Asia and Central America - GTF - Uganda</t>
  </si>
  <si>
    <t>WaterAid GTF programme aims to increase the capacity and resources of civil society "policy communities" in 16 target countries (across Africa, Asia and central America) to participate in effective evidence-based dialogue with decision-makers in the water and sanitation arena and build pressure to secure pro-poor service delivery.</t>
  </si>
  <si>
    <t>Water Sanitation and Hygiene Technologies -Collaborative Project-small or medium scale focused research Project</t>
  </si>
  <si>
    <t>To improve management and functionality of WASH systems, WaterAid Uganda has collaborated on the WASHTECH project which is developing the Technology Assessment Framework (TAF) that allows for an in-depth analysis of technologies before introduction and scale up to ensure that a number of dimensions for sustainability have been considered and challenges addressed. The tool will be finalised and guidelines developed for its use by different sector stakeholders at different levels.</t>
  </si>
  <si>
    <t>This project will address WASH problems by increasing water, sanitation and hygiene (WASH) coverage contributing towards reaching the MDGs on water and sanitation, in all the 5 districts. Over the 3 years, It will enable over 19,571 community members to access safe water through the construction of boreholes, sand dam, Ferro cement tanks and rain water jars. Sanitation facilities will be constructed in institutions coupled with promotion at household level. In total, 67,416 people will benefit by adopting safe waste disposal practices and good hygiene practices</t>
  </si>
  <si>
    <t>To support the poor and under-served urban communities to access affordable, equitable, sustainable and safe WASH services by 2015.</t>
  </si>
  <si>
    <t xml:space="preserve">The project will improve access to water and sanitation in  schools;  support Village Health Teams (VHTs) to develop advocacy skills, and  promote hygiene education to slum communities in Kampala. </t>
  </si>
  <si>
    <t>To establish a rigorous evidence base for how and to what degree improved WASH impacts on the lives of disabled people and their families; to design an inclusive programme of work that ensures everyone can benefit from access to WASH throughout the total lifecycle and to influence policy makers, practitioners and decision makers to mainstream inclusive WASH.</t>
  </si>
  <si>
    <t>Decent Living - improving the lives of peoples living in slums in Kampala through improved housing, water and sanitation</t>
  </si>
  <si>
    <t>The project will ensure equitable and sustainable access to shelter, safe Water, adequate sanitation, Strengthened partnerships and coalitions influencing housing and WASH related policies programs and practices and enhanced good governance for sustainable and equitable WASH and housing service delivery</t>
  </si>
  <si>
    <t>A hidden crisis? Strengthening the evidence base on the sustainability of rural groundwater services</t>
  </si>
  <si>
    <t>The project sets out to address source failure by developing an interdisciplinary framework for assessing the many causes of failure and assembling the tools and methodologies to carry out such assessments. This will include re-examination of existing datasets on borehole performance, detailed field examinations of failed boreholes and pumps, discussions with user communities and other stakeholders and assessment of data on groundwater resources and quality. The framework and toolbox will be developed and tested in a pilot case study selected from within existing WaterAid programmes. The subsequent intention is to roll it out more widely in an effort to develop a robust evidence base to source failure, and improve the performance and sustainability of rural groundwater sources in sub-Saharan Africa.</t>
  </si>
  <si>
    <t>Department For International Development (DFID) - GTF</t>
  </si>
  <si>
    <t>EU</t>
  </si>
  <si>
    <t>EC Water Facility</t>
  </si>
  <si>
    <t>Comic Relief</t>
  </si>
  <si>
    <t>Department for International Development (DFID) Sanitation and Hygiene Applied Research for Equity (SHARE)</t>
  </si>
  <si>
    <t>Swedish Postcode Lottery (Insamlingsstiftelsen)</t>
  </si>
  <si>
    <t>National Environmental Research Council (NERC)</t>
  </si>
  <si>
    <t>UG999</t>
  </si>
  <si>
    <t>Busoga Trust</t>
  </si>
  <si>
    <t>Health Through Water &amp; Sanitation</t>
  </si>
  <si>
    <t>Masindi District local Government</t>
  </si>
  <si>
    <t>Napak District Local Government</t>
  </si>
  <si>
    <t>Paliisa DLG</t>
  </si>
  <si>
    <t>Teso Diocese Development Organisation</t>
  </si>
  <si>
    <t>Uganda Rain Water Association</t>
  </si>
  <si>
    <t>Uganda Water and Sanitation NGO Network</t>
  </si>
  <si>
    <t>Wera Development Association</t>
  </si>
  <si>
    <t>Amuria District Local Government</t>
  </si>
  <si>
    <t>African Evangelistic Enterprise</t>
  </si>
  <si>
    <t>Community Integrated  Development Initiative</t>
  </si>
  <si>
    <t>Kampala Capital City Authority</t>
  </si>
  <si>
    <t>BUSO1</t>
  </si>
  <si>
    <t>HEWA1</t>
  </si>
  <si>
    <t>KADP1</t>
  </si>
  <si>
    <t>MASI1</t>
  </si>
  <si>
    <t>NAPA1</t>
  </si>
  <si>
    <t>PALI1</t>
  </si>
  <si>
    <t>TEDD1</t>
  </si>
  <si>
    <t>URWA1</t>
  </si>
  <si>
    <t>UWAS1</t>
  </si>
  <si>
    <t>WEDA1</t>
  </si>
  <si>
    <t>AMUR1</t>
  </si>
  <si>
    <t>AFRI1</t>
  </si>
  <si>
    <t>CIDI1</t>
  </si>
  <si>
    <t>KCCA1</t>
  </si>
  <si>
    <t>GB-CHC-288701-UG</t>
  </si>
  <si>
    <t>GB-CHC-288701-UG999</t>
  </si>
  <si>
    <t>GB-CHC-288701-UGA13</t>
  </si>
  <si>
    <t>GB-CHC-288701-UGA17</t>
  </si>
  <si>
    <t>GB-CHC-288701-UGA19</t>
  </si>
  <si>
    <t>GB-CHC-288701-UGA24</t>
  </si>
  <si>
    <t>GB-CHC-288701-UGA50</t>
  </si>
  <si>
    <t>GB-CHC-288701-UGL50</t>
  </si>
  <si>
    <t>GB-CHC-288701-UGR52</t>
  </si>
  <si>
    <t>2013-07-01Z</t>
  </si>
  <si>
    <t>HE&amp;M1</t>
  </si>
  <si>
    <t>UNIL1</t>
  </si>
  <si>
    <t>THAM1</t>
  </si>
  <si>
    <t>HSBC1</t>
  </si>
  <si>
    <t>SAVE1</t>
  </si>
  <si>
    <t>BIGL1</t>
  </si>
  <si>
    <t>DFID3</t>
  </si>
  <si>
    <t>targetNamespace</t>
  </si>
  <si>
    <t>version</t>
  </si>
  <si>
    <t>ns2:documentation</t>
  </si>
  <si>
    <t>ns1:lang</t>
  </si>
  <si>
    <t>schemaLocation</t>
  </si>
  <si>
    <t>namespace</t>
  </si>
  <si>
    <t>name</t>
  </si>
  <si>
    <t>mixed</t>
  </si>
  <si>
    <t>minOccurs</t>
  </si>
  <si>
    <t>maxOccurs</t>
  </si>
  <si>
    <t>ref</t>
  </si>
  <si>
    <t>processContents</t>
  </si>
  <si>
    <t>use</t>
  </si>
  <si>
    <t>schemaLocation2</t>
  </si>
  <si>
    <t>ns2:documentation3</t>
  </si>
  <si>
    <t>ns1:lang4</t>
  </si>
  <si>
    <t>name5</t>
  </si>
  <si>
    <t>ns2:documentation6</t>
  </si>
  <si>
    <t>ns1:lang7</t>
  </si>
  <si>
    <t>namespace8</t>
  </si>
  <si>
    <t>name9</t>
  </si>
  <si>
    <t>type10</t>
  </si>
  <si>
    <t>ref11</t>
  </si>
  <si>
    <t>ns2:documentation12</t>
  </si>
  <si>
    <t>ns1:lang13</t>
  </si>
  <si>
    <t>processContents14</t>
  </si>
  <si>
    <t>namespace15</t>
  </si>
  <si>
    <t>ref16</t>
  </si>
  <si>
    <t>iati-activity@hierarchy</t>
  </si>
  <si>
    <t>iati-activity@default-currency</t>
  </si>
  <si>
    <t>iati-activity@last-updated-datetime</t>
  </si>
  <si>
    <t>description@type</t>
  </si>
  <si>
    <t>reporting-org@type</t>
  </si>
  <si>
    <t>reporting-org@ref</t>
  </si>
  <si>
    <t>activity-status@code</t>
  </si>
  <si>
    <t>recipient-country@code</t>
  </si>
  <si>
    <t>sector@vocabulary</t>
  </si>
  <si>
    <t>sector@percentage</t>
  </si>
  <si>
    <t>sector@code</t>
  </si>
  <si>
    <t>default-flow-type@code</t>
  </si>
  <si>
    <t>default-finance-type@code</t>
  </si>
  <si>
    <t>default-aid-type@code</t>
  </si>
  <si>
    <t>default-tied-status@code</t>
  </si>
  <si>
    <t>activity-date@type</t>
  </si>
  <si>
    <t>activity-date@iso-date</t>
  </si>
  <si>
    <t>participating-org@role</t>
  </si>
  <si>
    <t>participating-org@type</t>
  </si>
  <si>
    <t>participating-org@ref</t>
  </si>
  <si>
    <t>related-activity@ref</t>
  </si>
  <si>
    <t>related-activity@type</t>
  </si>
  <si>
    <t>transaction-type@code</t>
  </si>
  <si>
    <t>transaction-date@iso-date</t>
  </si>
  <si>
    <t>value@currency</t>
  </si>
  <si>
    <t>value@value-date</t>
  </si>
  <si>
    <t>provider-org@ref</t>
  </si>
  <si>
    <t>provider-org@provider-activity-id</t>
  </si>
  <si>
    <t>receiver-org@ref</t>
  </si>
  <si>
    <t>transaction@ref</t>
  </si>
  <si>
    <t>contact-info\organisation</t>
  </si>
  <si>
    <t>contact-info\mailing-address</t>
  </si>
  <si>
    <t>contact-info\email</t>
  </si>
  <si>
    <t>contact-info\website</t>
  </si>
  <si>
    <t>contact-info@type</t>
  </si>
  <si>
    <t>flow-type</t>
  </si>
  <si>
    <t>flow-type@code</t>
  </si>
  <si>
    <t>Undoing inequity inclusive sanitation and hygiene programmes that deliver for all Uganda and Zambia</t>
  </si>
  <si>
    <t>receiver-org@receiver-activity-id</t>
  </si>
  <si>
    <t>Karamoja Agro-Pastoral Dev't Programme</t>
  </si>
  <si>
    <t>The Equitable and sustainable access to Safe Water, Improved Sanitation and hygiene for poor communities for post conflict areas of Uganda is a 5 years project co-funded under the EU- Water Facilities.</t>
  </si>
  <si>
    <t>iati-activity@xml:lang</t>
  </si>
  <si>
    <t>f</t>
  </si>
  <si>
    <r>
      <t>Our aim is to ensure universal and lasting access to water and sanitation and hygiene as fund%amental $human rights. Unrestric£ted funding is esse!ntial to the way we work^; It provides us with the flexibility to carry out work that is not covered by grants restricted to specific projects. This enables us to be more innovative,  and work on activities that are crucial  i/n  maximising our impact but may produce results \that are hard to measure.  For example@, it can help us to empower communities, support inclusion, and influence decision makers such as local and national government. It can be used to build the capacity of our staff and partner organisations, to monitor, research and learn from our |work and share learning with others. Fina-lly, it provides our programmes with financial sustainability to ensure critical work can continue where there are funding gaps and unexpected costs.                                                      !"£$%^&amp;*()_+-=¬`\|&lt;&gt;?,.//*-+;'#[]:@~{}</t>
    </r>
    <r>
      <rPr>
        <sz val="11"/>
        <rFont val="Arial"/>
        <family val="2"/>
      </rPr>
      <t>₸₸ₔ₡↔∞⅜ﻻﻨẫấẑẊṦṧṒṫḠᶲᶞᴞ</t>
    </r>
  </si>
</sst>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4" formatCode="_-&quot;£&quot;* #,##0.00_-;\-&quot;£&quot;* #,##0.00_-;_-&quot;£&quot;* &quot;-&quot;??_-;_-@_-"/>
    <numFmt numFmtId="43" formatCode="_-* #,##0.00_-;\-* #,##0.00_-;_-* &quot;-&quot;??_-;_-@_-"/>
    <numFmt numFmtId="164" formatCode="_-[$€-2]\ * #,##0.00_-;\-[$€-2]\ * #,##0.00_-;_-[$€-2]\ * &quot;-&quot;??_-;_-@_-"/>
    <numFmt numFmtId="165" formatCode="#,##0;[Red]\(#,##0\);\-"/>
    <numFmt numFmtId="166" formatCode="0.0%"/>
    <numFmt numFmtId="167" formatCode="#,##0_};\(#,##0\);\-\ \ \ "/>
    <numFmt numFmtId="168" formatCode="0\100\1\1\4\50\9\600"/>
    <numFmt numFmtId="169" formatCode="_(* #,##0.00_);_(* \(#,##0.00\);_(* &quot;-&quot;??_);_(@_)"/>
    <numFmt numFmtId="170" formatCode="#,##0;\(#,##0\);\-"/>
    <numFmt numFmtId="171" formatCode="[$-409]mmm\-yy;@"/>
    <numFmt numFmtId="172" formatCode="#,##0_ ;\(#,##0\);\-\ "/>
    <numFmt numFmtId="173" formatCode="yyyy\-mm\-dd\Z"/>
  </numFmts>
  <fonts count="75">
    <font>
      <sz val="11"/>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font>
    <font>
      <sz val="11"/>
      <color theme="1"/>
      <name val="Calibri"/>
      <family val="2"/>
      <scheme val="minor"/>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name val="Calibri"/>
      <family val="2"/>
      <scheme val="minor"/>
    </font>
    <font>
      <u/>
      <sz val="10"/>
      <color theme="10"/>
      <name val="Arial"/>
      <family val="2"/>
    </font>
    <font>
      <sz val="12"/>
      <color theme="1"/>
      <name val="Calibri"/>
      <family val="2"/>
      <scheme val="minor"/>
    </font>
    <font>
      <b/>
      <sz val="12"/>
      <color theme="1"/>
      <name val="Calibri"/>
      <family val="2"/>
      <scheme val="minor"/>
    </font>
    <font>
      <b/>
      <sz val="11"/>
      <name val="Calibri"/>
      <family val="2"/>
      <scheme val="minor"/>
    </font>
    <font>
      <b/>
      <sz val="18"/>
      <color theme="1"/>
      <name val="Calibri"/>
      <family val="2"/>
      <scheme val="minor"/>
    </font>
    <font>
      <b/>
      <sz val="14"/>
      <color theme="1"/>
      <name val="Calibri"/>
      <family val="2"/>
      <scheme val="minor"/>
    </font>
    <font>
      <u/>
      <sz val="9.9"/>
      <color theme="10"/>
      <name val="Calibri"/>
      <family val="2"/>
    </font>
    <font>
      <sz val="10"/>
      <color theme="1"/>
      <name val="Arial"/>
      <family val="2"/>
    </font>
    <font>
      <b/>
      <sz val="10"/>
      <color theme="1"/>
      <name val="Arial"/>
      <family val="2"/>
    </font>
    <font>
      <sz val="9"/>
      <color indexed="81"/>
      <name val="Tahoma"/>
      <family val="2"/>
    </font>
    <font>
      <u/>
      <sz val="10"/>
      <color indexed="39"/>
      <name val="Arial"/>
      <family val="2"/>
    </font>
    <font>
      <sz val="11"/>
      <color theme="1"/>
      <name val="Arial"/>
      <family val="2"/>
    </font>
    <font>
      <sz val="12"/>
      <name val="Arial"/>
      <family val="2"/>
    </font>
    <font>
      <b/>
      <sz val="10"/>
      <name val="Arial"/>
      <family val="2"/>
    </font>
    <font>
      <sz val="11"/>
      <name val="ＭＳ 明朝"/>
      <family val="1"/>
      <charset val="128"/>
    </font>
    <font>
      <sz val="11"/>
      <color indexed="8"/>
      <name val="Calibri"/>
      <family val="2"/>
    </font>
    <font>
      <sz val="11"/>
      <color indexed="9"/>
      <name val="Calibri"/>
      <family val="2"/>
    </font>
    <font>
      <sz val="12"/>
      <color theme="0"/>
      <name val="Arial"/>
      <family val="2"/>
    </font>
    <font>
      <sz val="10"/>
      <color theme="0"/>
      <name val="Arial"/>
      <family val="2"/>
    </font>
    <font>
      <sz val="11"/>
      <color indexed="10"/>
      <name val="Calibri"/>
      <family val="2"/>
    </font>
    <font>
      <sz val="11"/>
      <color indexed="20"/>
      <name val="Calibri"/>
      <family val="2"/>
    </font>
    <font>
      <sz val="11"/>
      <color indexed="14"/>
      <name val="Calibri"/>
      <family val="2"/>
    </font>
    <font>
      <b/>
      <sz val="11"/>
      <color indexed="52"/>
      <name val="Calibri"/>
      <family val="2"/>
    </font>
    <font>
      <sz val="11"/>
      <color indexed="52"/>
      <name val="Calibri"/>
      <family val="2"/>
    </font>
    <font>
      <b/>
      <sz val="11"/>
      <color indexed="9"/>
      <name val="Calibri"/>
      <family val="2"/>
    </font>
    <font>
      <sz val="11"/>
      <color indexed="8"/>
      <name val="Arial"/>
      <family val="2"/>
    </font>
    <font>
      <sz val="10"/>
      <name val="Verdana"/>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rgb="FFFF0000"/>
      <name val="Calibri"/>
      <family val="2"/>
      <scheme val="minor"/>
    </font>
    <font>
      <b/>
      <sz val="11"/>
      <color indexed="56"/>
      <name val="Calibri"/>
      <family val="2"/>
    </font>
    <font>
      <b/>
      <sz val="11"/>
      <color indexed="62"/>
      <name val="Calibri"/>
      <family val="2"/>
    </font>
    <font>
      <u/>
      <sz val="6"/>
      <color indexed="12"/>
      <name val="Arial"/>
      <family val="2"/>
    </font>
    <font>
      <u/>
      <sz val="10"/>
      <color indexed="12"/>
      <name val="Arial"/>
      <family val="2"/>
    </font>
    <font>
      <sz val="11"/>
      <color indexed="60"/>
      <name val="Calibri"/>
      <family val="2"/>
    </font>
    <font>
      <sz val="10"/>
      <name val="MS Sans Serif"/>
      <family val="2"/>
    </font>
    <font>
      <b/>
      <sz val="11"/>
      <color indexed="63"/>
      <name val="Calibri"/>
      <family val="2"/>
    </font>
    <font>
      <sz val="9"/>
      <name val="Arial"/>
      <family val="2"/>
    </font>
    <font>
      <b/>
      <sz val="18"/>
      <color indexed="56"/>
      <name val="Cambria"/>
      <family val="2"/>
    </font>
    <font>
      <b/>
      <sz val="18"/>
      <color indexed="62"/>
      <name val="Cambria"/>
      <family val="2"/>
    </font>
    <font>
      <b/>
      <sz val="11"/>
      <color indexed="8"/>
      <name val="Calibri"/>
      <family val="2"/>
    </font>
    <font>
      <sz val="10"/>
      <color indexed="8"/>
      <name val="Arial"/>
      <family val="2"/>
    </font>
    <font>
      <b/>
      <sz val="12"/>
      <name val="Calibri"/>
      <family val="2"/>
      <scheme val="minor"/>
    </font>
    <font>
      <b/>
      <sz val="9"/>
      <color indexed="81"/>
      <name val="Tahoma"/>
      <family val="2"/>
    </font>
    <font>
      <b/>
      <sz val="11"/>
      <color rgb="FFFF0000"/>
      <name val="Calibri"/>
      <family val="2"/>
      <scheme val="minor"/>
    </font>
    <font>
      <b/>
      <sz val="12"/>
      <name val="Arial"/>
      <family val="2"/>
    </font>
    <font>
      <sz val="14"/>
      <color rgb="FFFF0000"/>
      <name val="Calibri"/>
      <family val="2"/>
      <scheme val="minor"/>
    </font>
    <font>
      <b/>
      <u/>
      <sz val="12"/>
      <color theme="1"/>
      <name val="Calibri"/>
      <family val="2"/>
      <scheme val="minor"/>
    </font>
    <font>
      <b/>
      <sz val="11"/>
      <color theme="0"/>
      <name val="Calibri"/>
      <family val="2"/>
      <scheme val="minor"/>
    </font>
    <font>
      <sz val="11"/>
      <name val="Arial"/>
      <family val="2"/>
    </font>
  </fonts>
  <fills count="8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indexed="43"/>
        <bgColor indexed="64"/>
      </patternFill>
    </fill>
    <fill>
      <patternFill patternType="solid">
        <fgColor theme="8" tint="0.59999389629810485"/>
        <bgColor indexed="64"/>
      </patternFill>
    </fill>
    <fill>
      <patternFill patternType="solid">
        <fgColor rgb="FFFFFF6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theme="4" tint="0.79998168889431442"/>
        <bgColor indexed="64"/>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indexed="42"/>
        <bgColor indexed="64"/>
      </patternFill>
    </fill>
    <fill>
      <patternFill patternType="solid">
        <fgColor indexed="41"/>
        <bgColor indexed="64"/>
      </patternFill>
    </fill>
    <fill>
      <patternFill patternType="solid">
        <fgColor indexed="43"/>
        <bgColor indexed="26"/>
      </patternFill>
    </fill>
    <fill>
      <patternFill patternType="solid">
        <fgColor indexed="47"/>
        <bgColor indexed="64"/>
      </patternFill>
    </fill>
    <fill>
      <patternFill patternType="solid">
        <fgColor rgb="FFC0A5CF"/>
        <bgColor indexed="64"/>
      </patternFill>
    </fill>
    <fill>
      <patternFill patternType="solid">
        <fgColor indexed="22"/>
        <bgColor indexed="64"/>
      </patternFill>
    </fill>
    <fill>
      <patternFill patternType="solid">
        <fgColor rgb="FFFFFFFF"/>
        <bgColor indexed="64"/>
      </patternFill>
    </fill>
    <fill>
      <patternFill patternType="solid">
        <fgColor theme="0" tint="-0.34998626667073579"/>
        <bgColor theme="4" tint="0.59999389629810485"/>
      </patternFill>
    </fill>
    <fill>
      <patternFill patternType="solid">
        <fgColor theme="0" tint="-0.34998626667073579"/>
        <bgColor theme="4" tint="0.79998168889431442"/>
      </patternFill>
    </fill>
    <fill>
      <patternFill patternType="solid">
        <fgColor rgb="FFFFFF00"/>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9" tint="-0.249977111117893"/>
        <bgColor indexed="64"/>
      </patternFill>
    </fill>
  </fills>
  <borders count="123">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thin">
        <color indexed="64"/>
      </left>
      <right style="thin">
        <color indexed="64"/>
      </right>
      <top style="thin">
        <color auto="1"/>
      </top>
      <bottom/>
      <diagonal/>
    </border>
    <border>
      <left/>
      <right style="medium">
        <color auto="1"/>
      </right>
      <top style="thin">
        <color auto="1"/>
      </top>
      <bottom/>
      <diagonal/>
    </border>
    <border>
      <left style="thin">
        <color indexed="64"/>
      </left>
      <right style="thin">
        <color indexed="64"/>
      </right>
      <top style="thin">
        <color auto="1"/>
      </top>
      <bottom style="thin">
        <color auto="1"/>
      </bottom>
      <diagonal/>
    </border>
    <border>
      <left/>
      <right/>
      <top style="medium">
        <color indexed="64"/>
      </top>
      <bottom style="thin">
        <color auto="1"/>
      </bottom>
      <diagonal/>
    </border>
    <border>
      <left/>
      <right style="medium">
        <color auto="1"/>
      </right>
      <top style="medium">
        <color indexed="64"/>
      </top>
      <bottom style="thin">
        <color auto="1"/>
      </bottom>
      <diagonal/>
    </border>
    <border>
      <left style="medium">
        <color auto="1"/>
      </left>
      <right style="medium">
        <color auto="1"/>
      </right>
      <top style="medium">
        <color indexed="64"/>
      </top>
      <bottom/>
      <diagonal/>
    </border>
    <border>
      <left style="medium">
        <color auto="1"/>
      </left>
      <right style="medium">
        <color auto="1"/>
      </right>
      <top/>
      <bottom/>
      <diagonal/>
    </border>
    <border>
      <left/>
      <right style="thin">
        <color theme="0"/>
      </right>
      <top/>
      <bottom/>
      <diagonal/>
    </border>
    <border>
      <left/>
      <right style="thin">
        <color theme="0"/>
      </right>
      <top style="thin">
        <color theme="0"/>
      </top>
      <bottom style="thin">
        <color theme="0"/>
      </bottom>
      <diagonal/>
    </border>
    <border>
      <left/>
      <right style="thin">
        <color theme="0"/>
      </right>
      <top/>
      <bottom style="thin">
        <color theme="0"/>
      </bottom>
      <diagonal/>
    </border>
    <border>
      <left style="medium">
        <color auto="1"/>
      </left>
      <right/>
      <top style="medium">
        <color indexed="64"/>
      </top>
      <bottom style="thin">
        <color auto="1"/>
      </bottom>
      <diagonal/>
    </border>
    <border>
      <left style="thin">
        <color auto="1"/>
      </left>
      <right style="medium">
        <color auto="1"/>
      </right>
      <top/>
      <bottom/>
      <diagonal/>
    </border>
    <border>
      <left/>
      <right/>
      <top style="dashDot">
        <color indexed="64"/>
      </top>
      <bottom style="thin">
        <color indexed="64"/>
      </bottom>
      <diagonal/>
    </border>
    <border>
      <left style="thin">
        <color auto="1"/>
      </left>
      <right/>
      <top/>
      <bottom/>
      <diagonal/>
    </border>
    <border>
      <left/>
      <right/>
      <top style="medium">
        <color auto="1"/>
      </top>
      <bottom style="medium">
        <color auto="1"/>
      </bottom>
      <diagonal/>
    </border>
    <border>
      <left style="thin">
        <color auto="1"/>
      </left>
      <right/>
      <top style="medium">
        <color indexed="64"/>
      </top>
      <bottom/>
      <diagonal/>
    </border>
    <border>
      <left style="medium">
        <color auto="1"/>
      </left>
      <right style="thin">
        <color indexed="64"/>
      </right>
      <top/>
      <bottom style="thin">
        <color auto="1"/>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thick">
        <color rgb="FFFF0000"/>
      </bottom>
      <diagonal/>
    </border>
    <border>
      <left/>
      <right/>
      <top/>
      <bottom style="medium">
        <color indexed="30"/>
      </bottom>
      <diagonal/>
    </border>
    <border>
      <left/>
      <right/>
      <top/>
      <bottom style="medium">
        <color indexed="49"/>
      </bottom>
      <diagonal/>
    </border>
    <border>
      <left style="thin">
        <color indexed="63"/>
      </left>
      <right style="thin">
        <color indexed="63"/>
      </right>
      <top style="thin">
        <color indexed="63"/>
      </top>
      <bottom style="thin">
        <color indexed="63"/>
      </bottom>
      <diagonal/>
    </border>
    <border>
      <left style="thin">
        <color rgb="FF002060"/>
      </left>
      <right style="thin">
        <color rgb="FF002060"/>
      </right>
      <top style="thin">
        <color rgb="FF002060"/>
      </top>
      <bottom style="thin">
        <color rgb="FF002060"/>
      </bottom>
      <diagonal/>
    </border>
    <border>
      <left/>
      <right/>
      <top style="thin">
        <color indexed="62"/>
      </top>
      <bottom style="double">
        <color indexed="62"/>
      </bottom>
      <diagonal/>
    </border>
    <border>
      <left style="thin">
        <color indexed="64"/>
      </left>
      <right style="thin">
        <color indexed="64"/>
      </right>
      <top style="thin">
        <color auto="1"/>
      </top>
      <bottom style="thin">
        <color auto="1"/>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thin">
        <color indexed="64"/>
      </top>
      <bottom style="thin">
        <color indexed="64"/>
      </bottom>
      <diagonal/>
    </border>
    <border>
      <left style="medium">
        <color indexed="64"/>
      </left>
      <right style="thin">
        <color theme="0"/>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style="medium">
        <color auto="1"/>
      </left>
      <right style="thin">
        <color auto="1"/>
      </right>
      <top/>
      <bottom/>
      <diagonal/>
    </border>
    <border>
      <left style="thin">
        <color indexed="64"/>
      </left>
      <right style="medium">
        <color indexed="64"/>
      </right>
      <top style="thin">
        <color auto="1"/>
      </top>
      <bottom style="thin">
        <color auto="1"/>
      </bottom>
      <diagonal/>
    </border>
    <border>
      <left style="thin">
        <color indexed="64"/>
      </left>
      <right style="medium">
        <color indexed="64"/>
      </right>
      <top style="thin">
        <color auto="1"/>
      </top>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medium">
        <color indexed="64"/>
      </left>
      <right/>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auto="1"/>
      </top>
      <bottom style="thin">
        <color auto="1"/>
      </bottom>
      <diagonal/>
    </border>
    <border>
      <left/>
      <right style="medium">
        <color indexed="64"/>
      </right>
      <top style="thin">
        <color auto="1"/>
      </top>
      <bottom style="thin">
        <color auto="1"/>
      </bottom>
      <diagonal/>
    </border>
    <border>
      <left/>
      <right/>
      <top/>
      <bottom style="thin">
        <color theme="0"/>
      </bottom>
      <diagonal/>
    </border>
    <border>
      <left/>
      <right style="medium">
        <color indexed="64"/>
      </right>
      <top/>
      <bottom style="medium">
        <color indexed="64"/>
      </bottom>
      <diagonal/>
    </border>
    <border>
      <left style="medium">
        <color auto="1"/>
      </left>
      <right style="medium">
        <color auto="1"/>
      </right>
      <top style="thin">
        <color auto="1"/>
      </top>
      <bottom/>
      <diagonal/>
    </border>
    <border>
      <left style="medium">
        <color auto="1"/>
      </left>
      <right/>
      <top style="thin">
        <color auto="1"/>
      </top>
      <bottom/>
      <diagonal/>
    </border>
    <border>
      <left style="medium">
        <color indexed="64"/>
      </left>
      <right/>
      <top style="thin">
        <color indexed="64"/>
      </top>
      <bottom style="medium">
        <color indexed="64"/>
      </bottom>
      <diagonal/>
    </border>
    <border>
      <left style="medium">
        <color auto="1"/>
      </left>
      <right style="thin">
        <color theme="0"/>
      </right>
      <top style="thin">
        <color auto="1"/>
      </top>
      <bottom/>
      <diagonal/>
    </border>
    <border>
      <left style="medium">
        <color auto="1"/>
      </left>
      <right/>
      <top style="thin">
        <color auto="1"/>
      </top>
      <bottom/>
      <diagonal/>
    </border>
    <border>
      <left/>
      <right style="medium">
        <color auto="1"/>
      </right>
      <top style="thin">
        <color auto="1"/>
      </top>
      <bottom/>
      <diagonal/>
    </border>
    <border>
      <left/>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style="thin">
        <color theme="0"/>
      </right>
      <top style="thin">
        <color auto="1"/>
      </top>
      <bottom/>
      <diagonal/>
    </border>
    <border>
      <left/>
      <right style="medium">
        <color indexed="64"/>
      </right>
      <top style="thin">
        <color auto="1"/>
      </top>
      <bottom style="medium">
        <color indexed="64"/>
      </bottom>
      <diagonal/>
    </border>
    <border>
      <left/>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0"/>
      </left>
      <right style="thin">
        <color theme="0"/>
      </right>
      <top/>
      <bottom/>
      <diagonal/>
    </border>
    <border>
      <left/>
      <right style="thin">
        <color indexed="64"/>
      </right>
      <top style="thin">
        <color auto="1"/>
      </top>
      <bottom/>
      <diagonal/>
    </border>
    <border>
      <left style="thin">
        <color auto="1"/>
      </left>
      <right/>
      <top/>
      <bottom style="medium">
        <color indexed="64"/>
      </bottom>
      <diagonal/>
    </border>
    <border>
      <left style="thin">
        <color indexed="64"/>
      </left>
      <right/>
      <top style="medium">
        <color auto="1"/>
      </top>
      <bottom style="medium">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dashDot">
        <color indexed="64"/>
      </left>
      <right style="thin">
        <color indexed="64"/>
      </right>
      <top style="dashDot">
        <color indexed="64"/>
      </top>
      <bottom style="thin">
        <color indexed="64"/>
      </bottom>
      <diagonal/>
    </border>
    <border>
      <left style="dashDot">
        <color indexed="64"/>
      </left>
      <right style="thin">
        <color indexed="64"/>
      </right>
      <top style="thin">
        <color auto="1"/>
      </top>
      <bottom style="thin">
        <color auto="1"/>
      </bottom>
      <diagonal/>
    </border>
    <border>
      <left style="dashDot">
        <color indexed="64"/>
      </left>
      <right style="thin">
        <color indexed="64"/>
      </right>
      <top style="thin">
        <color auto="1"/>
      </top>
      <bottom/>
      <diagonal/>
    </border>
    <border>
      <left style="dashDot">
        <color indexed="64"/>
      </left>
      <right style="thin">
        <color indexed="64"/>
      </right>
      <top/>
      <bottom/>
      <diagonal/>
    </border>
    <border>
      <left style="medium">
        <color indexed="64"/>
      </left>
      <right style="dashDot">
        <color indexed="64"/>
      </right>
      <top/>
      <bottom style="thin">
        <color auto="1"/>
      </bottom>
      <diagonal/>
    </border>
    <border>
      <left style="thin">
        <color theme="0"/>
      </left>
      <right/>
      <top/>
      <bottom/>
      <diagonal/>
    </border>
    <border>
      <left/>
      <right/>
      <top style="thin">
        <color theme="4"/>
      </top>
      <bottom/>
      <diagonal/>
    </border>
    <border>
      <left style="thin">
        <color indexed="64"/>
      </left>
      <right/>
      <top style="thin">
        <color theme="4"/>
      </top>
      <bottom/>
      <diagonal/>
    </border>
    <border>
      <left style="thin">
        <color indexed="64"/>
      </left>
      <right style="thin">
        <color indexed="64"/>
      </right>
      <top style="thin">
        <color theme="4"/>
      </top>
      <bottom/>
      <diagonal/>
    </border>
    <border>
      <left/>
      <right style="thin">
        <color indexed="64"/>
      </right>
      <top/>
      <bottom/>
      <diagonal/>
    </border>
    <border>
      <left/>
      <right/>
      <top style="thin">
        <color theme="4"/>
      </top>
      <bottom style="medium">
        <color indexed="64"/>
      </bottom>
      <diagonal/>
    </border>
  </borders>
  <cellStyleXfs count="43999">
    <xf numFmtId="0" fontId="0" fillId="0" borderId="0"/>
    <xf numFmtId="0" fontId="1" fillId="2" borderId="0" applyNumberFormat="0" applyBorder="0" applyAlignment="0" applyProtection="0"/>
    <xf numFmtId="0" fontId="3" fillId="0" borderId="0" applyNumberFormat="0" applyFill="0" applyBorder="0" applyAlignment="0" applyProtection="0">
      <alignment vertical="top"/>
      <protection locked="0"/>
    </xf>
    <xf numFmtId="0" fontId="5" fillId="0" borderId="0" applyNumberFormat="0" applyFill="0" applyBorder="0" applyAlignment="0" applyProtection="0"/>
    <xf numFmtId="164" fontId="5" fillId="0" borderId="0" applyNumberFormat="0" applyFill="0" applyBorder="0" applyAlignment="0" applyProtection="0"/>
    <xf numFmtId="0" fontId="6" fillId="0" borderId="0" applyNumberFormat="0" applyFill="0" applyBorder="0" applyAlignment="0" applyProtection="0"/>
    <xf numFmtId="0" fontId="7" fillId="0" borderId="10" applyNumberFormat="0" applyFill="0" applyAlignment="0" applyProtection="0"/>
    <xf numFmtId="0" fontId="8" fillId="0" borderId="11" applyNumberFormat="0" applyFill="0" applyAlignment="0" applyProtection="0"/>
    <xf numFmtId="0" fontId="9" fillId="0" borderId="12" applyNumberFormat="0" applyFill="0" applyAlignment="0" applyProtection="0"/>
    <xf numFmtId="0" fontId="9" fillId="0" borderId="0" applyNumberFormat="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13" applyNumberFormat="0" applyAlignment="0" applyProtection="0"/>
    <xf numFmtId="0" fontId="13" fillId="6" borderId="14" applyNumberFormat="0" applyAlignment="0" applyProtection="0"/>
    <xf numFmtId="0" fontId="14" fillId="6" borderId="13" applyNumberFormat="0" applyAlignment="0" applyProtection="0"/>
    <xf numFmtId="0" fontId="15" fillId="0" borderId="15" applyNumberFormat="0" applyFill="0" applyAlignment="0" applyProtection="0"/>
    <xf numFmtId="0" fontId="16" fillId="7" borderId="16" applyNumberFormat="0" applyAlignment="0" applyProtection="0"/>
    <xf numFmtId="0" fontId="17" fillId="0" borderId="0" applyNumberFormat="0" applyFill="0" applyBorder="0" applyAlignment="0" applyProtection="0"/>
    <xf numFmtId="0" fontId="4" fillId="8" borderId="17" applyNumberFormat="0" applyFont="0" applyAlignment="0" applyProtection="0"/>
    <xf numFmtId="0" fontId="18" fillId="0" borderId="0" applyNumberFormat="0" applyFill="0" applyBorder="0" applyAlignment="0" applyProtection="0"/>
    <xf numFmtId="0" fontId="2" fillId="0" borderId="18" applyNumberFormat="0" applyFill="0" applyAlignment="0" applyProtection="0"/>
    <xf numFmtId="0" fontId="1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19" fillId="32" borderId="0" applyNumberFormat="0" applyBorder="0" applyAlignment="0" applyProtection="0"/>
    <xf numFmtId="0" fontId="21" fillId="0" borderId="0" applyNumberFormat="0" applyFill="0" applyBorder="0" applyAlignment="0" applyProtection="0">
      <alignment vertical="top"/>
      <protection locked="0"/>
    </xf>
    <xf numFmtId="0" fontId="5" fillId="0" borderId="0">
      <alignment vertical="center"/>
    </xf>
    <xf numFmtId="0" fontId="27" fillId="0" borderId="0" applyNumberFormat="0" applyFill="0" applyBorder="0" applyAlignment="0" applyProtection="0">
      <alignment vertical="top"/>
      <protection locked="0"/>
    </xf>
    <xf numFmtId="0" fontId="5" fillId="0" borderId="0" applyNumberFormat="0" applyFill="0" applyBorder="0" applyAlignment="0" applyProtection="0"/>
    <xf numFmtId="0" fontId="5" fillId="40" borderId="37">
      <protection locked="0"/>
    </xf>
    <xf numFmtId="166" fontId="5" fillId="40" borderId="37">
      <protection locked="0"/>
    </xf>
    <xf numFmtId="0" fontId="5" fillId="0" borderId="0"/>
    <xf numFmtId="167" fontId="28" fillId="41" borderId="0"/>
    <xf numFmtId="0" fontId="28" fillId="42"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164" fontId="5" fillId="0" borderId="0"/>
    <xf numFmtId="0" fontId="5" fillId="0" borderId="0"/>
    <xf numFmtId="164" fontId="5" fillId="0" borderId="0"/>
    <xf numFmtId="164"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164"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164" fontId="5" fillId="0" borderId="0"/>
    <xf numFmtId="164" fontId="5" fillId="0" borderId="0"/>
    <xf numFmtId="0" fontId="5" fillId="0" borderId="0"/>
    <xf numFmtId="164" fontId="5" fillId="0" borderId="0"/>
    <xf numFmtId="164"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164" fontId="5" fillId="0" borderId="0"/>
    <xf numFmtId="0" fontId="5" fillId="0" borderId="0" applyNumberFormat="0" applyFill="0" applyBorder="0" applyAlignment="0" applyProtection="0"/>
    <xf numFmtId="0" fontId="5" fillId="0" borderId="0"/>
    <xf numFmtId="0" fontId="5" fillId="0" borderId="0"/>
    <xf numFmtId="164" fontId="5" fillId="0" borderId="0"/>
    <xf numFmtId="0" fontId="5" fillId="0" borderId="0" applyNumberFormat="0" applyFill="0" applyBorder="0" applyAlignment="0" applyProtection="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164" fontId="5" fillId="0" borderId="0"/>
    <xf numFmtId="0" fontId="5" fillId="0" borderId="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xf numFmtId="168" fontId="34" fillId="0" borderId="0">
      <alignment horizontal="left"/>
    </xf>
    <xf numFmtId="0" fontId="36" fillId="43"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36" fillId="48"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9"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4" fillId="50"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51"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4" borderId="0" applyNumberFormat="0" applyBorder="0" applyAlignment="0" applyProtection="0"/>
    <xf numFmtId="0" fontId="36" fillId="46" borderId="0" applyNumberFormat="0" applyBorder="0" applyAlignment="0" applyProtection="0"/>
    <xf numFmtId="0" fontId="36" fillId="52" borderId="0" applyNumberFormat="0" applyBorder="0" applyAlignment="0" applyProtection="0"/>
    <xf numFmtId="0" fontId="36" fillId="55" borderId="0" applyNumberFormat="0" applyBorder="0" applyAlignment="0" applyProtection="0"/>
    <xf numFmtId="0" fontId="28" fillId="11"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6"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28" fillId="11" borderId="0" applyNumberFormat="0" applyBorder="0" applyAlignment="0" applyProtection="0"/>
    <xf numFmtId="0" fontId="28" fillId="11" borderId="0" applyNumberFormat="0" applyBorder="0" applyAlignment="0" applyProtection="0"/>
    <xf numFmtId="0" fontId="28" fillId="11"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7"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28" fillId="23"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5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28" fillId="23" borderId="0" applyNumberFormat="0" applyBorder="0" applyAlignment="0" applyProtection="0"/>
    <xf numFmtId="0" fontId="28" fillId="23" borderId="0" applyNumberFormat="0" applyBorder="0" applyAlignment="0" applyProtection="0"/>
    <xf numFmtId="0" fontId="28" fillId="23"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48"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7" fillId="58"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59" borderId="0" applyNumberFormat="0" applyBorder="0" applyAlignment="0" applyProtection="0"/>
    <xf numFmtId="0" fontId="37" fillId="60" borderId="0" applyNumberFormat="0" applyBorder="0" applyAlignment="0" applyProtection="0"/>
    <xf numFmtId="0" fontId="37" fillId="61"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60"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7"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6"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48"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8" fillId="9"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0"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9" fillId="1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4"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7"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4"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8" fillId="21"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66"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9" fillId="29" borderId="0" applyNumberFormat="0" applyBorder="0" applyAlignment="0" applyProtection="0"/>
    <xf numFmtId="0" fontId="39" fillId="29" borderId="0" applyNumberFormat="0" applyBorder="0" applyAlignment="0" applyProtection="0"/>
    <xf numFmtId="0" fontId="40" fillId="0" borderId="0" applyNumberFormat="0" applyFill="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2"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43" fontId="36"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5"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6"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36" fillId="0" borderId="0" applyFont="0" applyFill="0" applyBorder="0" applyAlignment="0" applyProtection="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47" fillId="51" borderId="41" applyNumberFormat="0" applyFont="0" applyAlignment="0" applyProtection="0"/>
    <xf numFmtId="164" fontId="5" fillId="0" borderId="0"/>
    <xf numFmtId="164" fontId="5" fillId="0" borderId="0"/>
    <xf numFmtId="164" fontId="5" fillId="0" borderId="0"/>
    <xf numFmtId="164" fontId="5" fillId="0" borderId="0"/>
    <xf numFmtId="164" fontId="5" fillId="0" borderId="0"/>
    <xf numFmtId="164" fontId="5" fillId="0" borderId="0"/>
    <xf numFmtId="44" fontId="36"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1" fontId="5" fillId="0" borderId="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171" fontId="5" fillId="0" borderId="0" applyFon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167" fontId="29" fillId="41" borderId="0"/>
    <xf numFmtId="9" fontId="28" fillId="41" borderId="0"/>
    <xf numFmtId="1" fontId="5" fillId="69" borderId="0"/>
    <xf numFmtId="1" fontId="5" fillId="69" borderId="0"/>
    <xf numFmtId="1" fontId="5" fillId="69" borderId="0"/>
    <xf numFmtId="1" fontId="5" fillId="69" borderId="0"/>
    <xf numFmtId="1" fontId="5" fillId="69" borderId="0"/>
    <xf numFmtId="1" fontId="5" fillId="69" borderId="0"/>
    <xf numFmtId="1" fontId="5" fillId="69" borderId="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2" fillId="0" borderId="43"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4" fillId="0" borderId="45"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6" fillId="0" borderId="47"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27"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166" fontId="5" fillId="40" borderId="37">
      <protection locked="0"/>
    </xf>
    <xf numFmtId="165" fontId="5" fillId="40" borderId="37">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65" fontId="5" fillId="40" borderId="37">
      <protection locked="0"/>
    </xf>
    <xf numFmtId="170" fontId="5" fillId="40" borderId="37">
      <protection locked="0"/>
    </xf>
    <xf numFmtId="170" fontId="5" fillId="40" borderId="37">
      <protection locked="0"/>
    </xf>
    <xf numFmtId="165" fontId="5" fillId="40" borderId="37">
      <protection locked="0"/>
    </xf>
    <xf numFmtId="165" fontId="5" fillId="40" borderId="37">
      <protection locked="0"/>
    </xf>
    <xf numFmtId="165" fontId="5" fillId="40" borderId="37">
      <protection locked="0"/>
    </xf>
    <xf numFmtId="165" fontId="5" fillId="40" borderId="37">
      <protection locked="0"/>
    </xf>
    <xf numFmtId="165"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65" fontId="5" fillId="40" borderId="37">
      <protection locked="0"/>
    </xf>
    <xf numFmtId="165" fontId="5" fillId="40" borderId="37">
      <protection locked="0"/>
    </xf>
    <xf numFmtId="165" fontId="5" fillId="40" borderId="37">
      <protection locked="0"/>
    </xf>
    <xf numFmtId="170" fontId="5" fillId="40" borderId="37">
      <protection locked="0"/>
    </xf>
    <xf numFmtId="166" fontId="5" fillId="69" borderId="37">
      <protection locked="0"/>
    </xf>
    <xf numFmtId="166" fontId="5" fillId="69" borderId="37">
      <protection locked="0"/>
    </xf>
    <xf numFmtId="165" fontId="5" fillId="69" borderId="37">
      <protection locked="0"/>
    </xf>
    <xf numFmtId="0" fontId="5" fillId="40" borderId="0" applyBorder="0">
      <protection locked="0"/>
    </xf>
    <xf numFmtId="0" fontId="5" fillId="40" borderId="0" applyBorder="0">
      <protection locked="0"/>
    </xf>
    <xf numFmtId="0" fontId="5" fillId="40" borderId="0" applyBorder="0">
      <protection locked="0"/>
    </xf>
    <xf numFmtId="0" fontId="5" fillId="40" borderId="0" applyBorder="0">
      <protection locked="0"/>
    </xf>
    <xf numFmtId="0" fontId="5" fillId="40" borderId="0" applyBorder="0">
      <protection locked="0"/>
    </xf>
    <xf numFmtId="165" fontId="5" fillId="69" borderId="37">
      <protection locked="0"/>
    </xf>
    <xf numFmtId="0" fontId="5" fillId="40" borderId="37" applyBorder="0">
      <protection locked="0"/>
    </xf>
    <xf numFmtId="0" fontId="5" fillId="40" borderId="37" applyBorder="0">
      <protection locked="0"/>
    </xf>
    <xf numFmtId="165" fontId="5" fillId="69" borderId="37">
      <protection locked="0"/>
    </xf>
    <xf numFmtId="165" fontId="5" fillId="69" borderId="37">
      <protection locked="0"/>
    </xf>
    <xf numFmtId="165" fontId="5" fillId="69" borderId="37">
      <protection locked="0"/>
    </xf>
    <xf numFmtId="165" fontId="5" fillId="69" borderId="37">
      <protection locked="0"/>
    </xf>
    <xf numFmtId="165" fontId="5" fillId="69" borderId="37">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165" fontId="5" fillId="69" borderId="37">
      <protection locked="0"/>
    </xf>
    <xf numFmtId="165" fontId="5" fillId="69" borderId="37">
      <protection locked="0"/>
    </xf>
    <xf numFmtId="165" fontId="5" fillId="69" borderId="37">
      <protection locked="0"/>
    </xf>
    <xf numFmtId="0" fontId="5" fillId="40" borderId="37" applyBorder="0">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41" fillId="44" borderId="0" applyNumberFormat="0" applyBorder="0" applyAlignment="0" applyProtection="0"/>
    <xf numFmtId="2" fontId="33" fillId="0" borderId="37"/>
    <xf numFmtId="0" fontId="5" fillId="70" borderId="0"/>
    <xf numFmtId="0" fontId="5" fillId="70" borderId="0"/>
    <xf numFmtId="0" fontId="5" fillId="70" borderId="0"/>
    <xf numFmtId="0" fontId="5" fillId="70" borderId="0"/>
    <xf numFmtId="0" fontId="5" fillId="70" borderId="0"/>
    <xf numFmtId="0" fontId="5" fillId="70" borderId="0"/>
    <xf numFmtId="0" fontId="5" fillId="70" borderId="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34" fillId="40" borderId="0">
      <alignment horizontal="center" vertical="center" textRotation="255" shrinkToFit="1"/>
    </xf>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xf numFmtId="0" fontId="5" fillId="0" borderId="0"/>
    <xf numFmtId="0" fontId="4" fillId="0" borderId="0"/>
    <xf numFmtId="0" fontId="32" fillId="0" borderId="0"/>
    <xf numFmtId="0" fontId="32" fillId="0" borderId="0"/>
    <xf numFmtId="0" fontId="32" fillId="0" borderId="0"/>
    <xf numFmtId="0" fontId="4"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applyNumberFormat="0" applyFill="0" applyBorder="0" applyAlignment="0" applyProtection="0"/>
    <xf numFmtId="0" fontId="32" fillId="0" borderId="0"/>
    <xf numFmtId="0" fontId="5" fillId="0" borderId="0"/>
    <xf numFmtId="0" fontId="5" fillId="0" borderId="0"/>
    <xf numFmtId="0" fontId="4" fillId="0" borderId="0"/>
    <xf numFmtId="0" fontId="36" fillId="0" borderId="0"/>
    <xf numFmtId="0" fontId="47" fillId="0" borderId="0"/>
    <xf numFmtId="0" fontId="5" fillId="0" borderId="0"/>
    <xf numFmtId="0" fontId="5" fillId="0" borderId="0"/>
    <xf numFmtId="0" fontId="28" fillId="0" borderId="0"/>
    <xf numFmtId="0" fontId="5" fillId="0" borderId="0"/>
    <xf numFmtId="164" fontId="5" fillId="0" borderId="0"/>
    <xf numFmtId="0" fontId="5" fillId="0" borderId="0"/>
    <xf numFmtId="0" fontId="5" fillId="0" borderId="0"/>
    <xf numFmtId="164" fontId="5" fillId="0" borderId="0"/>
    <xf numFmtId="0" fontId="28" fillId="0" borderId="0"/>
    <xf numFmtId="0" fontId="5" fillId="0" borderId="0"/>
    <xf numFmtId="0" fontId="28" fillId="0" borderId="0"/>
    <xf numFmtId="0" fontId="5" fillId="0" borderId="0"/>
    <xf numFmtId="0" fontId="28" fillId="0" borderId="0"/>
    <xf numFmtId="0" fontId="5"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28" fillId="0" borderId="0"/>
    <xf numFmtId="0" fontId="28" fillId="0" borderId="0"/>
    <xf numFmtId="0" fontId="28" fillId="0" borderId="0"/>
    <xf numFmtId="0" fontId="4" fillId="0" borderId="0"/>
    <xf numFmtId="0" fontId="28" fillId="0" borderId="0"/>
    <xf numFmtId="0" fontId="28" fillId="0" borderId="0"/>
    <xf numFmtId="0" fontId="28" fillId="0" borderId="0"/>
    <xf numFmtId="0" fontId="28" fillId="0" borderId="0"/>
    <xf numFmtId="0" fontId="28" fillId="0" borderId="0"/>
    <xf numFmtId="0"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36" fillId="0" borderId="0"/>
    <xf numFmtId="0" fontId="5" fillId="0" borderId="0" applyNumberFormat="0" applyFill="0" applyBorder="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6" fillId="0" borderId="0"/>
    <xf numFmtId="164" fontId="32" fillId="0" borderId="0"/>
    <xf numFmtId="164" fontId="46" fillId="0" borderId="0"/>
    <xf numFmtId="0" fontId="4"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6" fillId="0" borderId="0"/>
    <xf numFmtId="164" fontId="32" fillId="0" borderId="0"/>
    <xf numFmtId="164" fontId="46" fillId="0" borderId="0"/>
    <xf numFmtId="0" fontId="4"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0" fillId="0" borderId="0"/>
    <xf numFmtId="0" fontId="60" fillId="0" borderId="0"/>
    <xf numFmtId="0" fontId="4" fillId="0" borderId="0"/>
    <xf numFmtId="0" fontId="46" fillId="0" borderId="0"/>
    <xf numFmtId="164" fontId="46" fillId="0" borderId="0"/>
    <xf numFmtId="0" fontId="4" fillId="0" borderId="0"/>
    <xf numFmtId="0" fontId="4"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9" fontId="28"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8" fillId="0" borderId="0" applyFont="0" applyFill="0" applyBorder="0" applyAlignment="0" applyProtection="0"/>
    <xf numFmtId="0" fontId="60" fillId="0" borderId="0" applyNumberFormat="0" applyFont="0" applyFill="0" applyBorder="0" applyAlignment="0" applyProtection="0">
      <alignment horizontal="left"/>
    </xf>
    <xf numFmtId="0" fontId="60" fillId="0" borderId="0" applyNumberFormat="0" applyFont="0" applyFill="0" applyBorder="0" applyAlignment="0" applyProtection="0">
      <alignment horizontal="left"/>
    </xf>
    <xf numFmtId="0" fontId="60" fillId="0" borderId="0" applyNumberFormat="0" applyFont="0" applyFill="0" applyBorder="0" applyAlignment="0" applyProtection="0">
      <alignment horizontal="left"/>
    </xf>
    <xf numFmtId="0" fontId="34" fillId="72" borderId="0" applyFont="0">
      <protection locked="0"/>
    </xf>
    <xf numFmtId="0" fontId="34" fillId="72" borderId="0" applyFont="0">
      <protection locked="0"/>
    </xf>
    <xf numFmtId="0" fontId="34" fillId="72" borderId="0" applyFont="0">
      <protection locked="0"/>
    </xf>
    <xf numFmtId="0" fontId="50" fillId="45" borderId="0" applyNumberFormat="0" applyBorder="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19" fillId="28" borderId="49"/>
    <xf numFmtId="171" fontId="62" fillId="0" borderId="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9"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51" fillId="0" borderId="42" applyNumberFormat="0" applyFill="0" applyAlignment="0" applyProtection="0"/>
    <xf numFmtId="0" fontId="53" fillId="0" borderId="44" applyNumberFormat="0" applyFill="0" applyAlignment="0" applyProtection="0"/>
    <xf numFmtId="0" fontId="55" fillId="0" borderId="46" applyNumberFormat="0" applyFill="0" applyAlignment="0" applyProtection="0"/>
    <xf numFmtId="0" fontId="55" fillId="0" borderId="0" applyNumberFormat="0" applyFill="0" applyBorder="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45" fillId="68" borderId="40" applyNumberFormat="0" applyAlignment="0" applyProtection="0"/>
    <xf numFmtId="0" fontId="28" fillId="73" borderId="0"/>
    <xf numFmtId="167" fontId="28" fillId="73" borderId="0"/>
    <xf numFmtId="0" fontId="66" fillId="74" borderId="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 fillId="27" borderId="51"/>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164" fontId="5" fillId="51" borderId="54" applyNumberFormat="0" applyFon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 fillId="27" borderId="51"/>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 fillId="27" borderId="51"/>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 fillId="27" borderId="51"/>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164"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164"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164"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164"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164"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65" applyNumberFormat="0" applyFill="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5" fillId="68" borderId="66"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67"/>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164" fontId="5" fillId="51" borderId="70" applyNumberFormat="0" applyFon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 fillId="27" borderId="67"/>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164"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164"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164"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164"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164"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10" borderId="0" applyNumberFormat="0" applyBorder="0" applyAlignment="0" applyProtection="0"/>
    <xf numFmtId="0" fontId="4" fillId="1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4" fillId="26" borderId="0" applyNumberFormat="0" applyBorder="0" applyAlignment="0" applyProtection="0"/>
    <xf numFmtId="0" fontId="4" fillId="30" borderId="0" applyNumberFormat="0" applyBorder="0" applyAlignment="0" applyProtection="0"/>
    <xf numFmtId="0" fontId="4" fillId="11"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43" fontId="4" fillId="0" borderId="0" applyFont="0" applyFill="0" applyBorder="0" applyAlignment="0" applyProtection="0"/>
    <xf numFmtId="0" fontId="4" fillId="0" borderId="0"/>
    <xf numFmtId="0" fontId="4" fillId="8" borderId="17" applyNumberFormat="0" applyFont="0" applyAlignment="0" applyProtection="0"/>
    <xf numFmtId="0" fontId="4" fillId="0" borderId="0"/>
    <xf numFmtId="0" fontId="4" fillId="8" borderId="17" applyNumberFormat="0" applyFont="0" applyAlignment="0" applyProtection="0"/>
    <xf numFmtId="0" fontId="3" fillId="0" borderId="0" applyNumberFormat="0" applyFill="0" applyBorder="0" applyAlignment="0" applyProtection="0">
      <alignment vertical="top"/>
      <protection locked="0"/>
    </xf>
    <xf numFmtId="0" fontId="4" fillId="8" borderId="17" applyNumberFormat="0" applyFont="0" applyAlignment="0" applyProtection="0"/>
    <xf numFmtId="0" fontId="4" fillId="8" borderId="17" applyNumberFormat="0" applyFont="0" applyAlignment="0" applyProtection="0"/>
    <xf numFmtId="0" fontId="4" fillId="0" borderId="0"/>
    <xf numFmtId="0" fontId="4" fillId="0" borderId="0"/>
    <xf numFmtId="0" fontId="32" fillId="0" borderId="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cellStyleXfs>
  <cellXfs count="552">
    <xf numFmtId="0" fontId="0" fillId="0" borderId="0" xfId="0"/>
    <xf numFmtId="0" fontId="0" fillId="33" borderId="0" xfId="0" applyFill="1"/>
    <xf numFmtId="0" fontId="0" fillId="33" borderId="0" xfId="0" applyFill="1" applyAlignment="1">
      <alignment wrapText="1"/>
    </xf>
    <xf numFmtId="0" fontId="0" fillId="0" borderId="0" xfId="0" applyAlignment="1">
      <alignment wrapText="1"/>
    </xf>
    <xf numFmtId="0" fontId="0" fillId="0" borderId="0" xfId="0" applyBorder="1" applyAlignment="1">
      <alignment wrapText="1"/>
    </xf>
    <xf numFmtId="0" fontId="0" fillId="0" borderId="0" xfId="0" applyBorder="1" applyAlignment="1">
      <alignment horizontal="left" wrapText="1"/>
    </xf>
    <xf numFmtId="0" fontId="25" fillId="0" borderId="0" xfId="0" applyFont="1" applyFill="1" applyBorder="1" applyAlignment="1">
      <alignment wrapText="1"/>
    </xf>
    <xf numFmtId="0" fontId="26" fillId="0" borderId="0" xfId="0" applyFont="1" applyFill="1" applyBorder="1" applyAlignment="1">
      <alignment wrapText="1"/>
    </xf>
    <xf numFmtId="0" fontId="0" fillId="0" borderId="0" xfId="0" applyBorder="1" applyAlignment="1">
      <alignment horizontal="left" wrapText="1"/>
    </xf>
    <xf numFmtId="0" fontId="24" fillId="0" borderId="0" xfId="0" applyFont="1" applyFill="1" applyBorder="1" applyAlignment="1">
      <alignment wrapText="1"/>
    </xf>
    <xf numFmtId="0" fontId="21" fillId="0" borderId="0" xfId="45" applyNumberFormat="1" applyFill="1" applyBorder="1" applyAlignment="1" applyProtection="1">
      <alignment horizontal="center" wrapText="1"/>
    </xf>
    <xf numFmtId="0" fontId="16" fillId="0" borderId="0" xfId="0" applyFont="1" applyFill="1" applyBorder="1" applyAlignment="1">
      <alignment horizontal="center" wrapText="1"/>
    </xf>
    <xf numFmtId="0" fontId="21" fillId="0" borderId="0" xfId="45" applyNumberFormat="1" applyFill="1" applyBorder="1" applyAlignment="1" applyProtection="1">
      <alignment wrapText="1"/>
    </xf>
    <xf numFmtId="0" fontId="21" fillId="0" borderId="0" xfId="45" applyFill="1" applyBorder="1" applyAlignment="1" applyProtection="1">
      <alignment wrapText="1"/>
    </xf>
    <xf numFmtId="0" fontId="0" fillId="0" borderId="0" xfId="0" applyNumberFormat="1" applyBorder="1" applyAlignment="1">
      <alignment wrapText="1"/>
    </xf>
    <xf numFmtId="0" fontId="0" fillId="0" borderId="0" xfId="0" applyBorder="1" applyAlignment="1">
      <alignment wrapText="1"/>
    </xf>
    <xf numFmtId="0" fontId="0" fillId="0" borderId="0" xfId="0" applyFill="1"/>
    <xf numFmtId="0" fontId="0" fillId="0" borderId="0" xfId="0"/>
    <xf numFmtId="0" fontId="0" fillId="0" borderId="0" xfId="0" applyAlignment="1">
      <alignment wrapText="1"/>
    </xf>
    <xf numFmtId="0" fontId="0" fillId="0" borderId="0" xfId="0" applyBorder="1" applyAlignment="1">
      <alignment wrapText="1"/>
    </xf>
    <xf numFmtId="0" fontId="0" fillId="0" borderId="0" xfId="0" applyFill="1" applyBorder="1" applyAlignment="1">
      <alignment wrapText="1"/>
    </xf>
    <xf numFmtId="0" fontId="0" fillId="0" borderId="0" xfId="0" applyBorder="1"/>
    <xf numFmtId="0" fontId="0" fillId="0" borderId="0" xfId="0"/>
    <xf numFmtId="0" fontId="0" fillId="0" borderId="0" xfId="0" applyBorder="1" applyAlignment="1">
      <alignment wrapText="1"/>
    </xf>
    <xf numFmtId="0" fontId="0" fillId="0" borderId="0" xfId="0" applyAlignment="1">
      <alignment wrapText="1"/>
    </xf>
    <xf numFmtId="0" fontId="0" fillId="0" borderId="0" xfId="0" applyAlignment="1">
      <alignment horizontal="left" wrapText="1"/>
    </xf>
    <xf numFmtId="2" fontId="0" fillId="0" borderId="0" xfId="0" applyNumberFormat="1" applyAlignment="1">
      <alignment wrapText="1"/>
    </xf>
    <xf numFmtId="0" fontId="5" fillId="0" borderId="35" xfId="46" applyNumberFormat="1" applyFont="1" applyFill="1" applyBorder="1" applyAlignment="1">
      <alignment vertical="top" wrapText="1"/>
    </xf>
    <xf numFmtId="0" fontId="5" fillId="0" borderId="33" xfId="46" applyNumberFormat="1" applyFont="1" applyFill="1" applyBorder="1" applyAlignment="1">
      <alignment vertical="top" wrapText="1"/>
    </xf>
    <xf numFmtId="0" fontId="5" fillId="0" borderId="4" xfId="46" applyNumberFormat="1" applyFont="1" applyFill="1" applyBorder="1" applyAlignment="1">
      <alignment horizontal="left" vertical="top" wrapText="1"/>
    </xf>
    <xf numFmtId="0" fontId="0" fillId="0" borderId="0" xfId="0" applyAlignment="1">
      <alignment wrapText="1"/>
    </xf>
    <xf numFmtId="0" fontId="0" fillId="0" borderId="0" xfId="0" applyBorder="1" applyAlignment="1">
      <alignment wrapText="1"/>
    </xf>
    <xf numFmtId="0" fontId="5" fillId="0" borderId="0" xfId="46" applyNumberFormat="1" applyFont="1" applyFill="1" applyBorder="1" applyAlignment="1">
      <alignment vertical="top" wrapText="1"/>
    </xf>
    <xf numFmtId="0" fontId="5" fillId="0" borderId="0" xfId="46" applyNumberFormat="1" applyFont="1" applyFill="1" applyBorder="1" applyAlignment="1">
      <alignment horizontal="left" vertical="top" wrapText="1"/>
    </xf>
    <xf numFmtId="0" fontId="0" fillId="0" borderId="0" xfId="0" applyNumberFormat="1" applyAlignment="1">
      <alignment wrapText="1"/>
    </xf>
    <xf numFmtId="0" fontId="0" fillId="0" borderId="0" xfId="0" applyAlignment="1">
      <alignment wrapText="1"/>
    </xf>
    <xf numFmtId="0" fontId="0" fillId="0" borderId="0" xfId="0"/>
    <xf numFmtId="0" fontId="5" fillId="75" borderId="0" xfId="46" applyFill="1" applyBorder="1" applyAlignment="1">
      <alignment wrapText="1"/>
    </xf>
    <xf numFmtId="0" fontId="5" fillId="0" borderId="0" xfId="46" applyFill="1" applyBorder="1" applyAlignment="1">
      <alignment wrapText="1"/>
    </xf>
    <xf numFmtId="0" fontId="5" fillId="0" borderId="0" xfId="46" applyNumberFormat="1" applyFont="1" applyFill="1" applyAlignment="1">
      <alignment wrapText="1"/>
    </xf>
    <xf numFmtId="0" fontId="5" fillId="0" borderId="0" xfId="46" applyAlignment="1">
      <alignment vertical="center" wrapText="1"/>
    </xf>
    <xf numFmtId="0" fontId="5" fillId="35" borderId="0" xfId="46" applyNumberFormat="1" applyFont="1" applyFill="1" applyAlignment="1">
      <alignment horizontal="left" vertical="top" wrapText="1"/>
    </xf>
    <xf numFmtId="0" fontId="34" fillId="35" borderId="0" xfId="46" applyNumberFormat="1" applyFont="1" applyFill="1" applyAlignment="1">
      <alignment vertical="top" wrapText="1"/>
    </xf>
    <xf numFmtId="0" fontId="5" fillId="0" borderId="0" xfId="46" applyNumberFormat="1" applyFont="1" applyFill="1" applyAlignment="1">
      <alignment horizontal="left" vertical="top" wrapText="1"/>
    </xf>
    <xf numFmtId="0" fontId="5" fillId="0" borderId="0" xfId="46" applyNumberFormat="1" applyFont="1" applyFill="1" applyAlignment="1">
      <alignment vertical="top" wrapText="1"/>
    </xf>
    <xf numFmtId="0" fontId="31" fillId="0" borderId="8" xfId="46" applyNumberFormat="1" applyFont="1" applyFill="1" applyBorder="1" applyAlignment="1">
      <alignment vertical="center" wrapText="1"/>
    </xf>
    <xf numFmtId="0" fontId="5" fillId="0" borderId="0" xfId="46" applyNumberFormat="1" applyFont="1" applyFill="1" applyAlignment="1">
      <alignment horizontal="left" wrapText="1"/>
    </xf>
    <xf numFmtId="0" fontId="5" fillId="0" borderId="3" xfId="46" applyNumberFormat="1" applyFont="1" applyFill="1" applyBorder="1" applyAlignment="1">
      <alignment wrapText="1"/>
    </xf>
    <xf numFmtId="0" fontId="31" fillId="0" borderId="6" xfId="46" applyNumberFormat="1" applyFont="1" applyFill="1" applyBorder="1" applyAlignment="1">
      <alignment vertical="center" wrapText="1"/>
    </xf>
    <xf numFmtId="0" fontId="5" fillId="0" borderId="59" xfId="46" applyNumberFormat="1" applyFont="1" applyFill="1" applyBorder="1" applyAlignment="1">
      <alignment vertical="top" wrapText="1"/>
    </xf>
    <xf numFmtId="0" fontId="5" fillId="0" borderId="31" xfId="46" applyNumberFormat="1" applyFont="1" applyFill="1" applyBorder="1" applyAlignment="1">
      <alignment wrapText="1"/>
    </xf>
    <xf numFmtId="0" fontId="5" fillId="0" borderId="0" xfId="46" applyNumberFormat="1" applyFont="1" applyFill="1" applyBorder="1" applyAlignment="1">
      <alignment horizontal="left" wrapText="1"/>
    </xf>
    <xf numFmtId="0" fontId="31" fillId="0" borderId="60" xfId="46" applyNumberFormat="1" applyFont="1" applyFill="1" applyBorder="1" applyAlignment="1">
      <alignment vertical="center" wrapText="1"/>
    </xf>
    <xf numFmtId="0" fontId="31" fillId="0" borderId="0" xfId="46" applyNumberFormat="1" applyFont="1" applyFill="1" applyAlignment="1">
      <alignment vertical="center" wrapText="1"/>
    </xf>
    <xf numFmtId="0" fontId="0" fillId="38" borderId="0" xfId="0" applyFont="1" applyFill="1" applyBorder="1" applyAlignment="1">
      <alignment wrapText="1"/>
    </xf>
    <xf numFmtId="0" fontId="0" fillId="39" borderId="0" xfId="0" applyFont="1" applyFill="1" applyBorder="1" applyAlignment="1">
      <alignment wrapText="1"/>
    </xf>
    <xf numFmtId="0" fontId="5" fillId="0" borderId="0" xfId="46" applyNumberFormat="1" applyFill="1" applyBorder="1" applyAlignment="1">
      <alignment wrapText="1"/>
    </xf>
    <xf numFmtId="0" fontId="31" fillId="0" borderId="61" xfId="46" applyNumberFormat="1" applyFont="1" applyFill="1" applyBorder="1" applyAlignment="1">
      <alignment vertical="center" wrapText="1"/>
    </xf>
    <xf numFmtId="0" fontId="0" fillId="38" borderId="28" xfId="0" applyFont="1" applyFill="1" applyBorder="1"/>
    <xf numFmtId="0" fontId="0" fillId="39" borderId="29" xfId="0" applyFont="1" applyFill="1" applyBorder="1"/>
    <xf numFmtId="0" fontId="0" fillId="38" borderId="29" xfId="0" applyFont="1" applyFill="1" applyBorder="1"/>
    <xf numFmtId="0" fontId="0" fillId="39" borderId="27" xfId="0" applyFont="1" applyFill="1" applyBorder="1"/>
    <xf numFmtId="0" fontId="34" fillId="35" borderId="0" xfId="46" applyNumberFormat="1" applyFont="1" applyFill="1" applyAlignment="1">
      <alignment horizontal="left" vertical="top" wrapText="1"/>
    </xf>
    <xf numFmtId="0" fontId="5" fillId="0" borderId="2" xfId="46" applyNumberFormat="1" applyFont="1" applyFill="1" applyBorder="1" applyAlignment="1">
      <alignment vertical="top" wrapText="1"/>
    </xf>
    <xf numFmtId="0" fontId="5" fillId="0" borderId="4" xfId="46" applyNumberFormat="1" applyFont="1" applyFill="1" applyBorder="1" applyAlignment="1">
      <alignment vertical="top" wrapText="1"/>
    </xf>
    <xf numFmtId="0" fontId="5" fillId="0" borderId="62" xfId="46" applyNumberFormat="1" applyFont="1" applyFill="1" applyBorder="1" applyAlignment="1">
      <alignment vertical="top" wrapText="1"/>
    </xf>
    <xf numFmtId="0" fontId="0" fillId="0" borderId="0" xfId="0" applyNumberFormat="1" applyFill="1" applyBorder="1" applyAlignment="1">
      <alignment horizontal="left" wrapText="1"/>
    </xf>
    <xf numFmtId="0" fontId="0" fillId="0" borderId="0" xfId="0" applyNumberFormat="1" applyBorder="1" applyAlignment="1">
      <alignment horizontal="left" wrapText="1"/>
    </xf>
    <xf numFmtId="0" fontId="2" fillId="35" borderId="63" xfId="0" applyFont="1" applyFill="1" applyBorder="1" applyAlignment="1">
      <alignment vertical="center" wrapText="1"/>
    </xf>
    <xf numFmtId="0" fontId="27" fillId="0" borderId="8" xfId="4803" applyNumberFormat="1" applyFill="1" applyBorder="1" applyAlignment="1" applyProtection="1">
      <alignment vertical="center" wrapText="1"/>
    </xf>
    <xf numFmtId="0" fontId="5" fillId="0" borderId="4" xfId="46" applyNumberFormat="1" applyFont="1" applyFill="1" applyBorder="1" applyAlignment="1">
      <alignment horizontal="left" wrapText="1"/>
    </xf>
    <xf numFmtId="0" fontId="5" fillId="0" borderId="0" xfId="46" applyNumberFormat="1" applyFill="1" applyBorder="1" applyAlignment="1">
      <alignment vertical="top" wrapText="1"/>
    </xf>
    <xf numFmtId="0" fontId="0" fillId="0" borderId="0" xfId="0"/>
    <xf numFmtId="0" fontId="5" fillId="0" borderId="0" xfId="46" applyNumberFormat="1" applyFont="1" applyFill="1" applyAlignment="1">
      <alignment vertical="top" wrapText="1"/>
    </xf>
    <xf numFmtId="0" fontId="5" fillId="0" borderId="0" xfId="46" applyAlignment="1">
      <alignment vertical="center" wrapText="1"/>
    </xf>
    <xf numFmtId="0" fontId="5" fillId="0" borderId="0" xfId="46" applyNumberFormat="1" applyFont="1" applyFill="1" applyBorder="1" applyAlignment="1">
      <alignment vertical="top" wrapText="1"/>
    </xf>
    <xf numFmtId="0" fontId="0" fillId="0" borderId="0" xfId="0"/>
    <xf numFmtId="0" fontId="21" fillId="34" borderId="25" xfId="45" applyNumberFormat="1" applyFill="1" applyBorder="1" applyAlignment="1" applyProtection="1">
      <alignment horizontal="left" vertical="center" wrapText="1"/>
    </xf>
    <xf numFmtId="0" fontId="0" fillId="0" borderId="0" xfId="0" applyAlignment="1">
      <alignment wrapText="1"/>
    </xf>
    <xf numFmtId="0" fontId="0" fillId="0" borderId="0" xfId="0" applyNumberFormat="1"/>
    <xf numFmtId="0" fontId="0" fillId="0" borderId="0" xfId="0"/>
    <xf numFmtId="0" fontId="0" fillId="0" borderId="0" xfId="0" applyNumberFormat="1" applyAlignment="1">
      <alignment horizontal="left"/>
    </xf>
    <xf numFmtId="0" fontId="0" fillId="0" borderId="0" xfId="0"/>
    <xf numFmtId="0" fontId="0" fillId="0" borderId="4" xfId="0" applyNumberFormat="1" applyFill="1" applyBorder="1" applyAlignment="1">
      <alignment wrapText="1"/>
    </xf>
    <xf numFmtId="0" fontId="0" fillId="0" borderId="0" xfId="0"/>
    <xf numFmtId="0" fontId="0" fillId="78" borderId="0" xfId="0" applyFill="1" applyBorder="1" applyAlignment="1">
      <alignment wrapText="1"/>
    </xf>
    <xf numFmtId="0" fontId="0" fillId="78" borderId="0" xfId="0" applyFill="1" applyBorder="1"/>
    <xf numFmtId="0" fontId="0" fillId="0" borderId="0" xfId="0" applyAlignment="1">
      <alignment wrapText="1"/>
    </xf>
    <xf numFmtId="0" fontId="0" fillId="0" borderId="0" xfId="0"/>
    <xf numFmtId="0" fontId="0" fillId="0" borderId="0" xfId="0" applyFill="1" applyAlignment="1">
      <alignment wrapText="1"/>
    </xf>
    <xf numFmtId="0" fontId="0" fillId="76" borderId="27" xfId="0" applyNumberFormat="1" applyFont="1" applyFill="1" applyBorder="1" applyAlignment="1">
      <alignment horizontal="left"/>
    </xf>
    <xf numFmtId="0" fontId="0" fillId="0" borderId="0" xfId="0"/>
    <xf numFmtId="0" fontId="22" fillId="0" borderId="0" xfId="0" applyFont="1" applyFill="1" applyBorder="1" applyAlignment="1">
      <alignment wrapText="1"/>
    </xf>
    <xf numFmtId="0" fontId="21" fillId="34" borderId="25" xfId="45" applyNumberFormat="1" applyFill="1" applyBorder="1" applyAlignment="1" applyProtection="1">
      <alignment horizontal="center" vertical="center" wrapText="1"/>
    </xf>
    <xf numFmtId="0" fontId="2" fillId="35" borderId="80" xfId="0" applyFont="1" applyFill="1" applyBorder="1" applyAlignment="1">
      <alignment vertical="center" wrapText="1"/>
    </xf>
    <xf numFmtId="0" fontId="0" fillId="77" borderId="5" xfId="0" applyNumberFormat="1" applyFont="1" applyFill="1" applyBorder="1" applyAlignment="1">
      <alignment wrapText="1"/>
    </xf>
    <xf numFmtId="0" fontId="24" fillId="35" borderId="84" xfId="0" applyFont="1" applyFill="1" applyBorder="1" applyAlignment="1">
      <alignment horizontal="left" vertical="center" wrapText="1"/>
    </xf>
    <xf numFmtId="0" fontId="24" fillId="35" borderId="84" xfId="0" applyNumberFormat="1" applyFont="1" applyFill="1" applyBorder="1" applyAlignment="1">
      <alignment horizontal="left" vertical="center" wrapText="1"/>
    </xf>
    <xf numFmtId="0" fontId="2" fillId="35" borderId="73" xfId="0" applyFont="1" applyFill="1" applyBorder="1" applyAlignment="1">
      <alignment vertical="center" wrapText="1"/>
    </xf>
    <xf numFmtId="0" fontId="23" fillId="35" borderId="91" xfId="0" applyFont="1" applyFill="1" applyBorder="1" applyAlignment="1">
      <alignment horizontal="left" vertical="center" wrapText="1"/>
    </xf>
    <xf numFmtId="49" fontId="0" fillId="0" borderId="0" xfId="0" applyNumberFormat="1" applyAlignment="1">
      <alignment vertical="top" wrapText="1"/>
    </xf>
    <xf numFmtId="49" fontId="0" fillId="0" borderId="0" xfId="0" applyNumberFormat="1" applyBorder="1" applyAlignment="1">
      <alignment vertical="top" wrapText="1"/>
    </xf>
    <xf numFmtId="0" fontId="23" fillId="35" borderId="90" xfId="0" applyFont="1" applyFill="1" applyBorder="1" applyAlignment="1">
      <alignment horizontal="left" vertical="center" wrapText="1"/>
    </xf>
    <xf numFmtId="0" fontId="23" fillId="36" borderId="19" xfId="0" applyFont="1" applyFill="1" applyBorder="1" applyAlignment="1">
      <alignment vertical="center" wrapText="1"/>
    </xf>
    <xf numFmtId="0" fontId="0" fillId="0" borderId="0" xfId="0" applyFill="1" applyAlignment="1">
      <alignment vertical="center" wrapText="1"/>
    </xf>
    <xf numFmtId="0" fontId="0" fillId="33" borderId="0" xfId="0" applyFill="1" applyAlignment="1">
      <alignment vertical="center" wrapText="1"/>
    </xf>
    <xf numFmtId="0" fontId="0" fillId="33" borderId="0" xfId="0" applyNumberFormat="1" applyFill="1" applyBorder="1" applyAlignment="1">
      <alignment horizontal="left" wrapText="1"/>
    </xf>
    <xf numFmtId="0" fontId="0" fillId="33" borderId="0" xfId="0" applyFill="1" applyBorder="1" applyAlignment="1">
      <alignment wrapText="1"/>
    </xf>
    <xf numFmtId="0" fontId="0" fillId="33" borderId="0" xfId="0" applyNumberFormat="1" applyFill="1" applyAlignment="1">
      <alignment wrapText="1"/>
    </xf>
    <xf numFmtId="0" fontId="0" fillId="33" borderId="0" xfId="0" applyNumberFormat="1" applyFill="1" applyBorder="1" applyAlignment="1">
      <alignment wrapText="1"/>
    </xf>
    <xf numFmtId="0" fontId="22" fillId="33" borderId="0" xfId="0" applyFont="1" applyFill="1" applyBorder="1" applyAlignment="1">
      <alignment wrapText="1"/>
    </xf>
    <xf numFmtId="0" fontId="0" fillId="33" borderId="0" xfId="0" applyFill="1" applyBorder="1" applyAlignment="1">
      <alignment horizontal="left" wrapText="1"/>
    </xf>
    <xf numFmtId="0" fontId="25" fillId="33" borderId="0" xfId="0" applyFont="1" applyFill="1" applyBorder="1" applyAlignment="1">
      <alignment wrapText="1"/>
    </xf>
    <xf numFmtId="0" fontId="0" fillId="33" borderId="0" xfId="0" applyFill="1" applyBorder="1" applyAlignment="1">
      <alignment vertical="center" wrapText="1"/>
    </xf>
    <xf numFmtId="0" fontId="0" fillId="33" borderId="0" xfId="0" applyFill="1" applyBorder="1" applyAlignment="1">
      <alignment horizontal="left" vertical="center" wrapText="1"/>
    </xf>
    <xf numFmtId="0" fontId="0" fillId="33" borderId="0" xfId="0" applyNumberFormat="1" applyFill="1" applyBorder="1" applyAlignment="1">
      <alignment vertical="center" wrapText="1"/>
    </xf>
    <xf numFmtId="0" fontId="25" fillId="33" borderId="0" xfId="0" applyFont="1" applyFill="1" applyBorder="1" applyAlignment="1">
      <alignment vertical="center" wrapText="1"/>
    </xf>
    <xf numFmtId="0" fontId="0" fillId="35" borderId="97" xfId="0" applyFill="1" applyBorder="1" applyAlignment="1">
      <alignment vertical="center" wrapText="1"/>
    </xf>
    <xf numFmtId="0" fontId="0" fillId="79" borderId="99" xfId="0" applyFill="1" applyBorder="1" applyAlignment="1">
      <alignment vertical="center" wrapText="1"/>
    </xf>
    <xf numFmtId="0" fontId="23" fillId="36" borderId="88" xfId="0" applyFont="1" applyFill="1" applyBorder="1" applyAlignment="1">
      <alignment vertical="center" wrapText="1"/>
    </xf>
    <xf numFmtId="0" fontId="22" fillId="33" borderId="0" xfId="0" applyFont="1" applyFill="1" applyBorder="1" applyAlignment="1"/>
    <xf numFmtId="0" fontId="22" fillId="33" borderId="0" xfId="0" applyNumberFormat="1" applyFont="1" applyFill="1" applyBorder="1" applyAlignment="1">
      <alignment wrapText="1"/>
    </xf>
    <xf numFmtId="0" fontId="23" fillId="33" borderId="0" xfId="0" applyFont="1" applyFill="1" applyBorder="1" applyAlignment="1">
      <alignment wrapText="1"/>
    </xf>
    <xf numFmtId="0" fontId="5" fillId="33" borderId="0" xfId="46" applyNumberFormat="1" applyFont="1" applyFill="1" applyBorder="1" applyAlignment="1">
      <alignment vertical="top" wrapText="1"/>
    </xf>
    <xf numFmtId="0" fontId="22" fillId="33" borderId="0" xfId="0" applyFont="1" applyFill="1" applyBorder="1" applyAlignment="1">
      <alignment horizontal="right" wrapText="1"/>
    </xf>
    <xf numFmtId="49" fontId="16" fillId="37" borderId="60" xfId="0" applyNumberFormat="1" applyFont="1" applyFill="1" applyBorder="1" applyAlignment="1">
      <alignment horizontal="left" vertical="center" wrapText="1"/>
    </xf>
    <xf numFmtId="49" fontId="16" fillId="37" borderId="61" xfId="0" applyNumberFormat="1" applyFont="1" applyFill="1" applyBorder="1" applyAlignment="1">
      <alignment horizontal="left" vertical="center" wrapText="1"/>
    </xf>
    <xf numFmtId="0" fontId="20" fillId="79" borderId="82" xfId="0" applyNumberFormat="1" applyFont="1" applyFill="1" applyBorder="1" applyAlignment="1">
      <alignment wrapText="1"/>
    </xf>
    <xf numFmtId="0" fontId="24" fillId="36" borderId="88" xfId="0" applyNumberFormat="1" applyFont="1" applyFill="1" applyBorder="1" applyAlignment="1">
      <alignment horizontal="center" vertical="center" wrapText="1"/>
    </xf>
    <xf numFmtId="0" fontId="24" fillId="36" borderId="89" xfId="0" applyFont="1" applyFill="1" applyBorder="1" applyAlignment="1">
      <alignment horizontal="center" vertical="center" wrapText="1"/>
    </xf>
    <xf numFmtId="0" fontId="2" fillId="36" borderId="88" xfId="0" applyNumberFormat="1" applyFont="1" applyFill="1" applyBorder="1" applyAlignment="1">
      <alignment horizontal="center" vertical="center" wrapText="1"/>
    </xf>
    <xf numFmtId="0" fontId="2" fillId="36" borderId="19" xfId="0" applyFont="1" applyFill="1" applyBorder="1" applyAlignment="1">
      <alignment horizontal="center" vertical="center" wrapText="1"/>
    </xf>
    <xf numFmtId="0" fontId="2" fillId="36" borderId="89" xfId="0" applyFont="1" applyFill="1" applyBorder="1" applyAlignment="1">
      <alignment horizontal="center" vertical="center" wrapText="1"/>
    </xf>
    <xf numFmtId="0" fontId="24" fillId="36" borderId="84" xfId="0" applyNumberFormat="1" applyFont="1" applyFill="1" applyBorder="1" applyAlignment="1">
      <alignment horizontal="center" vertical="center" wrapText="1"/>
    </xf>
    <xf numFmtId="0" fontId="24" fillId="36" borderId="84" xfId="0" applyFont="1" applyFill="1" applyBorder="1" applyAlignment="1">
      <alignment horizontal="center" vertical="center" wrapText="1"/>
    </xf>
    <xf numFmtId="0" fontId="24" fillId="36" borderId="19" xfId="0" applyFont="1" applyFill="1" applyBorder="1" applyAlignment="1">
      <alignment horizontal="center" vertical="center" wrapText="1"/>
    </xf>
    <xf numFmtId="0" fontId="24" fillId="36" borderId="88" xfId="0" applyFont="1" applyFill="1" applyBorder="1" applyAlignment="1">
      <alignment horizontal="center" vertical="center" wrapText="1"/>
    </xf>
    <xf numFmtId="0" fontId="24" fillId="36" borderId="19" xfId="0" applyNumberFormat="1" applyFont="1" applyFill="1" applyBorder="1" applyAlignment="1">
      <alignment horizontal="center" vertical="center" wrapText="1"/>
    </xf>
    <xf numFmtId="0" fontId="24" fillId="36" borderId="89" xfId="0" applyNumberFormat="1" applyFont="1" applyFill="1" applyBorder="1" applyAlignment="1">
      <alignment horizontal="center" vertical="center" wrapText="1"/>
    </xf>
    <xf numFmtId="0" fontId="24" fillId="36" borderId="91" xfId="0" applyFont="1" applyFill="1" applyBorder="1" applyAlignment="1">
      <alignment horizontal="center" vertical="center" wrapText="1"/>
    </xf>
    <xf numFmtId="0" fontId="24" fillId="36" borderId="92" xfId="0" applyFont="1" applyFill="1" applyBorder="1" applyAlignment="1">
      <alignment horizontal="center" vertical="center" wrapText="1"/>
    </xf>
    <xf numFmtId="0" fontId="24" fillId="36" borderId="20" xfId="0" applyFont="1" applyFill="1" applyBorder="1" applyAlignment="1">
      <alignment horizontal="center" vertical="center" wrapText="1"/>
    </xf>
    <xf numFmtId="0" fontId="24" fillId="36" borderId="64" xfId="0" applyFont="1" applyFill="1" applyBorder="1" applyAlignment="1">
      <alignment horizontal="center" vertical="center" wrapText="1"/>
    </xf>
    <xf numFmtId="0" fontId="24" fillId="36" borderId="87" xfId="0" applyFont="1" applyFill="1" applyBorder="1" applyAlignment="1">
      <alignment horizontal="center" vertical="center" wrapText="1"/>
    </xf>
    <xf numFmtId="14" fontId="24" fillId="36" borderId="93" xfId="0" applyNumberFormat="1" applyFont="1" applyFill="1" applyBorder="1" applyAlignment="1">
      <alignment horizontal="center" vertical="center" wrapText="1"/>
    </xf>
    <xf numFmtId="49" fontId="0" fillId="0" borderId="4" xfId="0" applyNumberFormat="1" applyBorder="1" applyAlignment="1">
      <alignment vertical="top" wrapText="1"/>
    </xf>
    <xf numFmtId="0" fontId="0" fillId="33" borderId="0" xfId="0" applyFill="1" applyBorder="1" applyAlignment="1"/>
    <xf numFmtId="0" fontId="2" fillId="36" borderId="19" xfId="0" applyNumberFormat="1" applyFont="1" applyFill="1" applyBorder="1" applyAlignment="1">
      <alignment horizontal="center" vertical="center" wrapText="1"/>
    </xf>
    <xf numFmtId="0" fontId="2" fillId="36" borderId="89" xfId="0" applyNumberFormat="1" applyFont="1" applyFill="1" applyBorder="1" applyAlignment="1">
      <alignment horizontal="center" vertical="center" wrapText="1"/>
    </xf>
    <xf numFmtId="0" fontId="0" fillId="33" borderId="4" xfId="0" applyFill="1" applyBorder="1"/>
    <xf numFmtId="0" fontId="21" fillId="33" borderId="4" xfId="45" applyNumberFormat="1" applyFill="1" applyBorder="1" applyAlignment="1" applyProtection="1">
      <alignment wrapText="1"/>
    </xf>
    <xf numFmtId="0" fontId="23" fillId="33" borderId="4" xfId="0" applyFont="1" applyFill="1" applyBorder="1" applyAlignment="1">
      <alignment vertical="center" wrapText="1"/>
    </xf>
    <xf numFmtId="0" fontId="0" fillId="33" borderId="74" xfId="0" applyFill="1" applyBorder="1"/>
    <xf numFmtId="0" fontId="0" fillId="33" borderId="76" xfId="0" applyFill="1" applyBorder="1"/>
    <xf numFmtId="0" fontId="0" fillId="33" borderId="97" xfId="0" applyFill="1" applyBorder="1"/>
    <xf numFmtId="0" fontId="0" fillId="33" borderId="98" xfId="0" applyFill="1" applyBorder="1"/>
    <xf numFmtId="0" fontId="0" fillId="33" borderId="99" xfId="0" applyFill="1" applyBorder="1"/>
    <xf numFmtId="0" fontId="0" fillId="33" borderId="101" xfId="0" applyFill="1" applyBorder="1"/>
    <xf numFmtId="0" fontId="2" fillId="36" borderId="88" xfId="0" applyFont="1" applyFill="1" applyBorder="1" applyAlignment="1">
      <alignment horizontal="center" vertical="center" wrapText="1"/>
    </xf>
    <xf numFmtId="0" fontId="0" fillId="33" borderId="0" xfId="0" applyNumberFormat="1" applyFill="1" applyAlignment="1">
      <alignment horizontal="left" vertical="top" wrapText="1"/>
    </xf>
    <xf numFmtId="0" fontId="0" fillId="80" borderId="0" xfId="0" applyFill="1" applyAlignment="1">
      <alignment vertical="center"/>
    </xf>
    <xf numFmtId="0" fontId="0" fillId="80" borderId="0" xfId="0" applyNumberFormat="1" applyFill="1" applyBorder="1" applyAlignment="1">
      <alignment horizontal="left" wrapText="1"/>
    </xf>
    <xf numFmtId="0" fontId="17" fillId="80" borderId="0" xfId="0" applyFont="1" applyFill="1"/>
    <xf numFmtId="0" fontId="17" fillId="80" borderId="0" xfId="0" applyFont="1" applyFill="1" applyBorder="1" applyAlignment="1"/>
    <xf numFmtId="0" fontId="69" fillId="80" borderId="0" xfId="0" applyFont="1" applyFill="1"/>
    <xf numFmtId="0" fontId="0" fillId="80" borderId="0" xfId="0" applyFill="1" applyBorder="1" applyAlignment="1">
      <alignment wrapText="1"/>
    </xf>
    <xf numFmtId="0" fontId="26" fillId="80" borderId="0" xfId="0" applyFont="1" applyFill="1" applyBorder="1" applyAlignment="1">
      <alignment horizontal="left" wrapText="1"/>
    </xf>
    <xf numFmtId="0" fontId="26" fillId="80" borderId="0" xfId="0" applyFont="1" applyFill="1" applyBorder="1" applyAlignment="1">
      <alignment wrapText="1"/>
    </xf>
    <xf numFmtId="0" fontId="26" fillId="80" borderId="0" xfId="0" applyNumberFormat="1" applyFont="1" applyFill="1" applyBorder="1" applyAlignment="1">
      <alignment wrapText="1"/>
    </xf>
    <xf numFmtId="0" fontId="0" fillId="80" borderId="0" xfId="0" applyFill="1" applyBorder="1" applyAlignment="1"/>
    <xf numFmtId="0" fontId="0" fillId="80" borderId="0" xfId="0" applyNumberFormat="1" applyFill="1" applyBorder="1" applyAlignment="1">
      <alignment wrapText="1"/>
    </xf>
    <xf numFmtId="0" fontId="0" fillId="80" borderId="0" xfId="0" applyNumberFormat="1" applyFill="1" applyAlignment="1">
      <alignment wrapText="1"/>
    </xf>
    <xf numFmtId="0" fontId="0" fillId="80" borderId="0" xfId="0" applyFill="1" applyAlignment="1">
      <alignment wrapText="1"/>
    </xf>
    <xf numFmtId="0" fontId="0" fillId="80" borderId="0" xfId="0" applyFill="1"/>
    <xf numFmtId="0" fontId="22" fillId="80" borderId="0" xfId="0" applyFont="1" applyFill="1" applyBorder="1" applyAlignment="1"/>
    <xf numFmtId="0" fontId="22" fillId="80" borderId="0" xfId="0" applyFont="1" applyFill="1" applyBorder="1" applyAlignment="1">
      <alignment wrapText="1"/>
    </xf>
    <xf numFmtId="0" fontId="0" fillId="33" borderId="0" xfId="0" applyFill="1" applyAlignment="1">
      <alignment wrapText="1"/>
    </xf>
    <xf numFmtId="0" fontId="0" fillId="0" borderId="0" xfId="0"/>
    <xf numFmtId="49" fontId="16" fillId="37" borderId="60" xfId="0" applyNumberFormat="1" applyFont="1" applyFill="1" applyBorder="1" applyAlignment="1">
      <alignment horizontal="left" vertical="center" wrapText="1"/>
    </xf>
    <xf numFmtId="0" fontId="22" fillId="33" borderId="0" xfId="0" applyFont="1" applyFill="1" applyBorder="1" applyAlignment="1">
      <alignment wrapText="1"/>
    </xf>
    <xf numFmtId="0" fontId="23" fillId="35" borderId="91" xfId="0" applyFont="1" applyFill="1" applyBorder="1" applyAlignment="1">
      <alignment horizontal="left" vertical="center" wrapText="1"/>
    </xf>
    <xf numFmtId="0" fontId="21" fillId="34" borderId="30" xfId="45" applyNumberFormat="1" applyFill="1" applyBorder="1" applyAlignment="1" applyProtection="1">
      <alignment horizontal="center" vertical="center" wrapText="1"/>
    </xf>
    <xf numFmtId="0" fontId="22" fillId="33" borderId="0" xfId="0" applyFont="1" applyFill="1" applyBorder="1" applyAlignment="1">
      <alignment horizontal="right" wrapText="1"/>
    </xf>
    <xf numFmtId="0" fontId="24" fillId="35" borderId="68" xfId="0" applyFont="1" applyFill="1" applyBorder="1" applyAlignment="1">
      <alignment horizontal="center" vertical="center" wrapText="1"/>
    </xf>
    <xf numFmtId="0" fontId="24" fillId="35" borderId="1" xfId="0" applyFont="1" applyFill="1" applyBorder="1" applyAlignment="1">
      <alignment horizontal="center" vertical="center" wrapText="1"/>
    </xf>
    <xf numFmtId="0" fontId="24" fillId="35" borderId="7" xfId="0" applyFont="1" applyFill="1" applyBorder="1" applyAlignment="1">
      <alignment horizontal="center" vertical="center" wrapText="1"/>
    </xf>
    <xf numFmtId="49" fontId="16" fillId="37" borderId="61" xfId="0" applyNumberFormat="1" applyFont="1" applyFill="1" applyBorder="1" applyAlignment="1">
      <alignment horizontal="left" vertical="center" wrapText="1"/>
    </xf>
    <xf numFmtId="0" fontId="23" fillId="35" borderId="90" xfId="0" applyFont="1" applyFill="1" applyBorder="1" applyAlignment="1">
      <alignment horizontal="left" vertical="center" wrapText="1"/>
    </xf>
    <xf numFmtId="0" fontId="2" fillId="35" borderId="91" xfId="0" applyNumberFormat="1" applyFont="1" applyFill="1" applyBorder="1" applyAlignment="1">
      <alignment horizontal="left" vertical="center" wrapText="1"/>
    </xf>
    <xf numFmtId="0" fontId="24" fillId="35" borderId="90" xfId="0" applyNumberFormat="1" applyFont="1" applyFill="1" applyBorder="1" applyAlignment="1">
      <alignment horizontal="left" vertical="center" wrapText="1"/>
    </xf>
    <xf numFmtId="49" fontId="16" fillId="37" borderId="58" xfId="0" applyNumberFormat="1" applyFont="1" applyFill="1" applyBorder="1" applyAlignment="1">
      <alignment vertical="top" wrapText="1"/>
    </xf>
    <xf numFmtId="14" fontId="16" fillId="37" borderId="27" xfId="0" applyNumberFormat="1" applyFont="1" applyFill="1" applyBorder="1" applyAlignment="1">
      <alignment vertical="top" wrapText="1"/>
    </xf>
    <xf numFmtId="49" fontId="16" fillId="37" borderId="5" xfId="0" applyNumberFormat="1" applyFont="1" applyFill="1" applyBorder="1" applyAlignment="1">
      <alignment vertical="top" wrapText="1"/>
    </xf>
    <xf numFmtId="49" fontId="16" fillId="37" borderId="4" xfId="0" applyNumberFormat="1" applyFont="1" applyFill="1" applyBorder="1" applyAlignment="1">
      <alignment vertical="top" wrapText="1"/>
    </xf>
    <xf numFmtId="49" fontId="16" fillId="37" borderId="27" xfId="0" applyNumberFormat="1" applyFont="1" applyFill="1" applyBorder="1" applyAlignment="1">
      <alignment vertical="top" wrapText="1"/>
    </xf>
    <xf numFmtId="49" fontId="16" fillId="37" borderId="5" xfId="0" applyNumberFormat="1" applyFont="1" applyFill="1" applyBorder="1" applyAlignment="1">
      <alignment horizontal="left" vertical="top" wrapText="1"/>
    </xf>
    <xf numFmtId="49" fontId="0" fillId="0" borderId="4" xfId="0" applyNumberFormat="1" applyBorder="1" applyAlignment="1">
      <alignment horizontal="left" vertical="top" wrapText="1"/>
    </xf>
    <xf numFmtId="49" fontId="0" fillId="0" borderId="0" xfId="0" applyNumberFormat="1" applyBorder="1" applyAlignment="1">
      <alignment horizontal="left" vertical="top" wrapText="1"/>
    </xf>
    <xf numFmtId="49" fontId="16" fillId="37" borderId="0" xfId="0" applyNumberFormat="1" applyFont="1" applyFill="1" applyBorder="1" applyAlignment="1">
      <alignment horizontal="left" vertical="top" wrapText="1"/>
    </xf>
    <xf numFmtId="49" fontId="16" fillId="37" borderId="4" xfId="0" applyNumberFormat="1" applyFont="1" applyFill="1" applyBorder="1" applyAlignment="1">
      <alignment horizontal="left" vertical="top" wrapText="1"/>
    </xf>
    <xf numFmtId="49" fontId="16" fillId="37" borderId="27" xfId="0" applyNumberFormat="1" applyFont="1" applyFill="1" applyBorder="1" applyAlignment="1">
      <alignment horizontal="left" vertical="top" wrapText="1"/>
    </xf>
    <xf numFmtId="49" fontId="0" fillId="0" borderId="26" xfId="0" applyNumberFormat="1" applyBorder="1" applyAlignment="1">
      <alignment vertical="top" wrapText="1"/>
    </xf>
    <xf numFmtId="49" fontId="0" fillId="0" borderId="59" xfId="0" applyNumberFormat="1" applyBorder="1" applyAlignment="1">
      <alignment vertical="top" wrapText="1"/>
    </xf>
    <xf numFmtId="0" fontId="5" fillId="33" borderId="0" xfId="46" applyNumberFormat="1" applyFont="1" applyFill="1" applyBorder="1" applyAlignment="1">
      <alignment vertical="center" wrapText="1"/>
    </xf>
    <xf numFmtId="0" fontId="5" fillId="33" borderId="0" xfId="46" applyNumberFormat="1" applyFill="1" applyBorder="1" applyAlignment="1">
      <alignment vertical="center" wrapText="1"/>
    </xf>
    <xf numFmtId="0" fontId="0" fillId="35" borderId="4" xfId="0" applyNumberFormat="1" applyFill="1" applyBorder="1" applyAlignment="1">
      <alignment wrapText="1"/>
    </xf>
    <xf numFmtId="0" fontId="20" fillId="35" borderId="82" xfId="0" applyNumberFormat="1" applyFont="1" applyFill="1" applyBorder="1" applyAlignment="1">
      <alignment wrapText="1"/>
    </xf>
    <xf numFmtId="0" fontId="22" fillId="78" borderId="8" xfId="0" applyFont="1" applyFill="1" applyBorder="1" applyAlignment="1"/>
    <xf numFmtId="0" fontId="3" fillId="0" borderId="0" xfId="2" applyAlignment="1" applyProtection="1">
      <alignment wrapText="1"/>
    </xf>
    <xf numFmtId="0" fontId="3" fillId="34" borderId="23" xfId="2" applyNumberFormat="1" applyFill="1" applyBorder="1" applyAlignment="1" applyProtection="1">
      <alignment horizontal="center" vertical="center" wrapText="1"/>
    </xf>
    <xf numFmtId="0" fontId="0" fillId="0" borderId="0" xfId="0"/>
    <xf numFmtId="0" fontId="0" fillId="0" borderId="0" xfId="0" applyAlignment="1">
      <alignment wrapText="1"/>
    </xf>
    <xf numFmtId="0" fontId="0" fillId="0" borderId="0" xfId="0" applyBorder="1" applyAlignment="1">
      <alignment horizontal="left"/>
    </xf>
    <xf numFmtId="0" fontId="0" fillId="33" borderId="0" xfId="0" applyFill="1"/>
    <xf numFmtId="0" fontId="0" fillId="33" borderId="0" xfId="0" applyFill="1" applyAlignment="1">
      <alignment horizontal="left" wrapText="1"/>
    </xf>
    <xf numFmtId="0" fontId="0" fillId="0" borderId="0" xfId="0" applyFill="1" applyBorder="1" applyAlignment="1">
      <alignment wrapText="1"/>
    </xf>
    <xf numFmtId="0" fontId="0" fillId="33" borderId="0" xfId="0" applyFill="1" applyAlignment="1">
      <alignment wrapText="1"/>
    </xf>
    <xf numFmtId="0" fontId="22" fillId="33" borderId="0" xfId="0" applyFont="1" applyFill="1" applyBorder="1" applyAlignment="1">
      <alignment horizontal="left"/>
    </xf>
    <xf numFmtId="0" fontId="22" fillId="33" borderId="0" xfId="0" applyFont="1" applyFill="1" applyBorder="1" applyAlignment="1"/>
    <xf numFmtId="0" fontId="0" fillId="33" borderId="0" xfId="0" applyFill="1" applyBorder="1" applyAlignment="1">
      <alignment wrapText="1"/>
    </xf>
    <xf numFmtId="0" fontId="0" fillId="33" borderId="0" xfId="0" applyNumberFormat="1" applyFill="1" applyAlignment="1">
      <alignment wrapText="1"/>
    </xf>
    <xf numFmtId="0" fontId="3" fillId="34" borderId="30" xfId="2" applyNumberFormat="1" applyFill="1" applyBorder="1" applyAlignment="1" applyProtection="1">
      <alignment horizontal="center" vertical="center" wrapText="1"/>
    </xf>
    <xf numFmtId="0" fontId="21" fillId="34" borderId="111" xfId="45" applyFill="1" applyBorder="1" applyAlignment="1" applyProtection="1">
      <alignment horizontal="center" vertical="center" wrapText="1"/>
    </xf>
    <xf numFmtId="0" fontId="21" fillId="34" borderId="32" xfId="45" applyFill="1" applyBorder="1" applyAlignment="1" applyProtection="1">
      <alignment horizontal="center" vertical="center" wrapText="1"/>
    </xf>
    <xf numFmtId="0" fontId="21" fillId="34" borderId="110" xfId="45" applyFill="1" applyBorder="1" applyAlignment="1" applyProtection="1">
      <alignment horizontal="center" vertical="center" wrapText="1"/>
    </xf>
    <xf numFmtId="0" fontId="24" fillId="35" borderId="88" xfId="0" applyFont="1" applyFill="1" applyBorder="1" applyAlignment="1">
      <alignment horizontal="left" vertical="center" wrapText="1"/>
    </xf>
    <xf numFmtId="0" fontId="21" fillId="34" borderId="112" xfId="45" applyFill="1" applyBorder="1" applyAlignment="1" applyProtection="1">
      <alignment horizontal="center" vertical="center" wrapText="1"/>
    </xf>
    <xf numFmtId="0" fontId="2" fillId="35" borderId="113" xfId="0" applyFont="1" applyFill="1" applyBorder="1" applyAlignment="1">
      <alignment vertical="center" wrapText="1"/>
    </xf>
    <xf numFmtId="0" fontId="24" fillId="36" borderId="114" xfId="0" applyFont="1" applyFill="1" applyBorder="1" applyAlignment="1">
      <alignment horizontal="center" vertical="center" wrapText="1"/>
    </xf>
    <xf numFmtId="49" fontId="0" fillId="0" borderId="115" xfId="0" applyNumberFormat="1" applyBorder="1" applyAlignment="1">
      <alignment vertical="top" wrapText="1"/>
    </xf>
    <xf numFmtId="0" fontId="3" fillId="34" borderId="116" xfId="2" applyNumberFormat="1" applyFill="1" applyBorder="1" applyAlignment="1" applyProtection="1">
      <alignment horizontal="center" vertical="center" wrapText="1"/>
    </xf>
    <xf numFmtId="49" fontId="16" fillId="37" borderId="58" xfId="0" applyNumberFormat="1" applyFont="1" applyFill="1" applyBorder="1" applyAlignment="1">
      <alignment horizontal="left" vertical="top" wrapText="1"/>
    </xf>
    <xf numFmtId="0" fontId="24" fillId="36" borderId="4" xfId="0" applyNumberFormat="1" applyFont="1" applyFill="1" applyBorder="1" applyAlignment="1">
      <alignment horizontal="center" vertical="center" wrapText="1"/>
    </xf>
    <xf numFmtId="0" fontId="24" fillId="36" borderId="0" xfId="0" applyFont="1" applyFill="1" applyBorder="1" applyAlignment="1">
      <alignment horizontal="center" vertical="center" wrapText="1"/>
    </xf>
    <xf numFmtId="0" fontId="24" fillId="36" borderId="5" xfId="0" applyFont="1" applyFill="1" applyBorder="1" applyAlignment="1">
      <alignment horizontal="center" vertical="center" wrapText="1"/>
    </xf>
    <xf numFmtId="0" fontId="0" fillId="33" borderId="61" xfId="0" applyFill="1" applyBorder="1" applyAlignment="1">
      <alignment wrapText="1"/>
    </xf>
    <xf numFmtId="0" fontId="0" fillId="33" borderId="61" xfId="0" applyFill="1" applyBorder="1"/>
    <xf numFmtId="0" fontId="0" fillId="79" borderId="0" xfId="0" applyNumberFormat="1" applyFill="1" applyBorder="1"/>
    <xf numFmtId="14" fontId="20" fillId="0" borderId="4" xfId="0" applyNumberFormat="1" applyFont="1" applyFill="1" applyBorder="1" applyAlignment="1">
      <alignment horizontal="center" wrapText="1"/>
    </xf>
    <xf numFmtId="0" fontId="0" fillId="35" borderId="36" xfId="0" applyFill="1" applyBorder="1" applyAlignment="1">
      <alignment vertical="center" wrapText="1"/>
    </xf>
    <xf numFmtId="0" fontId="0" fillId="0" borderId="0" xfId="0" applyNumberFormat="1" applyFill="1" applyBorder="1" applyAlignment="1">
      <alignment horizontal="left" vertical="center" wrapText="1"/>
    </xf>
    <xf numFmtId="22" fontId="0" fillId="0" borderId="0" xfId="0" applyNumberFormat="1" applyBorder="1" applyAlignment="1">
      <alignment horizontal="left"/>
    </xf>
    <xf numFmtId="0" fontId="0" fillId="81" borderId="0" xfId="0" applyFill="1" applyAlignment="1">
      <alignment wrapText="1"/>
    </xf>
    <xf numFmtId="0" fontId="0" fillId="81" borderId="0" xfId="0" applyNumberFormat="1" applyFill="1"/>
    <xf numFmtId="0" fontId="0" fillId="81" borderId="0" xfId="0" applyFill="1"/>
    <xf numFmtId="0" fontId="0" fillId="79" borderId="0" xfId="0" applyFill="1"/>
    <xf numFmtId="0" fontId="0" fillId="35" borderId="74" xfId="0" applyFill="1" applyBorder="1" applyAlignment="1">
      <alignment vertical="center" wrapText="1"/>
    </xf>
    <xf numFmtId="0" fontId="0" fillId="79" borderId="97" xfId="0" applyFill="1" applyBorder="1" applyAlignment="1">
      <alignment vertical="center" wrapText="1"/>
    </xf>
    <xf numFmtId="0" fontId="0" fillId="81" borderId="99" xfId="0" applyFill="1" applyBorder="1"/>
    <xf numFmtId="0" fontId="0" fillId="33" borderId="0" xfId="0" applyFill="1" applyAlignment="1">
      <alignment wrapText="1"/>
    </xf>
    <xf numFmtId="0" fontId="0" fillId="0" borderId="0" xfId="0"/>
    <xf numFmtId="0" fontId="0" fillId="0" borderId="0" xfId="0" applyAlignment="1">
      <alignment wrapText="1"/>
    </xf>
    <xf numFmtId="0" fontId="22" fillId="33" borderId="0" xfId="0" applyFont="1" applyFill="1" applyBorder="1" applyAlignment="1">
      <alignment wrapText="1"/>
    </xf>
    <xf numFmtId="0" fontId="0" fillId="0" borderId="0" xfId="0" applyAlignment="1">
      <alignment wrapText="1"/>
    </xf>
    <xf numFmtId="0" fontId="5" fillId="0" borderId="0" xfId="46" applyNumberFormat="1" applyFont="1" applyFill="1" applyAlignment="1"/>
    <xf numFmtId="0" fontId="0" fillId="33" borderId="0" xfId="0" applyFill="1" applyAlignment="1">
      <alignment horizontal="right"/>
    </xf>
    <xf numFmtId="0" fontId="2" fillId="33" borderId="0" xfId="0" applyFont="1" applyFill="1" applyAlignment="1">
      <alignment horizontal="right"/>
    </xf>
    <xf numFmtId="0" fontId="2" fillId="33" borderId="0" xfId="0" applyNumberFormat="1" applyFont="1" applyFill="1" applyBorder="1" applyAlignment="1">
      <alignment horizontal="right"/>
    </xf>
    <xf numFmtId="0" fontId="2" fillId="33" borderId="0" xfId="0" applyFont="1" applyFill="1" applyBorder="1" applyAlignment="1">
      <alignment horizontal="right"/>
    </xf>
    <xf numFmtId="0" fontId="2" fillId="33" borderId="0" xfId="0" applyFont="1" applyFill="1" applyAlignment="1">
      <alignment horizontal="right" vertical="center"/>
    </xf>
    <xf numFmtId="0" fontId="0" fillId="33" borderId="0" xfId="0" applyNumberFormat="1" applyFont="1" applyFill="1" applyBorder="1" applyAlignment="1"/>
    <xf numFmtId="0" fontId="0" fillId="33" borderId="0" xfId="0" applyNumberFormat="1" applyFont="1" applyFill="1" applyBorder="1" applyAlignment="1">
      <alignment horizontal="left"/>
    </xf>
    <xf numFmtId="0" fontId="0" fillId="33" borderId="0" xfId="0" applyFill="1" applyBorder="1" applyAlignment="1">
      <alignment horizontal="left"/>
    </xf>
    <xf numFmtId="0" fontId="72" fillId="33" borderId="0" xfId="0" applyFont="1" applyFill="1" applyAlignment="1"/>
    <xf numFmtId="0" fontId="2" fillId="33" borderId="0" xfId="0" applyFont="1" applyFill="1" applyAlignment="1">
      <alignment wrapText="1"/>
    </xf>
    <xf numFmtId="0" fontId="0" fillId="79" borderId="0" xfId="0" applyNumberFormat="1" applyFill="1" applyBorder="1" applyAlignment="1">
      <alignment wrapText="1"/>
    </xf>
    <xf numFmtId="0" fontId="0" fillId="79" borderId="4" xfId="0" applyNumberFormat="1" applyFont="1" applyFill="1" applyBorder="1" applyAlignment="1">
      <alignment wrapText="1"/>
    </xf>
    <xf numFmtId="0" fontId="0" fillId="76" borderId="4" xfId="0" applyNumberFormat="1" applyFill="1" applyBorder="1" applyAlignment="1">
      <alignment wrapText="1"/>
    </xf>
    <xf numFmtId="0" fontId="0" fillId="79" borderId="58" xfId="0" applyNumberFormat="1" applyFill="1" applyBorder="1" applyAlignment="1">
      <alignment wrapText="1"/>
    </xf>
    <xf numFmtId="0" fontId="0" fillId="79" borderId="27" xfId="0" applyNumberFormat="1" applyFill="1" applyBorder="1" applyAlignment="1">
      <alignment horizontal="left" wrapText="1"/>
    </xf>
    <xf numFmtId="14" fontId="20" fillId="79" borderId="0" xfId="0" applyNumberFormat="1" applyFont="1" applyFill="1" applyBorder="1" applyAlignment="1">
      <alignment wrapText="1"/>
    </xf>
    <xf numFmtId="0" fontId="0" fillId="79" borderId="58" xfId="0" applyNumberFormat="1" applyFont="1" applyFill="1" applyBorder="1" applyAlignment="1">
      <alignment wrapText="1"/>
    </xf>
    <xf numFmtId="0" fontId="0" fillId="76" borderId="27" xfId="0" applyNumberFormat="1" applyFill="1" applyBorder="1" applyAlignment="1">
      <alignment wrapText="1"/>
    </xf>
    <xf numFmtId="0" fontId="0" fillId="76" borderId="59" xfId="0" applyNumberFormat="1" applyFill="1" applyBorder="1" applyAlignment="1">
      <alignment wrapText="1"/>
    </xf>
    <xf numFmtId="0" fontId="0" fillId="76" borderId="0" xfId="0" applyNumberFormat="1" applyFill="1" applyBorder="1" applyAlignment="1">
      <alignment wrapText="1"/>
    </xf>
    <xf numFmtId="0" fontId="0" fillId="79" borderId="4" xfId="0" applyNumberFormat="1" applyFill="1" applyBorder="1" applyAlignment="1">
      <alignment wrapText="1"/>
    </xf>
    <xf numFmtId="49" fontId="0" fillId="76" borderId="0" xfId="0" applyNumberFormat="1" applyFill="1" applyBorder="1" applyAlignment="1">
      <alignment wrapText="1"/>
    </xf>
    <xf numFmtId="0" fontId="0" fillId="79" borderId="31" xfId="0" applyNumberFormat="1" applyFill="1" applyBorder="1" applyAlignment="1">
      <alignment wrapText="1"/>
    </xf>
    <xf numFmtId="0" fontId="0" fillId="77" borderId="0" xfId="0" applyNumberFormat="1" applyFont="1" applyFill="1" applyBorder="1" applyAlignment="1">
      <alignment wrapText="1"/>
    </xf>
    <xf numFmtId="0" fontId="0" fillId="79" borderId="4" xfId="0" applyNumberFormat="1" applyFill="1" applyBorder="1"/>
    <xf numFmtId="49" fontId="0" fillId="0" borderId="27" xfId="0" applyNumberFormat="1" applyFont="1" applyFill="1" applyBorder="1" applyAlignment="1">
      <alignment wrapText="1"/>
    </xf>
    <xf numFmtId="0" fontId="0" fillId="76" borderId="5" xfId="0" applyNumberFormat="1" applyFont="1" applyFill="1" applyBorder="1" applyAlignment="1">
      <alignment horizontal="left"/>
    </xf>
    <xf numFmtId="173" fontId="0" fillId="35" borderId="5" xfId="0" applyNumberFormat="1" applyFill="1" applyBorder="1"/>
    <xf numFmtId="0" fontId="0" fillId="79" borderId="4" xfId="0" applyNumberFormat="1" applyFill="1" applyBorder="1" applyAlignment="1">
      <alignment horizontal="left"/>
    </xf>
    <xf numFmtId="0" fontId="0" fillId="79" borderId="0" xfId="0" applyNumberFormat="1" applyFill="1" applyBorder="1" applyAlignment="1"/>
    <xf numFmtId="0" fontId="0" fillId="34" borderId="4" xfId="0" applyNumberFormat="1" applyFill="1" applyBorder="1" applyAlignment="1"/>
    <xf numFmtId="0" fontId="0" fillId="34" borderId="0" xfId="0" applyNumberFormat="1" applyFill="1" applyBorder="1" applyAlignment="1"/>
    <xf numFmtId="0" fontId="0" fillId="79" borderId="4" xfId="0" applyNumberFormat="1" applyFill="1" applyBorder="1" applyAlignment="1"/>
    <xf numFmtId="0" fontId="0" fillId="79" borderId="33" xfId="0" applyNumberFormat="1" applyFill="1" applyBorder="1" applyAlignment="1"/>
    <xf numFmtId="0" fontId="0" fillId="79" borderId="59" xfId="0" applyNumberFormat="1" applyFill="1" applyBorder="1" applyAlignment="1">
      <alignment wrapText="1"/>
    </xf>
    <xf numFmtId="0" fontId="3" fillId="79" borderId="31" xfId="2" applyNumberFormat="1" applyFill="1" applyBorder="1" applyAlignment="1" applyProtection="1">
      <alignment wrapText="1"/>
    </xf>
    <xf numFmtId="0" fontId="0" fillId="34" borderId="4" xfId="0" applyNumberFormat="1" applyFill="1" applyBorder="1" applyAlignment="1">
      <alignment horizontal="left" wrapText="1"/>
    </xf>
    <xf numFmtId="0" fontId="0" fillId="34" borderId="0" xfId="0" applyNumberFormat="1" applyFill="1" applyBorder="1" applyAlignment="1">
      <alignment wrapText="1"/>
    </xf>
    <xf numFmtId="0" fontId="0" fillId="79" borderId="117" xfId="0" applyNumberFormat="1" applyFill="1" applyBorder="1" applyAlignment="1"/>
    <xf numFmtId="0" fontId="20" fillId="0" borderId="4" xfId="0" applyFont="1" applyFill="1" applyBorder="1" applyAlignment="1">
      <alignment horizontal="center" vertical="center" wrapText="1"/>
    </xf>
    <xf numFmtId="14" fontId="20" fillId="0" borderId="5" xfId="0" applyNumberFormat="1" applyFont="1" applyFill="1" applyBorder="1" applyAlignment="1">
      <alignment horizontal="center" vertical="center" wrapText="1"/>
    </xf>
    <xf numFmtId="0" fontId="20" fillId="0" borderId="4" xfId="0" applyFont="1" applyFill="1" applyBorder="1" applyAlignment="1">
      <alignment vertical="center" wrapText="1"/>
    </xf>
    <xf numFmtId="0" fontId="20" fillId="0" borderId="4" xfId="0" applyFont="1" applyFill="1" applyBorder="1" applyAlignment="1">
      <alignment vertical="top" wrapText="1"/>
    </xf>
    <xf numFmtId="0" fontId="0" fillId="79" borderId="115" xfId="0" applyNumberFormat="1" applyFill="1" applyBorder="1" applyAlignment="1"/>
    <xf numFmtId="14" fontId="0" fillId="0" borderId="0" xfId="0" applyNumberFormat="1"/>
    <xf numFmtId="0" fontId="0" fillId="79" borderId="5" xfId="0" applyNumberFormat="1" applyFill="1" applyBorder="1" applyAlignment="1"/>
    <xf numFmtId="0" fontId="20" fillId="0" borderId="4" xfId="0" applyNumberFormat="1" applyFont="1" applyBorder="1"/>
    <xf numFmtId="14" fontId="22" fillId="33" borderId="0" xfId="0" applyNumberFormat="1" applyFont="1" applyFill="1" applyBorder="1" applyAlignment="1">
      <alignment wrapText="1"/>
    </xf>
    <xf numFmtId="0" fontId="0" fillId="0" borderId="0" xfId="0"/>
    <xf numFmtId="49" fontId="0" fillId="0" borderId="58" xfId="0" applyNumberFormat="1" applyFill="1" applyBorder="1" applyAlignment="1">
      <alignment wrapText="1"/>
    </xf>
    <xf numFmtId="0" fontId="0" fillId="0" borderId="0" xfId="0"/>
    <xf numFmtId="0" fontId="0" fillId="0" borderId="0" xfId="0" applyAlignment="1">
      <alignment wrapText="1"/>
    </xf>
    <xf numFmtId="0" fontId="0" fillId="0" borderId="0" xfId="0"/>
    <xf numFmtId="0" fontId="0" fillId="0" borderId="0" xfId="0" applyAlignment="1">
      <alignment wrapText="1"/>
    </xf>
    <xf numFmtId="14" fontId="0" fillId="0" borderId="0" xfId="0" applyNumberFormat="1" applyFill="1" applyBorder="1" applyAlignment="1">
      <alignment horizontal="left" vertical="center" wrapText="1"/>
    </xf>
    <xf numFmtId="0" fontId="2" fillId="0" borderId="0" xfId="0" applyFont="1" applyFill="1" applyBorder="1" applyAlignment="1">
      <alignment horizontal="right" vertical="center" wrapText="1"/>
    </xf>
    <xf numFmtId="0" fontId="2" fillId="0" borderId="0" xfId="0" applyFont="1" applyFill="1" applyBorder="1" applyAlignment="1">
      <alignment horizontal="right" vertical="center"/>
    </xf>
    <xf numFmtId="14" fontId="20" fillId="79" borderId="0" xfId="0" applyNumberFormat="1" applyFont="1" applyFill="1" applyBorder="1"/>
    <xf numFmtId="14" fontId="20" fillId="79" borderId="0" xfId="0" applyNumberFormat="1" applyFont="1" applyFill="1" applyBorder="1" applyAlignment="1">
      <alignment horizontal="center" wrapText="1"/>
    </xf>
    <xf numFmtId="14" fontId="0" fillId="79" borderId="0" xfId="0" applyNumberFormat="1" applyFill="1" applyBorder="1"/>
    <xf numFmtId="0" fontId="0" fillId="0" borderId="0" xfId="0"/>
    <xf numFmtId="0" fontId="0" fillId="0" borderId="0" xfId="0" applyAlignment="1">
      <alignment wrapText="1"/>
    </xf>
    <xf numFmtId="0" fontId="0" fillId="0" borderId="0" xfId="0" applyAlignment="1">
      <alignment horizontal="right"/>
    </xf>
    <xf numFmtId="49" fontId="0" fillId="0" borderId="0" xfId="0" applyNumberFormat="1"/>
    <xf numFmtId="0" fontId="0" fillId="0" borderId="0" xfId="0" applyNumberFormat="1" applyAlignment="1">
      <alignment horizontal="right"/>
    </xf>
    <xf numFmtId="0" fontId="0" fillId="0" borderId="0" xfId="0"/>
    <xf numFmtId="0" fontId="0" fillId="0" borderId="0" xfId="0" applyAlignment="1">
      <alignment wrapText="1"/>
    </xf>
    <xf numFmtId="0" fontId="20" fillId="0" borderId="118" xfId="0" applyFont="1" applyFill="1" applyBorder="1" applyAlignment="1">
      <alignment horizontal="center" vertical="center" wrapText="1"/>
    </xf>
    <xf numFmtId="0" fontId="0" fillId="79" borderId="4" xfId="0" applyNumberFormat="1" applyFill="1" applyBorder="1" applyAlignment="1">
      <alignment horizontal="left" vertical="top"/>
    </xf>
    <xf numFmtId="0" fontId="0" fillId="79" borderId="5" xfId="0" applyNumberFormat="1" applyFill="1" applyBorder="1" applyAlignment="1">
      <alignment wrapText="1"/>
    </xf>
    <xf numFmtId="0" fontId="0" fillId="34" borderId="4" xfId="0" applyNumberFormat="1" applyFill="1" applyBorder="1" applyAlignment="1">
      <alignment wrapText="1"/>
    </xf>
    <xf numFmtId="0" fontId="0" fillId="79" borderId="0" xfId="0" applyNumberFormat="1" applyFill="1"/>
    <xf numFmtId="0" fontId="0" fillId="34" borderId="0" xfId="0" applyNumberFormat="1" applyFill="1"/>
    <xf numFmtId="0" fontId="0" fillId="79" borderId="115" xfId="0" applyNumberFormat="1" applyFill="1" applyBorder="1" applyAlignment="1">
      <alignment wrapText="1"/>
    </xf>
    <xf numFmtId="0" fontId="0" fillId="79" borderId="33" xfId="0" applyNumberFormat="1" applyFill="1" applyBorder="1" applyAlignment="1">
      <alignment wrapText="1"/>
    </xf>
    <xf numFmtId="0" fontId="0" fillId="34" borderId="0" xfId="0" applyNumberFormat="1" applyFill="1" applyBorder="1"/>
    <xf numFmtId="14" fontId="20" fillId="0" borderId="0" xfId="0" applyNumberFormat="1" applyFont="1" applyAlignment="1">
      <alignment wrapText="1"/>
    </xf>
    <xf numFmtId="0" fontId="20" fillId="0" borderId="119" xfId="0" applyFont="1" applyFill="1" applyBorder="1" applyAlignment="1">
      <alignment vertical="center" wrapText="1"/>
    </xf>
    <xf numFmtId="0" fontId="20" fillId="0" borderId="120" xfId="0" applyFont="1" applyFill="1" applyBorder="1" applyAlignment="1">
      <alignment vertical="center" wrapText="1"/>
    </xf>
    <xf numFmtId="0" fontId="20" fillId="0" borderId="120" xfId="0" applyFont="1" applyBorder="1" applyAlignment="1">
      <alignment vertical="center" wrapText="1"/>
    </xf>
    <xf numFmtId="0" fontId="20" fillId="0" borderId="121" xfId="0" applyFont="1" applyFill="1" applyBorder="1" applyAlignment="1">
      <alignment vertical="center" wrapText="1"/>
    </xf>
    <xf numFmtId="0" fontId="20" fillId="0" borderId="0" xfId="0" applyNumberFormat="1" applyFont="1" applyAlignment="1">
      <alignment wrapText="1"/>
    </xf>
    <xf numFmtId="0" fontId="20" fillId="0" borderId="4" xfId="0" applyNumberFormat="1" applyFont="1" applyFill="1" applyBorder="1" applyAlignment="1">
      <alignment horizontal="right"/>
    </xf>
    <xf numFmtId="14" fontId="20" fillId="0" borderId="118" xfId="0" applyNumberFormat="1" applyFont="1" applyFill="1" applyBorder="1" applyAlignment="1">
      <alignment horizontal="center" vertical="center" wrapText="1"/>
    </xf>
    <xf numFmtId="14" fontId="20" fillId="0" borderId="122" xfId="0" applyNumberFormat="1" applyFont="1" applyFill="1" applyBorder="1" applyAlignment="1">
      <alignment horizontal="center" vertical="center" wrapText="1"/>
    </xf>
    <xf numFmtId="14" fontId="20" fillId="79" borderId="0" xfId="0" applyNumberFormat="1" applyFont="1" applyFill="1" applyAlignment="1">
      <alignment horizontal="center" wrapText="1"/>
    </xf>
    <xf numFmtId="49" fontId="0" fillId="0" borderId="0" xfId="0" applyNumberFormat="1" applyFont="1" applyFill="1" applyAlignment="1">
      <alignment wrapText="1"/>
    </xf>
    <xf numFmtId="0" fontId="0" fillId="76" borderId="0" xfId="0" applyNumberFormat="1" applyFont="1" applyFill="1"/>
    <xf numFmtId="0" fontId="0" fillId="76" borderId="0" xfId="0" applyNumberFormat="1" applyFont="1" applyFill="1" applyAlignment="1">
      <alignment horizontal="left"/>
    </xf>
    <xf numFmtId="0" fontId="0" fillId="76" borderId="0" xfId="0" applyNumberFormat="1" applyFont="1" applyFill="1" applyBorder="1"/>
    <xf numFmtId="0" fontId="0" fillId="76" borderId="0" xfId="0" applyNumberFormat="1" applyFont="1" applyFill="1" applyBorder="1" applyAlignment="1">
      <alignment horizontal="left"/>
    </xf>
    <xf numFmtId="0" fontId="20" fillId="0" borderId="118" xfId="0" applyFont="1" applyFill="1" applyBorder="1" applyAlignment="1">
      <alignment vertical="center" wrapText="1"/>
    </xf>
    <xf numFmtId="14" fontId="20" fillId="0" borderId="0" xfId="0" applyNumberFormat="1" applyFont="1" applyFill="1" applyAlignment="1">
      <alignment horizontal="center" wrapText="1"/>
    </xf>
    <xf numFmtId="14" fontId="20" fillId="0" borderId="0" xfId="0" applyNumberFormat="1" applyFont="1" applyFill="1" applyBorder="1" applyAlignment="1">
      <alignment horizontal="center" wrapText="1"/>
    </xf>
    <xf numFmtId="0" fontId="20" fillId="0" borderId="118" xfId="0" applyFont="1" applyFill="1" applyBorder="1" applyAlignment="1">
      <alignment wrapText="1"/>
    </xf>
    <xf numFmtId="0" fontId="0" fillId="0" borderId="0" xfId="0" applyNumberFormat="1" applyBorder="1"/>
    <xf numFmtId="0" fontId="20" fillId="0" borderId="122" xfId="0" applyFont="1" applyFill="1" applyBorder="1" applyAlignment="1">
      <alignment horizontal="center" vertical="center" wrapText="1"/>
    </xf>
    <xf numFmtId="0" fontId="20" fillId="0" borderId="0" xfId="0" applyNumberFormat="1" applyFont="1" applyAlignment="1">
      <alignment vertical="center" wrapText="1"/>
    </xf>
    <xf numFmtId="0" fontId="0" fillId="0" borderId="4" xfId="0" applyNumberFormat="1" applyFont="1" applyFill="1" applyBorder="1" applyAlignment="1">
      <alignment wrapText="1"/>
    </xf>
    <xf numFmtId="14" fontId="20" fillId="0" borderId="4" xfId="0" applyNumberFormat="1" applyFont="1" applyFill="1" applyBorder="1" applyAlignment="1">
      <alignment horizontal="center" vertical="center" wrapText="1"/>
    </xf>
    <xf numFmtId="0" fontId="0" fillId="79" borderId="0" xfId="0" applyNumberFormat="1" applyFill="1" applyAlignment="1">
      <alignment wrapText="1"/>
    </xf>
    <xf numFmtId="14" fontId="0" fillId="79" borderId="0" xfId="0" applyNumberFormat="1" applyFill="1" applyBorder="1" applyAlignment="1">
      <alignment wrapText="1"/>
    </xf>
    <xf numFmtId="0" fontId="0" fillId="76" borderId="4" xfId="0" applyNumberFormat="1" applyFont="1" applyFill="1" applyBorder="1" applyAlignment="1">
      <alignment wrapText="1"/>
    </xf>
    <xf numFmtId="0" fontId="0" fillId="76" borderId="0" xfId="0" applyNumberFormat="1" applyFont="1" applyFill="1" applyAlignment="1">
      <alignment wrapText="1"/>
    </xf>
    <xf numFmtId="0" fontId="0" fillId="79" borderId="0" xfId="0" applyNumberFormat="1" applyFont="1" applyFill="1" applyAlignment="1">
      <alignment horizontal="left" wrapText="1"/>
    </xf>
    <xf numFmtId="14" fontId="0" fillId="79" borderId="0" xfId="0" applyNumberFormat="1" applyFont="1" applyFill="1" applyAlignment="1">
      <alignment wrapText="1"/>
    </xf>
    <xf numFmtId="0" fontId="0" fillId="79" borderId="0" xfId="0" applyNumberFormat="1" applyFont="1" applyFill="1" applyAlignment="1">
      <alignment wrapText="1"/>
    </xf>
    <xf numFmtId="0" fontId="0" fillId="76" borderId="59" xfId="0" applyNumberFormat="1" applyFont="1" applyFill="1" applyBorder="1" applyAlignment="1">
      <alignment wrapText="1"/>
    </xf>
    <xf numFmtId="0" fontId="0" fillId="79" borderId="31" xfId="0" applyNumberFormat="1" applyFont="1" applyFill="1" applyBorder="1" applyAlignment="1">
      <alignment wrapText="1"/>
    </xf>
    <xf numFmtId="0" fontId="0" fillId="78" borderId="0" xfId="0" applyFill="1"/>
    <xf numFmtId="49" fontId="0" fillId="0" borderId="118" xfId="0" applyNumberFormat="1" applyFill="1" applyBorder="1" applyAlignment="1">
      <alignment wrapText="1"/>
    </xf>
    <xf numFmtId="0" fontId="20" fillId="0" borderId="0" xfId="0" applyFont="1" applyFill="1" applyAlignment="1">
      <alignment vertical="center" wrapText="1"/>
    </xf>
    <xf numFmtId="0" fontId="0" fillId="0" borderId="58" xfId="0" applyBorder="1"/>
    <xf numFmtId="49" fontId="0" fillId="0" borderId="0" xfId="0" applyNumberFormat="1" applyFill="1" applyAlignment="1">
      <alignment wrapText="1"/>
    </xf>
    <xf numFmtId="0" fontId="0" fillId="0" borderId="118" xfId="0" applyBorder="1"/>
    <xf numFmtId="0" fontId="0" fillId="0" borderId="122" xfId="0" applyBorder="1"/>
    <xf numFmtId="0" fontId="0" fillId="0" borderId="0" xfId="0"/>
    <xf numFmtId="0" fontId="0" fillId="0" borderId="0" xfId="0" applyAlignment="1">
      <alignment wrapText="1"/>
    </xf>
    <xf numFmtId="49" fontId="0" fillId="33" borderId="0" xfId="0" applyNumberFormat="1" applyFill="1"/>
    <xf numFmtId="49" fontId="0" fillId="0" borderId="0" xfId="0" applyNumberFormat="1" applyAlignment="1">
      <alignment wrapText="1"/>
    </xf>
    <xf numFmtId="0" fontId="21" fillId="34" borderId="30" xfId="45" applyNumberFormat="1" applyFill="1" applyBorder="1" applyAlignment="1" applyProtection="1">
      <alignment horizontal="center" vertical="center" wrapText="1"/>
    </xf>
    <xf numFmtId="0" fontId="21" fillId="34" borderId="23" xfId="45" applyNumberFormat="1" applyFill="1" applyBorder="1" applyAlignment="1" applyProtection="1">
      <alignment vertical="center" wrapText="1"/>
    </xf>
    <xf numFmtId="0" fontId="21" fillId="34" borderId="30" xfId="45" applyNumberFormat="1" applyFill="1" applyBorder="1" applyAlignment="1" applyProtection="1">
      <alignment vertical="center" wrapText="1"/>
    </xf>
    <xf numFmtId="0" fontId="21" fillId="34" borderId="25" xfId="45" applyNumberFormat="1" applyFill="1" applyBorder="1" applyAlignment="1" applyProtection="1">
      <alignment horizontal="center" vertical="center" wrapText="1"/>
    </xf>
    <xf numFmtId="49" fontId="3" fillId="0" borderId="4" xfId="2" applyNumberFormat="1" applyBorder="1" applyAlignment="1" applyProtection="1">
      <alignment vertical="top" wrapText="1"/>
    </xf>
    <xf numFmtId="49" fontId="3" fillId="0" borderId="0" xfId="2" applyNumberFormat="1" applyBorder="1" applyAlignment="1" applyProtection="1">
      <alignment vertical="top" wrapText="1"/>
    </xf>
    <xf numFmtId="49" fontId="3" fillId="0" borderId="5" xfId="2" applyNumberFormat="1" applyBorder="1" applyAlignment="1" applyProtection="1">
      <alignment vertical="top" wrapText="1"/>
    </xf>
    <xf numFmtId="0" fontId="5" fillId="34" borderId="30" xfId="45" applyNumberFormat="1" applyFont="1" applyFill="1" applyBorder="1" applyAlignment="1" applyProtection="1">
      <alignment vertical="center" wrapText="1"/>
    </xf>
    <xf numFmtId="0" fontId="3" fillId="0" borderId="5" xfId="2" applyBorder="1" applyAlignment="1" applyProtection="1">
      <alignment vertical="top" wrapText="1"/>
    </xf>
    <xf numFmtId="0" fontId="3" fillId="0" borderId="0" xfId="2" applyBorder="1" applyAlignment="1" applyProtection="1">
      <alignment vertical="top" wrapText="1"/>
    </xf>
    <xf numFmtId="0" fontId="3" fillId="0" borderId="4" xfId="2" applyBorder="1" applyAlignment="1" applyProtection="1">
      <alignment vertical="top" wrapText="1"/>
    </xf>
    <xf numFmtId="49" fontId="3" fillId="37" borderId="26" xfId="2" applyNumberFormat="1" applyFill="1" applyBorder="1" applyAlignment="1" applyProtection="1">
      <alignment vertical="top" wrapText="1"/>
    </xf>
    <xf numFmtId="49" fontId="3" fillId="37" borderId="5" xfId="2" applyNumberFormat="1" applyFill="1" applyBorder="1" applyAlignment="1" applyProtection="1">
      <alignment vertical="top" wrapText="1"/>
    </xf>
    <xf numFmtId="49" fontId="3" fillId="37" borderId="27" xfId="2" applyNumberFormat="1" applyFill="1" applyBorder="1" applyAlignment="1" applyProtection="1">
      <alignment vertical="top" wrapText="1"/>
    </xf>
    <xf numFmtId="49" fontId="3" fillId="37" borderId="5" xfId="2" applyNumberFormat="1" applyFill="1" applyBorder="1" applyAlignment="1" applyProtection="1">
      <alignment horizontal="left" vertical="top" wrapText="1"/>
    </xf>
    <xf numFmtId="49" fontId="3" fillId="37" borderId="106" xfId="2" applyNumberFormat="1" applyFill="1" applyBorder="1" applyAlignment="1" applyProtection="1">
      <alignment vertical="top" wrapText="1"/>
    </xf>
    <xf numFmtId="49" fontId="73" fillId="37" borderId="61" xfId="0" applyNumberFormat="1" applyFont="1" applyFill="1" applyBorder="1" applyAlignment="1">
      <alignment horizontal="left" vertical="top" wrapText="1"/>
    </xf>
    <xf numFmtId="49" fontId="3" fillId="37" borderId="0" xfId="2" applyNumberFormat="1" applyFill="1" applyBorder="1" applyAlignment="1" applyProtection="1">
      <alignment horizontal="left" vertical="top" wrapText="1"/>
    </xf>
    <xf numFmtId="0" fontId="3" fillId="34" borderId="30" xfId="2" applyNumberFormat="1" applyFill="1" applyBorder="1" applyAlignment="1" applyProtection="1">
      <alignment vertical="center" wrapText="1"/>
    </xf>
    <xf numFmtId="0" fontId="3" fillId="0" borderId="5" xfId="2" applyBorder="1" applyAlignment="1" applyProtection="1">
      <alignment horizontal="left" vertical="top" wrapText="1"/>
    </xf>
    <xf numFmtId="0" fontId="3" fillId="34" borderId="23" xfId="2" applyNumberFormat="1" applyFill="1" applyBorder="1" applyAlignment="1" applyProtection="1">
      <alignment vertical="center" wrapText="1"/>
    </xf>
    <xf numFmtId="0" fontId="3" fillId="0" borderId="0" xfId="2" applyBorder="1" applyAlignment="1" applyProtection="1">
      <alignment horizontal="left" vertical="top" wrapText="1"/>
    </xf>
    <xf numFmtId="0" fontId="3" fillId="34" borderId="30" xfId="2" applyFill="1" applyBorder="1" applyAlignment="1" applyProtection="1">
      <alignment vertical="center" wrapText="1"/>
    </xf>
    <xf numFmtId="0" fontId="3" fillId="34" borderId="23" xfId="2" applyFill="1" applyBorder="1" applyAlignment="1" applyProtection="1">
      <alignment vertical="center" wrapText="1"/>
    </xf>
    <xf numFmtId="49" fontId="3" fillId="37" borderId="4" xfId="2" applyNumberFormat="1" applyFill="1" applyBorder="1" applyAlignment="1" applyProtection="1">
      <alignment horizontal="left" vertical="top" wrapText="1"/>
    </xf>
    <xf numFmtId="0" fontId="3" fillId="0" borderId="0" xfId="2" applyAlignment="1" applyProtection="1">
      <alignment vertical="top" wrapText="1"/>
    </xf>
    <xf numFmtId="0" fontId="0" fillId="0" borderId="0" xfId="0"/>
    <xf numFmtId="0" fontId="0" fillId="0" borderId="0" xfId="0" applyAlignment="1">
      <alignment wrapText="1"/>
    </xf>
    <xf numFmtId="0" fontId="0" fillId="0" borderId="0" xfId="0"/>
    <xf numFmtId="0" fontId="23" fillId="33" borderId="8" xfId="0" applyFont="1" applyFill="1" applyBorder="1" applyAlignment="1">
      <alignment horizontal="center" wrapText="1"/>
    </xf>
    <xf numFmtId="0" fontId="23" fillId="33" borderId="34" xfId="0" applyFont="1" applyFill="1" applyBorder="1" applyAlignment="1">
      <alignment horizontal="center" wrapText="1"/>
    </xf>
    <xf numFmtId="0" fontId="23" fillId="33" borderId="9" xfId="0" applyFont="1" applyFill="1" applyBorder="1" applyAlignment="1">
      <alignment horizontal="center" wrapText="1"/>
    </xf>
    <xf numFmtId="0" fontId="0" fillId="0" borderId="0" xfId="0" applyAlignment="1">
      <alignment horizontal="left" vertical="top" wrapText="1"/>
    </xf>
    <xf numFmtId="0" fontId="72" fillId="0" borderId="0" xfId="0" applyFont="1" applyBorder="1" applyAlignment="1">
      <alignment horizontal="center"/>
    </xf>
    <xf numFmtId="0" fontId="2" fillId="0" borderId="0" xfId="0" applyFont="1" applyBorder="1" applyAlignment="1">
      <alignment horizontal="right" vertical="center" wrapText="1"/>
    </xf>
    <xf numFmtId="0" fontId="2" fillId="0" borderId="0" xfId="0" applyFont="1" applyBorder="1" applyAlignment="1">
      <alignment horizontal="right" wrapText="1"/>
    </xf>
    <xf numFmtId="0" fontId="0" fillId="79" borderId="0" xfId="0" applyNumberFormat="1" applyFill="1" applyBorder="1" applyAlignment="1">
      <alignment horizontal="left" vertical="center"/>
    </xf>
    <xf numFmtId="0" fontId="0" fillId="35" borderId="0" xfId="0" applyNumberFormat="1" applyFill="1" applyBorder="1" applyAlignment="1">
      <alignment horizontal="left" vertical="center"/>
    </xf>
    <xf numFmtId="0" fontId="0" fillId="35" borderId="0" xfId="0" applyNumberFormat="1" applyFill="1" applyBorder="1" applyAlignment="1">
      <alignment horizontal="left"/>
    </xf>
    <xf numFmtId="0" fontId="2" fillId="0" borderId="0" xfId="0" applyFont="1" applyBorder="1" applyAlignment="1">
      <alignment horizontal="right"/>
    </xf>
    <xf numFmtId="0" fontId="17" fillId="0" borderId="0" xfId="0" applyFont="1" applyAlignment="1">
      <alignment wrapText="1"/>
    </xf>
    <xf numFmtId="0" fontId="17" fillId="0" borderId="0" xfId="0" applyFont="1" applyBorder="1" applyAlignment="1">
      <alignment wrapText="1"/>
    </xf>
    <xf numFmtId="0" fontId="0" fillId="0" borderId="75" xfId="0" applyBorder="1" applyAlignment="1">
      <alignment wrapText="1"/>
    </xf>
    <xf numFmtId="0" fontId="0" fillId="0" borderId="76" xfId="0" applyBorder="1" applyAlignment="1">
      <alignment wrapText="1"/>
    </xf>
    <xf numFmtId="0" fontId="0" fillId="0" borderId="96" xfId="0" applyBorder="1" applyAlignment="1">
      <alignment wrapText="1"/>
    </xf>
    <xf numFmtId="0" fontId="0" fillId="0" borderId="98" xfId="0" applyBorder="1" applyAlignment="1">
      <alignment wrapText="1"/>
    </xf>
    <xf numFmtId="0" fontId="0" fillId="0" borderId="100" xfId="0" applyBorder="1" applyAlignment="1">
      <alignment wrapText="1"/>
    </xf>
    <xf numFmtId="0" fontId="0" fillId="0" borderId="101" xfId="0" applyBorder="1" applyAlignment="1">
      <alignment wrapText="1"/>
    </xf>
    <xf numFmtId="0" fontId="0" fillId="0" borderId="0" xfId="0" applyAlignment="1">
      <alignment wrapText="1"/>
    </xf>
    <xf numFmtId="0" fontId="0" fillId="0" borderId="0" xfId="0" applyBorder="1" applyAlignment="1">
      <alignment wrapText="1"/>
    </xf>
    <xf numFmtId="0" fontId="2" fillId="0" borderId="0" xfId="0" applyFont="1" applyFill="1" applyBorder="1" applyAlignment="1">
      <alignment horizontal="right" vertical="center" wrapText="1"/>
    </xf>
    <xf numFmtId="0" fontId="21" fillId="34" borderId="30" xfId="45" applyNumberFormat="1" applyFill="1" applyBorder="1" applyAlignment="1" applyProtection="1">
      <alignment horizontal="center" vertical="center" wrapText="1"/>
    </xf>
    <xf numFmtId="0" fontId="21" fillId="34" borderId="23" xfId="45" applyNumberFormat="1" applyFill="1" applyBorder="1" applyAlignment="1" applyProtection="1">
      <alignment horizontal="center" vertical="center" wrapText="1"/>
    </xf>
    <xf numFmtId="0" fontId="24" fillId="35" borderId="68" xfId="0" applyFont="1" applyFill="1" applyBorder="1" applyAlignment="1">
      <alignment horizontal="center" vertical="center" wrapText="1"/>
    </xf>
    <xf numFmtId="0" fontId="24" fillId="35" borderId="1" xfId="0" applyFont="1" applyFill="1" applyBorder="1" applyAlignment="1">
      <alignment horizontal="center" vertical="center" wrapText="1"/>
    </xf>
    <xf numFmtId="0" fontId="71" fillId="33" borderId="0" xfId="0" applyFont="1" applyFill="1" applyAlignment="1">
      <alignment horizontal="center" wrapText="1"/>
    </xf>
    <xf numFmtId="0" fontId="23" fillId="34" borderId="30" xfId="0" applyFont="1" applyFill="1" applyBorder="1" applyAlignment="1">
      <alignment vertical="center" wrapText="1"/>
    </xf>
    <xf numFmtId="0" fontId="23" fillId="34" borderId="24" xfId="0" applyFont="1" applyFill="1" applyBorder="1" applyAlignment="1">
      <alignment vertical="center" wrapText="1"/>
    </xf>
    <xf numFmtId="0" fontId="0" fillId="80" borderId="0" xfId="0" applyFill="1" applyAlignment="1">
      <alignment horizontal="right" vertical="center" wrapText="1"/>
    </xf>
    <xf numFmtId="0" fontId="0" fillId="0" borderId="102" xfId="0" applyBorder="1" applyAlignment="1">
      <alignment wrapText="1"/>
    </xf>
    <xf numFmtId="0" fontId="0" fillId="0" borderId="92" xfId="0" applyBorder="1" applyAlignment="1">
      <alignment wrapText="1"/>
    </xf>
    <xf numFmtId="0" fontId="0" fillId="0" borderId="103" xfId="0" applyBorder="1" applyAlignment="1">
      <alignment wrapText="1"/>
    </xf>
    <xf numFmtId="0" fontId="0" fillId="0" borderId="94" xfId="0" applyBorder="1" applyAlignment="1">
      <alignment wrapText="1"/>
    </xf>
    <xf numFmtId="0" fontId="22" fillId="33" borderId="0" xfId="0" applyFont="1" applyFill="1" applyBorder="1" applyAlignment="1">
      <alignment horizontal="right" wrapText="1"/>
    </xf>
    <xf numFmtId="0" fontId="23" fillId="0" borderId="30" xfId="0" applyFont="1" applyFill="1" applyBorder="1" applyAlignment="1">
      <alignment horizontal="center" wrapText="1"/>
    </xf>
    <xf numFmtId="0" fontId="23" fillId="0" borderId="23" xfId="0" applyFont="1" applyFill="1" applyBorder="1" applyAlignment="1">
      <alignment horizontal="center" wrapText="1"/>
    </xf>
    <xf numFmtId="0" fontId="23" fillId="0" borderId="24" xfId="0" applyFont="1" applyFill="1" applyBorder="1" applyAlignment="1">
      <alignment horizontal="center" wrapText="1"/>
    </xf>
    <xf numFmtId="0" fontId="0" fillId="0" borderId="102" xfId="0" applyBorder="1" applyAlignment="1">
      <alignment horizontal="left" wrapText="1"/>
    </xf>
    <xf numFmtId="0" fontId="0" fillId="0" borderId="90" xfId="0" applyBorder="1" applyAlignment="1">
      <alignment horizontal="left" wrapText="1"/>
    </xf>
    <xf numFmtId="0" fontId="0" fillId="0" borderId="92" xfId="0" applyBorder="1" applyAlignment="1">
      <alignment horizontal="left" wrapText="1"/>
    </xf>
    <xf numFmtId="0" fontId="72" fillId="33" borderId="0" xfId="0" applyFont="1" applyFill="1" applyAlignment="1">
      <alignment horizontal="center"/>
    </xf>
    <xf numFmtId="0" fontId="0" fillId="33" borderId="0" xfId="0" applyFill="1" applyBorder="1" applyAlignment="1">
      <alignment horizontal="left" wrapText="1"/>
    </xf>
    <xf numFmtId="0" fontId="24" fillId="35" borderId="57" xfId="0" applyFont="1" applyFill="1" applyBorder="1" applyAlignment="1">
      <alignment horizontal="left" vertical="center" wrapText="1"/>
    </xf>
    <xf numFmtId="0" fontId="0" fillId="0" borderId="81" xfId="0" applyBorder="1" applyAlignment="1">
      <alignment vertical="center"/>
    </xf>
    <xf numFmtId="0" fontId="24" fillId="35" borderId="85" xfId="0" applyFont="1" applyFill="1" applyBorder="1" applyAlignment="1">
      <alignment horizontal="left" vertical="center" wrapText="1"/>
    </xf>
    <xf numFmtId="0" fontId="24" fillId="35" borderId="21" xfId="0" applyFont="1" applyFill="1" applyBorder="1" applyAlignment="1">
      <alignment horizontal="left" vertical="center" wrapText="1"/>
    </xf>
    <xf numFmtId="0" fontId="24" fillId="35" borderId="80" xfId="0" applyFont="1" applyFill="1" applyBorder="1" applyAlignment="1">
      <alignment vertical="center" wrapText="1"/>
    </xf>
    <xf numFmtId="0" fontId="24" fillId="35" borderId="81" xfId="0" applyFont="1" applyFill="1" applyBorder="1" applyAlignment="1">
      <alignment vertical="center" wrapText="1"/>
    </xf>
    <xf numFmtId="0" fontId="24" fillId="35" borderId="57" xfId="0" applyFont="1" applyFill="1" applyBorder="1" applyAlignment="1">
      <alignment vertical="center" wrapText="1"/>
    </xf>
    <xf numFmtId="0" fontId="21" fillId="34" borderId="24" xfId="45" applyNumberFormat="1" applyFill="1" applyBorder="1" applyAlignment="1" applyProtection="1">
      <alignment horizontal="center" vertical="center" wrapText="1"/>
    </xf>
    <xf numFmtId="49" fontId="16" fillId="37" borderId="60" xfId="0" applyNumberFormat="1" applyFont="1" applyFill="1" applyBorder="1" applyAlignment="1">
      <alignment horizontal="left" vertical="center" wrapText="1"/>
    </xf>
    <xf numFmtId="49" fontId="16" fillId="37" borderId="83" xfId="0" applyNumberFormat="1" applyFont="1" applyFill="1" applyBorder="1" applyAlignment="1">
      <alignment horizontal="left" vertical="center" wrapText="1"/>
    </xf>
    <xf numFmtId="0" fontId="24" fillId="35" borderId="86" xfId="0" applyFont="1" applyFill="1" applyBorder="1" applyAlignment="1">
      <alignment horizontal="left" vertical="center" wrapText="1"/>
    </xf>
    <xf numFmtId="0" fontId="24" fillId="35" borderId="94" xfId="0" applyFont="1" applyFill="1" applyBorder="1" applyAlignment="1">
      <alignment horizontal="left" vertical="center" wrapText="1"/>
    </xf>
    <xf numFmtId="0" fontId="24" fillId="35" borderId="88" xfId="0" applyFont="1" applyFill="1" applyBorder="1" applyAlignment="1">
      <alignment horizontal="center" vertical="center" wrapText="1"/>
    </xf>
    <xf numFmtId="0" fontId="24" fillId="35" borderId="19" xfId="0" applyFont="1" applyFill="1" applyBorder="1" applyAlignment="1">
      <alignment horizontal="center" vertical="center" wrapText="1"/>
    </xf>
    <xf numFmtId="0" fontId="24" fillId="35" borderId="107" xfId="0" applyFont="1" applyFill="1" applyBorder="1" applyAlignment="1">
      <alignment horizontal="center" vertical="center" wrapText="1"/>
    </xf>
    <xf numFmtId="0" fontId="23" fillId="36" borderId="88" xfId="0" applyFont="1" applyFill="1" applyBorder="1" applyAlignment="1">
      <alignment horizontal="left" vertical="center" wrapText="1"/>
    </xf>
    <xf numFmtId="0" fontId="23" fillId="36" borderId="89" xfId="0" applyFont="1" applyFill="1" applyBorder="1" applyAlignment="1">
      <alignment horizontal="left" vertical="center" wrapText="1"/>
    </xf>
    <xf numFmtId="0" fontId="22" fillId="33" borderId="0" xfId="0" applyFont="1" applyFill="1" applyBorder="1" applyAlignment="1">
      <alignment wrapText="1"/>
    </xf>
    <xf numFmtId="0" fontId="23" fillId="35" borderId="91" xfId="0" applyFont="1" applyFill="1" applyBorder="1" applyAlignment="1">
      <alignment horizontal="left" vertical="center" wrapText="1"/>
    </xf>
    <xf numFmtId="0" fontId="23" fillId="35" borderId="92" xfId="0" applyFont="1" applyFill="1" applyBorder="1" applyAlignment="1">
      <alignment horizontal="left" vertical="center" wrapText="1"/>
    </xf>
    <xf numFmtId="0" fontId="24" fillId="35" borderId="90" xfId="0" applyFont="1" applyFill="1" applyBorder="1" applyAlignment="1">
      <alignment horizontal="left" vertical="center" wrapText="1"/>
    </xf>
    <xf numFmtId="0" fontId="0" fillId="0" borderId="92" xfId="0" applyBorder="1" applyAlignment="1">
      <alignment vertical="center"/>
    </xf>
    <xf numFmtId="0" fontId="2" fillId="35" borderId="91" xfId="0" applyFont="1" applyFill="1" applyBorder="1" applyAlignment="1">
      <alignment horizontal="left" vertical="center" wrapText="1"/>
    </xf>
    <xf numFmtId="0" fontId="0" fillId="0" borderId="90" xfId="0" applyBorder="1" applyAlignment="1">
      <alignment vertical="center"/>
    </xf>
    <xf numFmtId="0" fontId="24" fillId="35" borderId="80" xfId="0" applyFont="1" applyFill="1" applyBorder="1" applyAlignment="1">
      <alignment horizontal="left" vertical="center" wrapText="1"/>
    </xf>
    <xf numFmtId="0" fontId="0" fillId="0" borderId="80" xfId="0" applyBorder="1" applyAlignment="1">
      <alignment vertical="center"/>
    </xf>
    <xf numFmtId="0" fontId="24" fillId="35" borderId="91" xfId="0" applyFont="1" applyFill="1" applyBorder="1" applyAlignment="1">
      <alignment horizontal="center" vertical="center" wrapText="1"/>
    </xf>
    <xf numFmtId="0" fontId="24" fillId="35" borderId="90" xfId="0" applyFont="1" applyFill="1" applyBorder="1" applyAlignment="1">
      <alignment horizontal="center" vertical="center" wrapText="1"/>
    </xf>
    <xf numFmtId="0" fontId="24" fillId="35" borderId="92" xfId="0" applyFont="1" applyFill="1" applyBorder="1" applyAlignment="1">
      <alignment horizontal="center" vertical="center" wrapText="1"/>
    </xf>
    <xf numFmtId="0" fontId="5" fillId="33" borderId="100" xfId="46" applyNumberFormat="1" applyFont="1" applyFill="1" applyBorder="1" applyAlignment="1">
      <alignment vertical="center" wrapText="1"/>
    </xf>
    <xf numFmtId="0" fontId="5" fillId="33" borderId="101" xfId="46" applyNumberFormat="1" applyFont="1" applyFill="1" applyBorder="1" applyAlignment="1">
      <alignment vertical="center" wrapText="1"/>
    </xf>
    <xf numFmtId="0" fontId="34" fillId="33" borderId="8" xfId="46" applyNumberFormat="1" applyFont="1" applyFill="1" applyBorder="1" applyAlignment="1">
      <alignment horizontal="center" vertical="center" wrapText="1"/>
    </xf>
    <xf numFmtId="0" fontId="34" fillId="33" borderId="34" xfId="46" applyNumberFormat="1" applyFont="1" applyFill="1" applyBorder="1" applyAlignment="1">
      <alignment horizontal="center" vertical="center" wrapText="1"/>
    </xf>
    <xf numFmtId="0" fontId="34" fillId="33" borderId="9" xfId="46" applyNumberFormat="1" applyFont="1" applyFill="1" applyBorder="1" applyAlignment="1">
      <alignment horizontal="center" vertical="center" wrapText="1"/>
    </xf>
    <xf numFmtId="0" fontId="5" fillId="33" borderId="97" xfId="46" applyNumberFormat="1" applyFont="1" applyFill="1" applyBorder="1" applyAlignment="1">
      <alignment vertical="center" wrapText="1"/>
    </xf>
    <xf numFmtId="0" fontId="5" fillId="33" borderId="96" xfId="46" applyNumberFormat="1" applyFont="1" applyFill="1" applyBorder="1" applyAlignment="1">
      <alignment vertical="center" wrapText="1"/>
    </xf>
    <xf numFmtId="0" fontId="5" fillId="33" borderId="97" xfId="46" applyNumberFormat="1" applyFill="1" applyBorder="1" applyAlignment="1">
      <alignment vertical="center" wrapText="1"/>
    </xf>
    <xf numFmtId="0" fontId="5" fillId="33" borderId="96" xfId="46" applyNumberFormat="1" applyFill="1" applyBorder="1" applyAlignment="1">
      <alignment vertical="center" wrapText="1"/>
    </xf>
    <xf numFmtId="0" fontId="5" fillId="33" borderId="99" xfId="46" applyNumberFormat="1" applyFont="1" applyFill="1" applyBorder="1" applyAlignment="1">
      <alignment vertical="center" wrapText="1"/>
    </xf>
    <xf numFmtId="0" fontId="5" fillId="33" borderId="36" xfId="46" applyNumberFormat="1" applyFont="1" applyFill="1" applyBorder="1" applyAlignment="1">
      <alignment vertical="center" wrapText="1"/>
    </xf>
    <xf numFmtId="0" fontId="5" fillId="33" borderId="104" xfId="46" applyNumberFormat="1" applyFont="1" applyFill="1" applyBorder="1" applyAlignment="1">
      <alignment vertical="center" wrapText="1"/>
    </xf>
    <xf numFmtId="0" fontId="0" fillId="33" borderId="96" xfId="0" applyFill="1" applyBorder="1" applyAlignment="1">
      <alignment wrapText="1"/>
    </xf>
    <xf numFmtId="0" fontId="0" fillId="33" borderId="98" xfId="0" applyFill="1" applyBorder="1" applyAlignment="1">
      <alignment wrapText="1"/>
    </xf>
    <xf numFmtId="0" fontId="0" fillId="33" borderId="108" xfId="0" applyFill="1" applyBorder="1" applyAlignment="1">
      <alignment wrapText="1"/>
    </xf>
    <xf numFmtId="0" fontId="0" fillId="33" borderId="61" xfId="0" applyFill="1" applyBorder="1" applyAlignment="1">
      <alignment wrapText="1"/>
    </xf>
    <xf numFmtId="0" fontId="0" fillId="33" borderId="83" xfId="0" applyFill="1" applyBorder="1" applyAlignment="1">
      <alignment wrapText="1"/>
    </xf>
    <xf numFmtId="0" fontId="5" fillId="33" borderId="105" xfId="46" applyNumberFormat="1" applyFont="1" applyFill="1" applyBorder="1" applyAlignment="1">
      <alignment vertical="center" wrapText="1"/>
    </xf>
    <xf numFmtId="0" fontId="5" fillId="33" borderId="98" xfId="46" applyNumberFormat="1" applyFont="1" applyFill="1" applyBorder="1" applyAlignment="1">
      <alignment vertical="center" wrapText="1"/>
    </xf>
    <xf numFmtId="0" fontId="23" fillId="35" borderId="90" xfId="0" applyFont="1" applyFill="1" applyBorder="1" applyAlignment="1">
      <alignment horizontal="left" vertical="center" wrapText="1"/>
    </xf>
    <xf numFmtId="0" fontId="0" fillId="33" borderId="97" xfId="0" applyFill="1" applyBorder="1"/>
    <xf numFmtId="0" fontId="0" fillId="33" borderId="96" xfId="0" applyFill="1" applyBorder="1"/>
    <xf numFmtId="0" fontId="0" fillId="33" borderId="99" xfId="0" applyFill="1" applyBorder="1"/>
    <xf numFmtId="0" fontId="0" fillId="33" borderId="100" xfId="0" applyFill="1" applyBorder="1"/>
    <xf numFmtId="0" fontId="23" fillId="0" borderId="8" xfId="0" applyFont="1" applyFill="1" applyBorder="1" applyAlignment="1">
      <alignment horizontal="center" wrapText="1"/>
    </xf>
    <xf numFmtId="0" fontId="23" fillId="0" borderId="34" xfId="0" applyFont="1" applyFill="1" applyBorder="1" applyAlignment="1">
      <alignment horizontal="center" wrapText="1"/>
    </xf>
    <xf numFmtId="0" fontId="23" fillId="0" borderId="9" xfId="0" applyFont="1" applyFill="1" applyBorder="1" applyAlignment="1">
      <alignment horizontal="center" wrapText="1"/>
    </xf>
    <xf numFmtId="0" fontId="67" fillId="33" borderId="77" xfId="46" applyNumberFormat="1" applyFont="1" applyFill="1" applyBorder="1" applyAlignment="1">
      <alignment horizontal="center" vertical="center" wrapText="1"/>
    </xf>
    <xf numFmtId="0" fontId="67" fillId="33" borderId="78" xfId="46" applyNumberFormat="1" applyFont="1" applyFill="1" applyBorder="1" applyAlignment="1">
      <alignment horizontal="center" vertical="center" wrapText="1"/>
    </xf>
    <xf numFmtId="0" fontId="67" fillId="33" borderId="79" xfId="46" applyNumberFormat="1" applyFont="1" applyFill="1" applyBorder="1" applyAlignment="1">
      <alignment horizontal="center" vertical="center" wrapText="1"/>
    </xf>
    <xf numFmtId="0" fontId="0" fillId="33" borderId="36" xfId="0" applyFill="1" applyBorder="1"/>
    <xf numFmtId="0" fontId="0" fillId="33" borderId="104" xfId="0" applyFill="1" applyBorder="1"/>
    <xf numFmtId="0" fontId="0" fillId="33" borderId="104" xfId="0" applyFill="1" applyBorder="1" applyAlignment="1">
      <alignment wrapText="1"/>
    </xf>
    <xf numFmtId="0" fontId="0" fillId="33" borderId="105" xfId="0" applyFill="1" applyBorder="1" applyAlignment="1">
      <alignment wrapText="1"/>
    </xf>
    <xf numFmtId="0" fontId="0" fillId="33" borderId="100" xfId="0" applyFill="1" applyBorder="1" applyAlignment="1">
      <alignment wrapText="1"/>
    </xf>
    <xf numFmtId="0" fontId="0" fillId="33" borderId="101" xfId="0" applyFill="1" applyBorder="1" applyAlignment="1">
      <alignment wrapText="1"/>
    </xf>
    <xf numFmtId="49" fontId="16" fillId="37" borderId="61" xfId="0" applyNumberFormat="1" applyFont="1" applyFill="1" applyBorder="1" applyAlignment="1">
      <alignment horizontal="left" vertical="center" wrapText="1"/>
    </xf>
    <xf numFmtId="0" fontId="24" fillId="35" borderId="91" xfId="0" applyFont="1" applyFill="1" applyBorder="1" applyAlignment="1">
      <alignment horizontal="left" vertical="center" wrapText="1"/>
    </xf>
    <xf numFmtId="0" fontId="2" fillId="35" borderId="91" xfId="0" applyFont="1" applyFill="1" applyBorder="1" applyAlignment="1">
      <alignment horizontal="center" vertical="center" wrapText="1"/>
    </xf>
    <xf numFmtId="0" fontId="2" fillId="35" borderId="90" xfId="0" applyFont="1" applyFill="1" applyBorder="1" applyAlignment="1">
      <alignment horizontal="center" vertical="center" wrapText="1"/>
    </xf>
    <xf numFmtId="0" fontId="2" fillId="35" borderId="92" xfId="0" applyFont="1" applyFill="1" applyBorder="1" applyAlignment="1">
      <alignment horizontal="center" vertical="center" wrapText="1"/>
    </xf>
    <xf numFmtId="0" fontId="2" fillId="35" borderId="90" xfId="0" applyFont="1" applyFill="1" applyBorder="1" applyAlignment="1">
      <alignment horizontal="left" vertical="center" wrapText="1"/>
    </xf>
    <xf numFmtId="0" fontId="24" fillId="35" borderId="7" xfId="0" applyFont="1" applyFill="1" applyBorder="1" applyAlignment="1">
      <alignment horizontal="center" vertical="center" wrapText="1"/>
    </xf>
    <xf numFmtId="0" fontId="0" fillId="0" borderId="104" xfId="0" applyBorder="1" applyAlignment="1">
      <alignment wrapText="1"/>
    </xf>
    <xf numFmtId="0" fontId="0" fillId="0" borderId="105" xfId="0" applyBorder="1" applyAlignment="1">
      <alignment wrapText="1"/>
    </xf>
    <xf numFmtId="0" fontId="23" fillId="0" borderId="77" xfId="0" applyFont="1" applyFill="1" applyBorder="1" applyAlignment="1">
      <alignment horizontal="center" wrapText="1"/>
    </xf>
    <xf numFmtId="0" fontId="23" fillId="0" borderId="78" xfId="0" applyFont="1" applyFill="1" applyBorder="1" applyAlignment="1">
      <alignment horizontal="center" wrapText="1"/>
    </xf>
    <xf numFmtId="0" fontId="23" fillId="0" borderId="79" xfId="0" applyFont="1" applyFill="1" applyBorder="1" applyAlignment="1">
      <alignment horizontal="center" wrapText="1"/>
    </xf>
    <xf numFmtId="0" fontId="0" fillId="0" borderId="109" xfId="0" applyNumberFormat="1" applyBorder="1" applyAlignment="1">
      <alignment horizontal="left"/>
    </xf>
    <xf numFmtId="0" fontId="0" fillId="0" borderId="34" xfId="0" applyNumberFormat="1" applyBorder="1" applyAlignment="1">
      <alignment horizontal="left"/>
    </xf>
    <xf numFmtId="0" fontId="0" fillId="0" borderId="9" xfId="0" applyNumberFormat="1" applyBorder="1" applyAlignment="1">
      <alignment horizontal="left"/>
    </xf>
    <xf numFmtId="0" fontId="2" fillId="35" borderId="92" xfId="0" applyFont="1" applyFill="1" applyBorder="1" applyAlignment="1">
      <alignment horizontal="left" vertical="center" wrapText="1"/>
    </xf>
    <xf numFmtId="0" fontId="24" fillId="35" borderId="92" xfId="0" applyFont="1" applyFill="1" applyBorder="1" applyAlignment="1">
      <alignment horizontal="left" vertical="center" wrapText="1"/>
    </xf>
    <xf numFmtId="0" fontId="0" fillId="33" borderId="8" xfId="0" applyFill="1" applyBorder="1" applyAlignment="1">
      <alignment horizontal="center" wrapText="1"/>
    </xf>
    <xf numFmtId="0" fontId="0" fillId="33" borderId="9" xfId="0" applyFill="1" applyBorder="1" applyAlignment="1">
      <alignment horizontal="center" wrapText="1"/>
    </xf>
    <xf numFmtId="0" fontId="2" fillId="36" borderId="19" xfId="0" applyFont="1" applyFill="1" applyBorder="1" applyAlignment="1">
      <alignment horizontal="left" vertical="center" wrapText="1"/>
    </xf>
    <xf numFmtId="0" fontId="2" fillId="36" borderId="89" xfId="0" applyFont="1" applyFill="1" applyBorder="1" applyAlignment="1">
      <alignment horizontal="left" vertical="center" wrapText="1"/>
    </xf>
    <xf numFmtId="0" fontId="70" fillId="0" borderId="77" xfId="46" applyNumberFormat="1" applyFont="1" applyFill="1" applyBorder="1" applyAlignment="1">
      <alignment horizontal="center" vertical="center" wrapText="1"/>
    </xf>
    <xf numFmtId="0" fontId="70" fillId="0" borderId="78" xfId="46" applyNumberFormat="1" applyFont="1" applyFill="1" applyBorder="1" applyAlignment="1">
      <alignment horizontal="center" vertical="center" wrapText="1"/>
    </xf>
    <xf numFmtId="0" fontId="70" fillId="0" borderId="79" xfId="46" applyNumberFormat="1" applyFont="1" applyFill="1" applyBorder="1" applyAlignment="1">
      <alignment horizontal="center" vertical="center" wrapText="1"/>
    </xf>
    <xf numFmtId="0" fontId="0" fillId="0" borderId="90" xfId="0" applyBorder="1" applyAlignment="1">
      <alignment wrapText="1"/>
    </xf>
    <xf numFmtId="0" fontId="0" fillId="0" borderId="95" xfId="0" applyBorder="1" applyAlignment="1">
      <alignment wrapText="1"/>
    </xf>
    <xf numFmtId="0" fontId="2" fillId="35" borderId="1" xfId="0" applyFont="1" applyFill="1" applyBorder="1" applyAlignment="1">
      <alignment horizontal="center" vertical="center" wrapText="1"/>
    </xf>
    <xf numFmtId="0" fontId="2" fillId="35" borderId="7" xfId="0" applyFont="1" applyFill="1" applyBorder="1" applyAlignment="1">
      <alignment horizontal="center" vertical="center" wrapText="1"/>
    </xf>
    <xf numFmtId="0" fontId="5" fillId="0" borderId="36" xfId="46" applyNumberFormat="1" applyFont="1" applyFill="1" applyBorder="1" applyAlignment="1">
      <alignment vertical="top" wrapText="1"/>
    </xf>
    <xf numFmtId="0" fontId="5" fillId="0" borderId="104" xfId="46" applyNumberFormat="1" applyFont="1" applyFill="1" applyBorder="1" applyAlignment="1">
      <alignment vertical="top" wrapText="1"/>
    </xf>
    <xf numFmtId="0" fontId="5" fillId="0" borderId="97" xfId="46" applyNumberFormat="1" applyFont="1" applyFill="1" applyBorder="1" applyAlignment="1">
      <alignment vertical="top" wrapText="1"/>
    </xf>
    <xf numFmtId="0" fontId="5" fillId="0" borderId="96" xfId="46" applyNumberFormat="1" applyFont="1" applyFill="1" applyBorder="1" applyAlignment="1">
      <alignment vertical="top" wrapText="1"/>
    </xf>
    <xf numFmtId="0" fontId="5" fillId="0" borderId="99" xfId="46" applyNumberFormat="1" applyFont="1" applyFill="1" applyBorder="1" applyAlignment="1">
      <alignment vertical="top" wrapText="1"/>
    </xf>
    <xf numFmtId="0" fontId="5" fillId="0" borderId="100" xfId="46" applyNumberFormat="1" applyFont="1" applyFill="1" applyBorder="1" applyAlignment="1">
      <alignment vertical="top" wrapText="1"/>
    </xf>
    <xf numFmtId="0" fontId="5" fillId="0" borderId="105" xfId="46" applyNumberFormat="1" applyFont="1" applyFill="1" applyBorder="1" applyAlignment="1">
      <alignment vertical="top" wrapText="1"/>
    </xf>
    <xf numFmtId="0" fontId="5" fillId="0" borderId="98" xfId="46" applyNumberFormat="1" applyFont="1" applyFill="1" applyBorder="1" applyAlignment="1">
      <alignment vertical="top" wrapText="1"/>
    </xf>
    <xf numFmtId="0" fontId="5" fillId="0" borderId="101" xfId="46" applyNumberFormat="1" applyFont="1" applyFill="1" applyBorder="1" applyAlignment="1">
      <alignment vertical="top" wrapText="1"/>
    </xf>
    <xf numFmtId="49" fontId="16" fillId="37" borderId="60" xfId="0" applyNumberFormat="1" applyFont="1" applyFill="1" applyBorder="1" applyAlignment="1">
      <alignment vertical="center" wrapText="1"/>
    </xf>
    <xf numFmtId="49" fontId="16" fillId="37" borderId="61" xfId="0" applyNumberFormat="1" applyFont="1" applyFill="1" applyBorder="1" applyAlignment="1">
      <alignment vertical="center" wrapText="1"/>
    </xf>
    <xf numFmtId="0" fontId="0" fillId="0" borderId="0" xfId="0" applyAlignment="1">
      <alignment horizontal="left" wrapText="1"/>
    </xf>
  </cellXfs>
  <cellStyles count="43999">
    <cellStyle name=" 1" xfId="54"/>
    <cellStyle name="%" xfId="3"/>
    <cellStyle name="% 10" xfId="4"/>
    <cellStyle name="% 10 2" xfId="55"/>
    <cellStyle name="% 11" xfId="56"/>
    <cellStyle name="% 12" xfId="57"/>
    <cellStyle name="% 13" xfId="58"/>
    <cellStyle name="% 14" xfId="59"/>
    <cellStyle name="% 15" xfId="60"/>
    <cellStyle name="% 2" xfId="61"/>
    <cellStyle name="% 2 2" xfId="62"/>
    <cellStyle name="% 2 2 2" xfId="63"/>
    <cellStyle name="% 2 2 3" xfId="64"/>
    <cellStyle name="% 2 3" xfId="65"/>
    <cellStyle name="% 2 4" xfId="66"/>
    <cellStyle name="% 2_ANC" xfId="67"/>
    <cellStyle name="% 3" xfId="68"/>
    <cellStyle name="% 3 2" xfId="69"/>
    <cellStyle name="% 3 3" xfId="70"/>
    <cellStyle name="% 3 4" xfId="71"/>
    <cellStyle name="% 3_ANC" xfId="72"/>
    <cellStyle name="% 4" xfId="73"/>
    <cellStyle name="% 4 2" xfId="74"/>
    <cellStyle name="% 4 3" xfId="75"/>
    <cellStyle name="% 4 4" xfId="76"/>
    <cellStyle name="% 4_ANC" xfId="77"/>
    <cellStyle name="% 5" xfId="78"/>
    <cellStyle name="% 5 2" xfId="79"/>
    <cellStyle name="% 6" xfId="80"/>
    <cellStyle name="% 6 2" xfId="81"/>
    <cellStyle name="% 7" xfId="82"/>
    <cellStyle name="% 7 2" xfId="83"/>
    <cellStyle name="% 7 3" xfId="84"/>
    <cellStyle name="% 7 4" xfId="85"/>
    <cellStyle name="% 8" xfId="86"/>
    <cellStyle name="% 9" xfId="87"/>
    <cellStyle name="%_2010-2011" xfId="88"/>
    <cellStyle name="%_2010-2011 2" xfId="89"/>
    <cellStyle name="%_2010-2011 2 2" xfId="90"/>
    <cellStyle name="%_2010-2011 2 3" xfId="91"/>
    <cellStyle name="%_2010-2011 3" xfId="92"/>
    <cellStyle name="%_2010-2011 4" xfId="93"/>
    <cellStyle name="%_2011-2012" xfId="94"/>
    <cellStyle name="%_2011-2012 2" xfId="95"/>
    <cellStyle name="%_2011-2012 3" xfId="96"/>
    <cellStyle name="%_2012-2013" xfId="97"/>
    <cellStyle name="%_6. Financial info" xfId="98"/>
    <cellStyle name="%_ANC" xfId="99"/>
    <cellStyle name="%_ANC_Create or Delete" xfId="100"/>
    <cellStyle name="%_Apr Reconciliation 10" xfId="101"/>
    <cellStyle name="%_Apr Reconciliation 10_Journal Import template" xfId="102"/>
    <cellStyle name="%_Apr Reconciliation 10_Jul 10" xfId="103"/>
    <cellStyle name="%_Apr Reconciliation 10_Jun 10" xfId="104"/>
    <cellStyle name="%_B3 ACCOUNTS" xfId="105"/>
    <cellStyle name="%_BA" xfId="106"/>
    <cellStyle name="%_BA 2" xfId="107"/>
    <cellStyle name="%_BA best guess 19 Nov" xfId="108"/>
    <cellStyle name="%_BA best guess 19 Nov 2" xfId="109"/>
    <cellStyle name="%_BA best guess 19 Nov 3" xfId="110"/>
    <cellStyle name="%_BA best guess 19 Nov_2011-2012" xfId="111"/>
    <cellStyle name="%_BA best guess 19 Nov_2012-2013" xfId="112"/>
    <cellStyle name="%_BA best guess 19 Nov_Consolidated" xfId="113"/>
    <cellStyle name="%_BA best guess 19 Nov_Debtor Receipts UK" xfId="114"/>
    <cellStyle name="%_BA best guess 19 Nov_Grant Information" xfId="115"/>
    <cellStyle name="%_BA best guess 19 Nov_In Country" xfId="116"/>
    <cellStyle name="%_BA best guess 19 Nov_Nominal " xfId="117"/>
    <cellStyle name="%_BA best guess 19 Nov_nominal account" xfId="118"/>
    <cellStyle name="%_BA best guess 19 Nov_Note 19" xfId="119"/>
    <cellStyle name="%_BA best guess 19 Nov_Receipts in Country" xfId="120"/>
    <cellStyle name="%_BA best guess 19 Nov_Sheet1" xfId="121"/>
    <cellStyle name="%_BA best guess 19 Nov_Sheet2" xfId="122"/>
    <cellStyle name="%_BA best guess 19 Nov_Sheet4" xfId="123"/>
    <cellStyle name="%_BA best guess 19 Nov_Sheet5" xfId="124"/>
    <cellStyle name="%_BA best guess 19 Nov_Sheet6" xfId="125"/>
    <cellStyle name="%_BA best guess 19 Nov_Sheet7" xfId="126"/>
    <cellStyle name="%_BA best guess 19 Nov_Sheet8" xfId="127"/>
    <cellStyle name="%_BA best guess 19 Nov_WAB_2011-2012" xfId="128"/>
    <cellStyle name="%_Bangladesh 2010 mpb matrix" xfId="129"/>
    <cellStyle name="%_Bangladesh 2010 mpb matrix 2" xfId="130"/>
    <cellStyle name="%_Bangladesh 2010 mpb matrix 3" xfId="131"/>
    <cellStyle name="%_Bangladesh 2010 mpb matrix_2011-2012" xfId="132"/>
    <cellStyle name="%_Bangladesh 2010 mpb matrix_2012-2013" xfId="133"/>
    <cellStyle name="%_Bangladesh 2010 mpb matrix_Consolidated" xfId="134"/>
    <cellStyle name="%_Bangladesh 2010 mpb matrix_Debtor Receipts UK" xfId="135"/>
    <cellStyle name="%_Bangladesh 2010 mpb matrix_Grant Information" xfId="136"/>
    <cellStyle name="%_Bangladesh 2010 mpb matrix_In Country" xfId="137"/>
    <cellStyle name="%_Bangladesh 2010 mpb matrix_Nominal " xfId="138"/>
    <cellStyle name="%_Bangladesh 2010 mpb matrix_nominal account" xfId="139"/>
    <cellStyle name="%_Bangladesh 2010 mpb matrix_Note 19" xfId="140"/>
    <cellStyle name="%_Bangladesh 2010 mpb matrix_Receipts in Country" xfId="141"/>
    <cellStyle name="%_Bangladesh 2010 mpb matrix_Sheet1" xfId="142"/>
    <cellStyle name="%_Bangladesh 2010 mpb matrix_Sheet2" xfId="143"/>
    <cellStyle name="%_Bangladesh 2010 mpb matrix_Sheet4" xfId="144"/>
    <cellStyle name="%_Bangladesh 2010 mpb matrix_Sheet5" xfId="145"/>
    <cellStyle name="%_Bangladesh 2010 mpb matrix_Sheet6" xfId="146"/>
    <cellStyle name="%_Bangladesh 2010 mpb matrix_Sheet7" xfId="147"/>
    <cellStyle name="%_Bangladesh 2010 mpb matrix_Sheet8" xfId="148"/>
    <cellStyle name="%_Bangladesh 2010 mpb matrix_WAB_2011-2012" xfId="149"/>
    <cellStyle name="%_Bangladesh Mid Term Approval modified for entitlement updates" xfId="150"/>
    <cellStyle name="%_Bangladesh Mid Term Approval modified for entitlement updates 2" xfId="51"/>
    <cellStyle name="%_Bangladesh Mid Term Approval modified for entitlement updates 3" xfId="151"/>
    <cellStyle name="%_Bangladesh Mid Term Approval modified for entitlement updates_2011-2012" xfId="152"/>
    <cellStyle name="%_Bangladesh Mid Term Approval modified for entitlement updates_2012-2013" xfId="153"/>
    <cellStyle name="%_Bangladesh Mid Term Approval modified for entitlement updates_Consolidated" xfId="154"/>
    <cellStyle name="%_Bangladesh Mid Term Approval modified for entitlement updates_Debtor Receipts UK" xfId="155"/>
    <cellStyle name="%_Bangladesh Mid Term Approval modified for entitlement updates_ET" xfId="156"/>
    <cellStyle name="%_Bangladesh Mid Term Approval modified for entitlement updates_Grant Information" xfId="157"/>
    <cellStyle name="%_Bangladesh Mid Term Approval modified for entitlement updates_In Country" xfId="158"/>
    <cellStyle name="%_Bangladesh Mid Term Approval modified for entitlement updates_Nominal " xfId="159"/>
    <cellStyle name="%_Bangladesh Mid Term Approval modified for entitlement updates_nominal account" xfId="160"/>
    <cellStyle name="%_Bangladesh Mid Term Approval modified for entitlement updates_Note 19" xfId="161"/>
    <cellStyle name="%_Bangladesh Mid Term Approval modified for entitlement updates_Receipts in Country" xfId="162"/>
    <cellStyle name="%_Bangladesh Mid Term Approval modified for entitlement updates_Sheet1" xfId="163"/>
    <cellStyle name="%_Bangladesh Mid Term Approval modified for entitlement updates_Sheet2" xfId="164"/>
    <cellStyle name="%_Bangladesh Mid Term Approval modified for entitlement updates_Sheet4" xfId="165"/>
    <cellStyle name="%_Bangladesh Mid Term Approval modified for entitlement updates_Sheet5" xfId="166"/>
    <cellStyle name="%_Bangladesh Mid Term Approval modified for entitlement updates_Sheet6" xfId="167"/>
    <cellStyle name="%_Bangladesh Mid Term Approval modified for entitlement updates_Sheet7" xfId="168"/>
    <cellStyle name="%_Bangladesh Mid Term Approval modified for entitlement updates_Sheet8" xfId="169"/>
    <cellStyle name="%_Bangladesh Mid Term Approval modified for entitlement updates_WAB_2011-2012" xfId="170"/>
    <cellStyle name="%_BUDGET SHAPE" xfId="171"/>
    <cellStyle name="%_Burkina Faso best guess 19 Nov" xfId="172"/>
    <cellStyle name="%_Burkina Faso best guess 19 Nov 2" xfId="173"/>
    <cellStyle name="%_Burkina Faso best guess 19 Nov 3" xfId="174"/>
    <cellStyle name="%_Burkina Faso best guess 19 Nov_2011-2012" xfId="175"/>
    <cellStyle name="%_Burkina Faso best guess 19 Nov_2012-2013" xfId="176"/>
    <cellStyle name="%_Burkina Faso best guess 19 Nov_Consolidated" xfId="177"/>
    <cellStyle name="%_Burkina Faso best guess 19 Nov_Debtor Receipts UK" xfId="178"/>
    <cellStyle name="%_Burkina Faso best guess 19 Nov_Grant Information" xfId="179"/>
    <cellStyle name="%_Burkina Faso best guess 19 Nov_In Country" xfId="180"/>
    <cellStyle name="%_Burkina Faso best guess 19 Nov_Nominal " xfId="181"/>
    <cellStyle name="%_Burkina Faso best guess 19 Nov_nominal account" xfId="182"/>
    <cellStyle name="%_Burkina Faso best guess 19 Nov_Note 19" xfId="183"/>
    <cellStyle name="%_Burkina Faso best guess 19 Nov_Receipts in Country" xfId="184"/>
    <cellStyle name="%_Burkina Faso best guess 19 Nov_Sheet1" xfId="185"/>
    <cellStyle name="%_Burkina Faso best guess 19 Nov_Sheet2" xfId="186"/>
    <cellStyle name="%_Burkina Faso best guess 19 Nov_Sheet4" xfId="187"/>
    <cellStyle name="%_Burkina Faso best guess 19 Nov_Sheet5" xfId="188"/>
    <cellStyle name="%_Burkina Faso best guess 19 Nov_Sheet6" xfId="189"/>
    <cellStyle name="%_Burkina Faso best guess 19 Nov_Sheet7" xfId="190"/>
    <cellStyle name="%_Burkina Faso best guess 19 Nov_Sheet8" xfId="191"/>
    <cellStyle name="%_Burkina Faso best guess 19 Nov_WAB_2011-2012" xfId="192"/>
    <cellStyle name="%_Burkina Faso Mid Term Approval" xfId="193"/>
    <cellStyle name="%_Burkina Faso Mid Term Approval 2" xfId="194"/>
    <cellStyle name="%_Burkina Faso Mid Term Approval 3" xfId="195"/>
    <cellStyle name="%_Burkina Faso Mid Term Approval_2011-2012" xfId="196"/>
    <cellStyle name="%_Burkina Faso Mid Term Approval_2012-2013" xfId="197"/>
    <cellStyle name="%_Burkina Faso Mid Term Approval_Consolidated" xfId="198"/>
    <cellStyle name="%_Burkina Faso Mid Term Approval_Debtor Receipts UK" xfId="199"/>
    <cellStyle name="%_Burkina Faso Mid Term Approval_Grant Information" xfId="200"/>
    <cellStyle name="%_Burkina Faso Mid Term Approval_In Country" xfId="201"/>
    <cellStyle name="%_Burkina Faso Mid Term Approval_Nominal " xfId="202"/>
    <cellStyle name="%_Burkina Faso Mid Term Approval_nominal account" xfId="203"/>
    <cellStyle name="%_Burkina Faso Mid Term Approval_Note 19" xfId="204"/>
    <cellStyle name="%_Burkina Faso Mid Term Approval_Receipts in Country" xfId="205"/>
    <cellStyle name="%_Burkina Faso Mid Term Approval_Sheet1" xfId="206"/>
    <cellStyle name="%_Burkina Faso Mid Term Approval_Sheet2" xfId="207"/>
    <cellStyle name="%_Burkina Faso Mid Term Approval_Sheet4" xfId="208"/>
    <cellStyle name="%_Burkina Faso Mid Term Approval_Sheet5" xfId="209"/>
    <cellStyle name="%_Burkina Faso Mid Term Approval_Sheet6" xfId="210"/>
    <cellStyle name="%_Burkina Faso Mid Term Approval_Sheet7" xfId="211"/>
    <cellStyle name="%_Burkina Faso Mid Term Approval_Sheet8" xfId="212"/>
    <cellStyle name="%_Burkina Faso Mid Term Approval_WAB_2011-2012" xfId="213"/>
    <cellStyle name="%_C600 CALCS" xfId="214"/>
    <cellStyle name="%_Carry forwards" xfId="215"/>
    <cellStyle name="%_Contract Income Current Version" xfId="216"/>
    <cellStyle name="%_Contract Income Current Version 14 Apr" xfId="217"/>
    <cellStyle name="%_Contract Income Current Version for trial" xfId="218"/>
    <cellStyle name="%_CP" xfId="219"/>
    <cellStyle name="%_CP 2" xfId="220"/>
    <cellStyle name="%_CP 2_1" xfId="221"/>
    <cellStyle name="%_CP 2_CP" xfId="222"/>
    <cellStyle name="%_CP 2_CP 2" xfId="223"/>
    <cellStyle name="%_CP 2_CP 2_1" xfId="224"/>
    <cellStyle name="%_CP 2_CP_1" xfId="225"/>
    <cellStyle name="%_CP 2_CP3" xfId="226"/>
    <cellStyle name="%_CP 2_CP3_1" xfId="227"/>
    <cellStyle name="%_CP 2_CPs" xfId="228"/>
    <cellStyle name="%_CP 2_Data2" xfId="229"/>
    <cellStyle name="%_CP 2_Graph Data" xfId="230"/>
    <cellStyle name="%_CP 2_Graph Data_1" xfId="231"/>
    <cellStyle name="%_CP 2_Graph Data_Graph Data" xfId="232"/>
    <cellStyle name="%_CP 2_SUMMARY" xfId="233"/>
    <cellStyle name="%_CP 2_SUMMARY - DT" xfId="234"/>
    <cellStyle name="%_CP 2_SUMMARY_1" xfId="235"/>
    <cellStyle name="%_CP_1" xfId="236"/>
    <cellStyle name="%_CP_CP" xfId="237"/>
    <cellStyle name="%_CP_CP 2" xfId="238"/>
    <cellStyle name="%_CP_CP 2_1" xfId="239"/>
    <cellStyle name="%_CP_CP_1" xfId="240"/>
    <cellStyle name="%_CP_CP3" xfId="241"/>
    <cellStyle name="%_CP_CP3_1" xfId="242"/>
    <cellStyle name="%_CP_CPs" xfId="243"/>
    <cellStyle name="%_CP_Data2" xfId="244"/>
    <cellStyle name="%_CP_Graph Data" xfId="245"/>
    <cellStyle name="%_CP_Graph Data_1" xfId="246"/>
    <cellStyle name="%_CP_Graph Data_Graph Data" xfId="247"/>
    <cellStyle name="%_CP_SUMMARY" xfId="248"/>
    <cellStyle name="%_CP_SUMMARY - DT" xfId="249"/>
    <cellStyle name="%_CP_SUMMARY_1" xfId="250"/>
    <cellStyle name="%_CP3" xfId="251"/>
    <cellStyle name="%_CP3_1" xfId="252"/>
    <cellStyle name="%_CP3_CP" xfId="253"/>
    <cellStyle name="%_CP3_CP 2" xfId="254"/>
    <cellStyle name="%_CP3_CP 2_1" xfId="255"/>
    <cellStyle name="%_CP3_CP_1" xfId="256"/>
    <cellStyle name="%_CP3_CP3" xfId="257"/>
    <cellStyle name="%_CP3_CP3_1" xfId="258"/>
    <cellStyle name="%_CP3_CPs" xfId="259"/>
    <cellStyle name="%_CP3_Data2" xfId="260"/>
    <cellStyle name="%_CP3_Graph Data" xfId="261"/>
    <cellStyle name="%_CP3_Graph Data_1" xfId="262"/>
    <cellStyle name="%_CP3_Graph Data_Graph Data" xfId="263"/>
    <cellStyle name="%_CP3_SUMMARY" xfId="264"/>
    <cellStyle name="%_CP3_SUMMARY - DT" xfId="265"/>
    <cellStyle name="%_CP3_SUMMARY_1" xfId="266"/>
    <cellStyle name="%_CPs" xfId="267"/>
    <cellStyle name="%_Data Entry main schedule" xfId="268"/>
    <cellStyle name="%_Data Entry main schedule_1" xfId="269"/>
    <cellStyle name="%_Data Entry main schedule_2" xfId="270"/>
    <cellStyle name="%_Depreciation Journal" xfId="271"/>
    <cellStyle name="%_Depreciation Journal_EXPENSE" xfId="272"/>
    <cellStyle name="%_Depreciation Journal_SALARY" xfId="273"/>
    <cellStyle name="%_ET" xfId="274"/>
    <cellStyle name="%_ET 2" xfId="275"/>
    <cellStyle name="%_ET_Consolidated" xfId="276"/>
    <cellStyle name="%_ET_Consolidated 2" xfId="277"/>
    <cellStyle name="%_ET_Consolidated_1" xfId="278"/>
    <cellStyle name="%_ET_Consolidated_Consolidated" xfId="279"/>
    <cellStyle name="%_ET_ML" xfId="280"/>
    <cellStyle name="%_ET_Sheet1" xfId="281"/>
    <cellStyle name="%_ET_Summary" xfId="282"/>
    <cellStyle name="%_ET_YEAR END" xfId="283"/>
    <cellStyle name="%_Ethiopia ye matrix" xfId="284"/>
    <cellStyle name="%_EUR - YE" xfId="285"/>
    <cellStyle name="%_Euro" xfId="286"/>
    <cellStyle name="%_Euro_1" xfId="287"/>
    <cellStyle name="%_EXPENSE" xfId="288"/>
    <cellStyle name="%_EXPENSE_1" xfId="289"/>
    <cellStyle name="%_EXPENSE_1_EXPENSE" xfId="290"/>
    <cellStyle name="%_EXPENSE_1_SALARY" xfId="291"/>
    <cellStyle name="%_EXPENSE_2" xfId="292"/>
    <cellStyle name="%_EXPENSE_EXPENSE" xfId="293"/>
    <cellStyle name="%_EXPENSE_SALARY" xfId="294"/>
    <cellStyle name="%_FAN Adjt" xfId="295"/>
    <cellStyle name="%_Form -Final" xfId="296"/>
    <cellStyle name="%_GBP" xfId="297"/>
    <cellStyle name="%_GBP - YE" xfId="298"/>
    <cellStyle name="%_GBP_1" xfId="299"/>
    <cellStyle name="%_GH" xfId="300"/>
    <cellStyle name="%_GH 2" xfId="301"/>
    <cellStyle name="%_GH_Consolidated" xfId="302"/>
    <cellStyle name="%_Grand Inc Rec 082010" xfId="303"/>
    <cellStyle name="%_Grand Inc Rec 102010" xfId="304"/>
    <cellStyle name="%_Grant Income 092010A" xfId="305"/>
    <cellStyle name="%_Grant Income 092010A 2" xfId="306"/>
    <cellStyle name="%_Grant Income 092010A 3" xfId="307"/>
    <cellStyle name="%_Grant Income 092010A_Consolidated" xfId="308"/>
    <cellStyle name="%_Grant Income 092010A_Debtor Receipts UK" xfId="309"/>
    <cellStyle name="%_Grant Income 092010A_In Country" xfId="310"/>
    <cellStyle name="%_Grant Income 092010A_Nominal " xfId="311"/>
    <cellStyle name="%_Grant Income 092010A_nominal account" xfId="312"/>
    <cellStyle name="%_Grant Income 092010A_Receipts in Country" xfId="313"/>
    <cellStyle name="%_Grant Income 092010A_Sheet1" xfId="314"/>
    <cellStyle name="%_Grant Income 092010A_Sheet2" xfId="315"/>
    <cellStyle name="%_Grant Income 092010A_Sheet4" xfId="316"/>
    <cellStyle name="%_Grant Information" xfId="317"/>
    <cellStyle name="%_Grant receipts" xfId="318"/>
    <cellStyle name="%_Graph Data" xfId="319"/>
    <cellStyle name="%_Graph Data 2" xfId="320"/>
    <cellStyle name="%_Graph Data_1" xfId="321"/>
    <cellStyle name="%_Graph Data_1_CP" xfId="322"/>
    <cellStyle name="%_Graph Data_1_CP 2" xfId="323"/>
    <cellStyle name="%_Graph Data_1_CP 2_1" xfId="324"/>
    <cellStyle name="%_Graph Data_1_CP_1" xfId="325"/>
    <cellStyle name="%_Graph Data_1_CP3" xfId="326"/>
    <cellStyle name="%_Graph Data_1_CP3_1" xfId="327"/>
    <cellStyle name="%_Graph Data_1_CPs" xfId="328"/>
    <cellStyle name="%_Graph Data_1_Data2" xfId="329"/>
    <cellStyle name="%_Graph Data_1_Graph Data" xfId="330"/>
    <cellStyle name="%_Graph Data_1_Graph Data_1" xfId="331"/>
    <cellStyle name="%_Graph Data_1_Graph Data_Graph Data" xfId="332"/>
    <cellStyle name="%_Graph Data_1_SUMMARY" xfId="333"/>
    <cellStyle name="%_Graph Data_1_SUMMARY - DT" xfId="334"/>
    <cellStyle name="%_Graph Data_1_SUMMARY_1" xfId="335"/>
    <cellStyle name="%_Graph Data_2" xfId="336"/>
    <cellStyle name="%_Graph Data_CP" xfId="337"/>
    <cellStyle name="%_Graph Data_CP 2" xfId="338"/>
    <cellStyle name="%_Graph Data_CP3" xfId="339"/>
    <cellStyle name="%_Graph Data_CPs" xfId="340"/>
    <cellStyle name="%_Graph Data_Data2" xfId="341"/>
    <cellStyle name="%_Graph Data_EXPENSE" xfId="342"/>
    <cellStyle name="%_Graph Data_Graph Data" xfId="343"/>
    <cellStyle name="%_Graph Data_SALARY" xfId="344"/>
    <cellStyle name="%_Graph Data_SUMMARY" xfId="345"/>
    <cellStyle name="%_Graph Data_SUMMARY - DT" xfId="346"/>
    <cellStyle name="%_Graph Data_SUMMARY_1" xfId="347"/>
    <cellStyle name="%_GTF receipts" xfId="348"/>
    <cellStyle name="%_GTF receipts 2" xfId="349"/>
    <cellStyle name="%_GTF receipts_Consolidated" xfId="350"/>
    <cellStyle name="%_GTF receipts_Consolidated 2" xfId="351"/>
    <cellStyle name="%_GTF receipts_Consolidated_1" xfId="352"/>
    <cellStyle name="%_GTF receipts_Consolidated_Consolidated" xfId="353"/>
    <cellStyle name="%_GTF receipts_ML" xfId="354"/>
    <cellStyle name="%_GTF receipts_Sheet1" xfId="355"/>
    <cellStyle name="%_GTF receipts_Summary" xfId="356"/>
    <cellStyle name="%_GTF receipts_YEAR END" xfId="357"/>
    <cellStyle name="%_IN" xfId="358"/>
    <cellStyle name="%_In country accrual input" xfId="359"/>
    <cellStyle name="%_IN CP Accrual" xfId="360"/>
    <cellStyle name="%_IN CP Accrual (2)" xfId="361"/>
    <cellStyle name="%_India best guess 19 Nov" xfId="362"/>
    <cellStyle name="%_India best guess 19 Nov 2" xfId="363"/>
    <cellStyle name="%_India best guess 19 Nov 3" xfId="364"/>
    <cellStyle name="%_India best guess 19 Nov_2011-2012" xfId="365"/>
    <cellStyle name="%_India best guess 19 Nov_2012-2013" xfId="366"/>
    <cellStyle name="%_India best guess 19 Nov_Consolidated" xfId="367"/>
    <cellStyle name="%_India best guess 19 Nov_Debtor Receipts UK" xfId="368"/>
    <cellStyle name="%_India best guess 19 Nov_Grant Information" xfId="369"/>
    <cellStyle name="%_India best guess 19 Nov_In Country" xfId="370"/>
    <cellStyle name="%_India best guess 19 Nov_Nominal " xfId="371"/>
    <cellStyle name="%_India best guess 19 Nov_nominal account" xfId="372"/>
    <cellStyle name="%_India best guess 19 Nov_Note 19" xfId="373"/>
    <cellStyle name="%_India best guess 19 Nov_Receipts in Country" xfId="374"/>
    <cellStyle name="%_India best guess 19 Nov_Sheet1" xfId="375"/>
    <cellStyle name="%_India best guess 19 Nov_Sheet2" xfId="376"/>
    <cellStyle name="%_India best guess 19 Nov_Sheet4" xfId="377"/>
    <cellStyle name="%_India best guess 19 Nov_Sheet5" xfId="378"/>
    <cellStyle name="%_India best guess 19 Nov_Sheet6" xfId="379"/>
    <cellStyle name="%_India best guess 19 Nov_Sheet7" xfId="380"/>
    <cellStyle name="%_India best guess 19 Nov_Sheet8" xfId="381"/>
    <cellStyle name="%_India best guess 19 Nov_WAB_2011-2012" xfId="382"/>
    <cellStyle name="%_India Mid Term Approval" xfId="383"/>
    <cellStyle name="%_India Mid Term Approval 2" xfId="384"/>
    <cellStyle name="%_India Mid Term Approval 3" xfId="385"/>
    <cellStyle name="%_India Mid Term Approval_2011-2012" xfId="386"/>
    <cellStyle name="%_India Mid Term Approval_2012-2013" xfId="387"/>
    <cellStyle name="%_India Mid Term Approval_Consolidated" xfId="388"/>
    <cellStyle name="%_India Mid Term Approval_Debtor Receipts UK" xfId="389"/>
    <cellStyle name="%_India Mid Term Approval_Grant Information" xfId="390"/>
    <cellStyle name="%_India Mid Term Approval_In Country" xfId="391"/>
    <cellStyle name="%_India Mid Term Approval_Nominal " xfId="392"/>
    <cellStyle name="%_India Mid Term Approval_nominal account" xfId="393"/>
    <cellStyle name="%_India Mid Term Approval_Note 19" xfId="394"/>
    <cellStyle name="%_India Mid Term Approval_Receipts in Country" xfId="395"/>
    <cellStyle name="%_India Mid Term Approval_Sheet1" xfId="396"/>
    <cellStyle name="%_India Mid Term Approval_Sheet2" xfId="397"/>
    <cellStyle name="%_India Mid Term Approval_Sheet4" xfId="398"/>
    <cellStyle name="%_India Mid Term Approval_Sheet5" xfId="399"/>
    <cellStyle name="%_India Mid Term Approval_Sheet6" xfId="400"/>
    <cellStyle name="%_India Mid Term Approval_Sheet7" xfId="401"/>
    <cellStyle name="%_India Mid Term Approval_Sheet8" xfId="402"/>
    <cellStyle name="%_India Mid Term Approval_WAB_2011-2012" xfId="403"/>
    <cellStyle name="%_IPD &amp; FAN (1)" xfId="404"/>
    <cellStyle name="%_IPD &amp; FAN (1)_CP" xfId="405"/>
    <cellStyle name="%_IPD &amp; FAN (1)_CP 2" xfId="406"/>
    <cellStyle name="%_IPD &amp; FAN (1)_CP3" xfId="407"/>
    <cellStyle name="%_IPD &amp; FAN (1)_CPs" xfId="408"/>
    <cellStyle name="%_IPD &amp; FAN (1)_Data2" xfId="409"/>
    <cellStyle name="%_IPD &amp; FAN (1)_Graph Data" xfId="410"/>
    <cellStyle name="%_IPD &amp; FAN (1)_SUMMARY" xfId="411"/>
    <cellStyle name="%_IPD &amp; FAN (1)_SUMMARY - DT" xfId="412"/>
    <cellStyle name="%_IPD &amp; FAN (1)_SUMMARY_1" xfId="413"/>
    <cellStyle name="%_IPD &amp; FAN (2)" xfId="414"/>
    <cellStyle name="%_IPD &amp; FAN (2)_CP" xfId="415"/>
    <cellStyle name="%_IPD &amp; FAN (2)_CP 2" xfId="416"/>
    <cellStyle name="%_IPD &amp; FAN (2)_CP3" xfId="417"/>
    <cellStyle name="%_IPD &amp; FAN (2)_CPs" xfId="418"/>
    <cellStyle name="%_IPD &amp; FAN (2)_Data2" xfId="419"/>
    <cellStyle name="%_IPD &amp; FAN (2)_Graph Data" xfId="420"/>
    <cellStyle name="%_IPD &amp; FAN (2)_SUMMARY" xfId="421"/>
    <cellStyle name="%_IPD &amp; FAN (2)_SUMMARY - DT" xfId="422"/>
    <cellStyle name="%_IPD &amp; FAN (2)_SUMMARY_1" xfId="423"/>
    <cellStyle name="%_Journal Import template" xfId="424"/>
    <cellStyle name="%_Journal Import template 2" xfId="425"/>
    <cellStyle name="%_Journal Import template 3" xfId="426"/>
    <cellStyle name="%_Journal Import template_1" xfId="427"/>
    <cellStyle name="%_Journal Import template_1_Journal Import template" xfId="428"/>
    <cellStyle name="%_Journal Import template_1_Sheet1" xfId="429"/>
    <cellStyle name="%_Journal Import template_2" xfId="430"/>
    <cellStyle name="%_Journal Import template_Consolidated" xfId="431"/>
    <cellStyle name="%_Journal Import template_Debtor Receipts UK" xfId="432"/>
    <cellStyle name="%_Journal Import template_In Country" xfId="433"/>
    <cellStyle name="%_Journal Import template_Journal Import template" xfId="434"/>
    <cellStyle name="%_Journal Import template_Jul 10" xfId="435"/>
    <cellStyle name="%_Journal Import template_Jun 10" xfId="436"/>
    <cellStyle name="%_Journal Import template_Jun 10_1" xfId="437"/>
    <cellStyle name="%_Journal Import template_Jun 10_Jul 10" xfId="438"/>
    <cellStyle name="%_Journal Import template_Jun 10_Jun 10" xfId="439"/>
    <cellStyle name="%_Journal Import template_May 10" xfId="440"/>
    <cellStyle name="%_Journal Import template_Nominal " xfId="441"/>
    <cellStyle name="%_Journal Import template_nominal account" xfId="442"/>
    <cellStyle name="%_Journal Import template_Receipts in Country" xfId="443"/>
    <cellStyle name="%_Journal Import template_Sheet1" xfId="444"/>
    <cellStyle name="%_Journal Import template_Sheet2" xfId="445"/>
    <cellStyle name="%_Journal Import template_Sheet4" xfId="446"/>
    <cellStyle name="%_Jul 10" xfId="447"/>
    <cellStyle name="%_Jun 10" xfId="448"/>
    <cellStyle name="%_Jun 10_1" xfId="449"/>
    <cellStyle name="%_Jun 10_1_Jul 10" xfId="450"/>
    <cellStyle name="%_Jun 10_1_Jun 10" xfId="451"/>
    <cellStyle name="%_Jun 10_2" xfId="452"/>
    <cellStyle name="%_Jun 10_Jul 10" xfId="453"/>
    <cellStyle name="%_Jun 10_Jun 10" xfId="454"/>
    <cellStyle name="%_Letters Support" xfId="455"/>
    <cellStyle name="%_MA 11-12" xfId="456"/>
    <cellStyle name="%_MA 11-12 2" xfId="457"/>
    <cellStyle name="%_MA 11-12 3" xfId="458"/>
    <cellStyle name="%_Mar 10" xfId="459"/>
    <cellStyle name="%_Mar 10_Journal Import template" xfId="460"/>
    <cellStyle name="%_Mar 10_Jul 10" xfId="461"/>
    <cellStyle name="%_Mar 10_Jun 10" xfId="462"/>
    <cellStyle name="%_Mar 10_Jun 10_1" xfId="463"/>
    <cellStyle name="%_Mar 10_Jun 10_Jul 10" xfId="464"/>
    <cellStyle name="%_Mar 10_Jun 10_Jun 10" xfId="465"/>
    <cellStyle name="%_Mar 10_May 10" xfId="466"/>
    <cellStyle name="%_Mar Reconciliation 10" xfId="467"/>
    <cellStyle name="%_Mar Reconciliation 10_Journal Import template" xfId="468"/>
    <cellStyle name="%_Mar Reconciliation 10_Jul 10" xfId="469"/>
    <cellStyle name="%_Mar Reconciliation 10_Jun 10" xfId="470"/>
    <cellStyle name="%_Matrix" xfId="471"/>
    <cellStyle name="%_Matrix consolidation Jan 15" xfId="472"/>
    <cellStyle name="%_Matrix consolidation Jan 15 2" xfId="473"/>
    <cellStyle name="%_Matrix consolidation Jan 15 2 2" xfId="474"/>
    <cellStyle name="%_Matrix consolidation Jan 15 2 3" xfId="475"/>
    <cellStyle name="%_Matrix consolidation Jan 15 3" xfId="476"/>
    <cellStyle name="%_Matrix consolidation Jan 15 4" xfId="477"/>
    <cellStyle name="%_Matrix consolidation Jan 15_MA 11-12" xfId="478"/>
    <cellStyle name="%_Matrix consolidation Jan 15_MA 11-12 2" xfId="479"/>
    <cellStyle name="%_Matrix consolidation Jan 15_MA 11-12 3" xfId="480"/>
    <cellStyle name="%_Matrix consolidation Jan 15_ZA 10-11" xfId="481"/>
    <cellStyle name="%_Matrix consolidation Jan 15_ZA 10-11 2" xfId="482"/>
    <cellStyle name="%_Matrix consolidation Jan 15_ZA 10-11 3" xfId="483"/>
    <cellStyle name="%_Matrix consolidation Jan 15_ZA 11-12" xfId="484"/>
    <cellStyle name="%_Matrix consolidation Jan 15_ZA 11-12 2" xfId="485"/>
    <cellStyle name="%_Matrix consolidation Jan 15_ZA 11-12 3" xfId="486"/>
    <cellStyle name="%_May 10" xfId="487"/>
    <cellStyle name="%_MEMO" xfId="488"/>
    <cellStyle name="%_MPB" xfId="489"/>
    <cellStyle name="%_MPB matrix Pakistan - Final Per Asia Desk" xfId="490"/>
    <cellStyle name="%_MPB matrix Pakistan - Final Per Asia Desk 2" xfId="491"/>
    <cellStyle name="%_MPB matrix Pakistan - Final Per Asia Desk_Consolidated" xfId="492"/>
    <cellStyle name="%_MPB matrix Pakistan - Final Per Asia Desk_Sheet1" xfId="493"/>
    <cellStyle name="%_Nepal trial" xfId="494"/>
    <cellStyle name="%_Note 19" xfId="495"/>
    <cellStyle name="%_Offshore entries" xfId="496"/>
    <cellStyle name="%_P&amp;L" xfId="497"/>
    <cellStyle name="%_P&amp;L - Global" xfId="498"/>
    <cellStyle name="%_P&amp;L - Global_CP" xfId="499"/>
    <cellStyle name="%_P&amp;L - Global_CP 2" xfId="500"/>
    <cellStyle name="%_P&amp;L - Global_CP3" xfId="501"/>
    <cellStyle name="%_P&amp;L - Global_CPs" xfId="502"/>
    <cellStyle name="%_P&amp;L - Global_Data2" xfId="503"/>
    <cellStyle name="%_P&amp;L - Global_Graph Data" xfId="504"/>
    <cellStyle name="%_P&amp;L - Global_SUMMARY" xfId="505"/>
    <cellStyle name="%_P&amp;L - Global_SUMMARY - DT" xfId="506"/>
    <cellStyle name="%_P&amp;L - Global_SUMMARY_1" xfId="507"/>
    <cellStyle name="%_P&amp;L - UK" xfId="508"/>
    <cellStyle name="%_P&amp;L - UK_CP" xfId="509"/>
    <cellStyle name="%_P&amp;L - UK_CP 2" xfId="510"/>
    <cellStyle name="%_P&amp;L - UK_CP3" xfId="511"/>
    <cellStyle name="%_P&amp;L - UK_CPs" xfId="512"/>
    <cellStyle name="%_P&amp;L - UK_Data2" xfId="513"/>
    <cellStyle name="%_P&amp;L - UK_Graph Data" xfId="514"/>
    <cellStyle name="%_P&amp;L - UK_SUMMARY" xfId="515"/>
    <cellStyle name="%_P&amp;L - UK_SUMMARY - DT" xfId="516"/>
    <cellStyle name="%_P&amp;L - UK_SUMMARY_1" xfId="517"/>
    <cellStyle name="%_P&amp;L_CP" xfId="518"/>
    <cellStyle name="%_P&amp;L_CP 2" xfId="519"/>
    <cellStyle name="%_P&amp;L_CP3" xfId="520"/>
    <cellStyle name="%_P&amp;L_CPs" xfId="521"/>
    <cellStyle name="%_P&amp;L_Data2" xfId="522"/>
    <cellStyle name="%_P&amp;L_Graph Data" xfId="523"/>
    <cellStyle name="%_P&amp;L_P&amp;L - Global" xfId="524"/>
    <cellStyle name="%_P&amp;L_P&amp;L - Global_CP" xfId="525"/>
    <cellStyle name="%_P&amp;L_P&amp;L - Global_CP 2" xfId="526"/>
    <cellStyle name="%_P&amp;L_P&amp;L - Global_CP3" xfId="527"/>
    <cellStyle name="%_P&amp;L_P&amp;L - Global_CPs" xfId="528"/>
    <cellStyle name="%_P&amp;L_P&amp;L - Global_Data2" xfId="529"/>
    <cellStyle name="%_P&amp;L_P&amp;L - Global_Graph Data" xfId="530"/>
    <cellStyle name="%_P&amp;L_P&amp;L - Global_SUMMARY" xfId="531"/>
    <cellStyle name="%_P&amp;L_P&amp;L - Global_SUMMARY - DT" xfId="532"/>
    <cellStyle name="%_P&amp;L_P&amp;L - Global_SUMMARY_1" xfId="533"/>
    <cellStyle name="%_P&amp;L_P&amp;L - UK" xfId="534"/>
    <cellStyle name="%_P&amp;L_P&amp;L - UK_CP" xfId="535"/>
    <cellStyle name="%_P&amp;L_P&amp;L - UK_CP 2" xfId="536"/>
    <cellStyle name="%_P&amp;L_P&amp;L - UK_CP3" xfId="537"/>
    <cellStyle name="%_P&amp;L_P&amp;L - UK_CPs" xfId="538"/>
    <cellStyle name="%_P&amp;L_P&amp;L - UK_Data2" xfId="539"/>
    <cellStyle name="%_P&amp;L_P&amp;L - UK_Graph Data" xfId="540"/>
    <cellStyle name="%_P&amp;L_P&amp;L - UK_SUMMARY" xfId="541"/>
    <cellStyle name="%_P&amp;L_P&amp;L - UK_SUMMARY - DT" xfId="542"/>
    <cellStyle name="%_P&amp;L_P&amp;L - UK_SUMMARY_1" xfId="543"/>
    <cellStyle name="%_P&amp;L_SUMMARY" xfId="544"/>
    <cellStyle name="%_P&amp;L_SUMMARY - DT" xfId="545"/>
    <cellStyle name="%_P&amp;L_SUMMARY_1" xfId="546"/>
    <cellStyle name="%_Pay 09-10  Sun" xfId="547"/>
    <cellStyle name="%_Pay 09-10  Sun_Journal Import template" xfId="548"/>
    <cellStyle name="%_Pay 09-10  Sun_Jul 10" xfId="549"/>
    <cellStyle name="%_Pay 09-10  Sun_Jun 10" xfId="550"/>
    <cellStyle name="%_Pay 09-10  Sun_Jun 10_1" xfId="551"/>
    <cellStyle name="%_Pay 09-10  Sun_Jun 10_Jul 10" xfId="552"/>
    <cellStyle name="%_Pay 09-10  Sun_Jun 10_Jun 10" xfId="553"/>
    <cellStyle name="%_Pay 09-10  Sun_May 10" xfId="554"/>
    <cellStyle name="%_Pay 10-11 Sun" xfId="555"/>
    <cellStyle name="%_Pivot extract for MPB" xfId="556"/>
    <cellStyle name="%_Pivot extract for MPB 2" xfId="557"/>
    <cellStyle name="%_Pivot extract for MPB 2 2" xfId="558"/>
    <cellStyle name="%_Pivot extract for MPB 2 3" xfId="559"/>
    <cellStyle name="%_Pivot extract for MPB 3" xfId="560"/>
    <cellStyle name="%_Pivot extract for MPB 4" xfId="561"/>
    <cellStyle name="%_Pivot extract for MPB with WA updates" xfId="562"/>
    <cellStyle name="%_Pivot extract for MPB with WA updates 2" xfId="563"/>
    <cellStyle name="%_Pivot extract for MPB with WA updates 2 2" xfId="564"/>
    <cellStyle name="%_Pivot extract for MPB with WA updates 2 3" xfId="565"/>
    <cellStyle name="%_Pivot extract for MPB with WA updates 3" xfId="566"/>
    <cellStyle name="%_Pivot extract for MPB with WA updates 4" xfId="567"/>
    <cellStyle name="%_Pivot extract for MPB_MA 11-12" xfId="568"/>
    <cellStyle name="%_Pivot extract for MPB_MA 11-12 2" xfId="569"/>
    <cellStyle name="%_Pivot extract for MPB_MA 11-12 3" xfId="570"/>
    <cellStyle name="%_Pivot extract for MPB_ZA 10-11" xfId="571"/>
    <cellStyle name="%_Pivot extract for MPB_ZA 10-11 2" xfId="572"/>
    <cellStyle name="%_Pivot extract for MPB_ZA 10-11 3" xfId="573"/>
    <cellStyle name="%_Pivot extract for MPB_ZA 11-12" xfId="574"/>
    <cellStyle name="%_Pivot extract for MPB_ZA 11-12 2" xfId="575"/>
    <cellStyle name="%_Pivot extract for MPB_ZA 11-12 3" xfId="576"/>
    <cellStyle name="%_Project Local" xfId="577"/>
    <cellStyle name="%_Report" xfId="578"/>
    <cellStyle name="%_RMT" xfId="579"/>
    <cellStyle name="%_SALARY" xfId="580"/>
    <cellStyle name="%_Sample matrix" xfId="581"/>
    <cellStyle name="%_Sample matrix 2" xfId="582"/>
    <cellStyle name="%_Sample matrix 3" xfId="583"/>
    <cellStyle name="%_Sample matrix_Consolidated" xfId="584"/>
    <cellStyle name="%_Sample matrix_Debtor Receipts UK" xfId="585"/>
    <cellStyle name="%_Sample matrix_In Country" xfId="586"/>
    <cellStyle name="%_Sample matrix_Nominal " xfId="587"/>
    <cellStyle name="%_Sample matrix_nominal account" xfId="588"/>
    <cellStyle name="%_Sample matrix_Receipts in Country" xfId="589"/>
    <cellStyle name="%_Sample matrix_Sheet1" xfId="590"/>
    <cellStyle name="%_Sample matrix_Sheet2" xfId="591"/>
    <cellStyle name="%_Sample matrix_Sheet4" xfId="592"/>
    <cellStyle name="%_Sheet1" xfId="593"/>
    <cellStyle name="%_Sheet1_1" xfId="594"/>
    <cellStyle name="%_Sheet1_1_2012-2013" xfId="595"/>
    <cellStyle name="%_Sheet1_1_Matrix" xfId="596"/>
    <cellStyle name="%_Sheet1_1_Sheet5" xfId="597"/>
    <cellStyle name="%_Sheet1_1_Sheet7" xfId="598"/>
    <cellStyle name="%_Sheet1_EUR - YE" xfId="599"/>
    <cellStyle name="%_Sheet1_FAN Adjt" xfId="600"/>
    <cellStyle name="%_Sheet1_GBP - YE" xfId="601"/>
    <cellStyle name="%_Sheet1_IN CP Accrual (2)" xfId="602"/>
    <cellStyle name="%_Sheet1_Journal Import template" xfId="603"/>
    <cellStyle name="%_Sheet1_Journal Import template_Euro" xfId="604"/>
    <cellStyle name="%_Sheet1_Journal Import template_GBP" xfId="605"/>
    <cellStyle name="%_Sheet1_Journal Import template_In country accrual input" xfId="606"/>
    <cellStyle name="%_Sheet1_Journal Import template_IN CP Accrual" xfId="607"/>
    <cellStyle name="%_Sheet1_Journal Import template_USD" xfId="608"/>
    <cellStyle name="%_Sheet1_Jul 10" xfId="609"/>
    <cellStyle name="%_Sheet1_Jun 10" xfId="610"/>
    <cellStyle name="%_Sheet1_Sheet2" xfId="611"/>
    <cellStyle name="%_Sheet1_YEAR END" xfId="612"/>
    <cellStyle name="%_Sheet2" xfId="613"/>
    <cellStyle name="%_Sheet2 2" xfId="614"/>
    <cellStyle name="%_Sheet2_1" xfId="615"/>
    <cellStyle name="%_Sheet2_ANC" xfId="616"/>
    <cellStyle name="%_Sheet2_ANC_Create or Delete" xfId="617"/>
    <cellStyle name="%_Sheet2_Journal Import template" xfId="618"/>
    <cellStyle name="%_Sheet2_Matrix" xfId="619"/>
    <cellStyle name="%_Sheet3" xfId="620"/>
    <cellStyle name="%_Sheet3 2" xfId="621"/>
    <cellStyle name="%_Sheet3 3" xfId="622"/>
    <cellStyle name="%_Sheet3_Data Entry main schedule" xfId="623"/>
    <cellStyle name="%_Sheet3_Sheet2" xfId="624"/>
    <cellStyle name="%_Sheet4" xfId="625"/>
    <cellStyle name="%_Sheet5" xfId="626"/>
    <cellStyle name="%_Sheet5 2" xfId="627"/>
    <cellStyle name="%_Sheet5_1" xfId="628"/>
    <cellStyle name="%_Sheet5_Consolidated" xfId="629"/>
    <cellStyle name="%_Sheet7" xfId="630"/>
    <cellStyle name="%_Sheet7 2" xfId="631"/>
    <cellStyle name="%_Sheet7_1" xfId="632"/>
    <cellStyle name="%_Sheet7_Consolidated" xfId="633"/>
    <cellStyle name="%_Sheet7_Consolidated 2" xfId="634"/>
    <cellStyle name="%_Sheet7_Consolidated_1" xfId="635"/>
    <cellStyle name="%_Sheet7_Consolidated_Consolidated" xfId="636"/>
    <cellStyle name="%_Sheet7_ML" xfId="637"/>
    <cellStyle name="%_Sheet7_Sheet1" xfId="638"/>
    <cellStyle name="%_Sheet7_Summary" xfId="639"/>
    <cellStyle name="%_Summary" xfId="640"/>
    <cellStyle name="%_Summary 2" xfId="641"/>
    <cellStyle name="%_SUMMARY_1" xfId="642"/>
    <cellStyle name="%_Summary_ANC" xfId="643"/>
    <cellStyle name="%_Summary_ANC_Create or Delete" xfId="644"/>
    <cellStyle name="%_Summary_Consolidated" xfId="645"/>
    <cellStyle name="%_Summary_Consolidated 2" xfId="646"/>
    <cellStyle name="%_Summary_Consolidated_Consolidated" xfId="647"/>
    <cellStyle name="%_Summary_CP" xfId="648"/>
    <cellStyle name="%_Summary_CP 2" xfId="649"/>
    <cellStyle name="%_Summary_CP 2_1" xfId="650"/>
    <cellStyle name="%_Summary_CP_1" xfId="651"/>
    <cellStyle name="%_Summary_CP3" xfId="652"/>
    <cellStyle name="%_Summary_CP3_1" xfId="653"/>
    <cellStyle name="%_Summary_CPs" xfId="654"/>
    <cellStyle name="%_Summary_Data2" xfId="655"/>
    <cellStyle name="%_Summary_Graph Data" xfId="656"/>
    <cellStyle name="%_Summary_Graph Data_1" xfId="657"/>
    <cellStyle name="%_SUMMARY_Graph Data_Graph Data" xfId="658"/>
    <cellStyle name="%_Summary_Journal Import template" xfId="659"/>
    <cellStyle name="%_Summary_Matrix" xfId="660"/>
    <cellStyle name="%_SUMMARY_Sheet2" xfId="661"/>
    <cellStyle name="%_Summary_SUMMARY" xfId="662"/>
    <cellStyle name="%_Summary_SUMMARY - DT" xfId="663"/>
    <cellStyle name="%_Summary_SUMMARY_1" xfId="664"/>
    <cellStyle name="%_SUN" xfId="665"/>
    <cellStyle name="%_SUN 2011" xfId="666"/>
    <cellStyle name="%_SUN DATA Imports" xfId="667"/>
    <cellStyle name="%_SUN DATA Imports_EXPENSE" xfId="668"/>
    <cellStyle name="%_SUN DATA Imports_SALARY" xfId="669"/>
    <cellStyle name="%_SUN_1" xfId="670"/>
    <cellStyle name="%_Sun_Journal Import template" xfId="671"/>
    <cellStyle name="%_SUN_Jul 10" xfId="672"/>
    <cellStyle name="%_SUN_Jun 10" xfId="673"/>
    <cellStyle name="%_Unreconciled items SUN" xfId="674"/>
    <cellStyle name="%_Unreconciled items SUN_Journal Import template" xfId="675"/>
    <cellStyle name="%_Unreconciled items SUN_Jul 10" xfId="676"/>
    <cellStyle name="%_Unreconciled items SUN_Jun 10" xfId="677"/>
    <cellStyle name="%_UNRECONCILED SUN" xfId="678"/>
    <cellStyle name="%_UNRECONCILED SUN_Journal Import template" xfId="679"/>
    <cellStyle name="%_UNRECONCILED SUN_Jul 10" xfId="680"/>
    <cellStyle name="%_UNRECONCILED SUN_Jun 10" xfId="681"/>
    <cellStyle name="%_USD" xfId="682"/>
    <cellStyle name="%_WA America June receipt" xfId="683"/>
    <cellStyle name="%_WAB_MPB_2011-14_ Excel sheet_final_06Feb11" xfId="684"/>
    <cellStyle name="%_WaterAid" xfId="685"/>
    <cellStyle name="%_WaterAid_CP" xfId="686"/>
    <cellStyle name="%_WaterAid_CP 2" xfId="687"/>
    <cellStyle name="%_WaterAid_CP3" xfId="688"/>
    <cellStyle name="%_WaterAid_CPs" xfId="689"/>
    <cellStyle name="%_WaterAid_Data2" xfId="690"/>
    <cellStyle name="%_WaterAid_Graph Data" xfId="691"/>
    <cellStyle name="%_WaterAid_SUMMARY" xfId="692"/>
    <cellStyle name="%_WaterAid_SUMMARY - DT" xfId="693"/>
    <cellStyle name="%_WaterAid_SUMMARY_1" xfId="694"/>
    <cellStyle name="%_Worldwide" xfId="695"/>
    <cellStyle name="%_Worldwide_CP" xfId="696"/>
    <cellStyle name="%_Worldwide_CP 2" xfId="697"/>
    <cellStyle name="%_Worldwide_CP3" xfId="698"/>
    <cellStyle name="%_Worldwide_CPs" xfId="699"/>
    <cellStyle name="%_Worldwide_Data2" xfId="700"/>
    <cellStyle name="%_Worldwide_Graph Data" xfId="701"/>
    <cellStyle name="%_Worldwide_SUMMARY" xfId="702"/>
    <cellStyle name="%_Worldwide_SUMMARY - DT" xfId="703"/>
    <cellStyle name="%_Worldwide_SUMMARY_1" xfId="704"/>
    <cellStyle name="%_YEAR END" xfId="705"/>
    <cellStyle name="%_ZA" xfId="706"/>
    <cellStyle name="%_ZA 10-11" xfId="707"/>
    <cellStyle name="%_ZA 10-11 2" xfId="708"/>
    <cellStyle name="%_ZA 10-11 3" xfId="709"/>
    <cellStyle name="%_ZA 11-12" xfId="710"/>
    <cellStyle name="%_ZA 11-12 2" xfId="711"/>
    <cellStyle name="%_ZA 11-12 3" xfId="712"/>
    <cellStyle name="%_ZA 2" xfId="713"/>
    <cellStyle name="%_ZA_Consolidated" xfId="714"/>
    <cellStyle name="%_ZA_Consolidated 2" xfId="715"/>
    <cellStyle name="%_ZA_Consolidated_1" xfId="716"/>
    <cellStyle name="%_ZA_Consolidated_Consolidated" xfId="717"/>
    <cellStyle name="%_ZA_ML" xfId="718"/>
    <cellStyle name="%_ZA_Sheet1" xfId="719"/>
    <cellStyle name="%_ZA_Summary" xfId="720"/>
    <cellStyle name="%_ZA_YEAR END" xfId="721"/>
    <cellStyle name="%_Zambia best guess 19 Nov" xfId="722"/>
    <cellStyle name="%_Zambia best guess 19 Nov 2" xfId="723"/>
    <cellStyle name="%_Zambia best guess 19 Nov 2 2" xfId="724"/>
    <cellStyle name="%_Zambia best guess 19 Nov 2 3" xfId="725"/>
    <cellStyle name="%_Zambia best guess 19 Nov 3" xfId="726"/>
    <cellStyle name="%_Zambia best guess 19 Nov 4" xfId="727"/>
    <cellStyle name="%_Zambia best guess 19 Nov_MA 11-12" xfId="728"/>
    <cellStyle name="%_Zambia best guess 19 Nov_MA 11-12 2" xfId="729"/>
    <cellStyle name="%_Zambia best guess 19 Nov_MA 11-12 3" xfId="730"/>
    <cellStyle name="%_Zambia best guess 19 Nov_ZA 10-11" xfId="731"/>
    <cellStyle name="%_Zambia best guess 19 Nov_ZA 10-11 2" xfId="732"/>
    <cellStyle name="%_Zambia best guess 19 Nov_ZA 10-11 3" xfId="733"/>
    <cellStyle name="%_Zambia best guess 19 Nov_ZA 11-12" xfId="734"/>
    <cellStyle name="%_Zambia best guess 19 Nov_ZA 11-12 2" xfId="735"/>
    <cellStyle name="%_Zambia best guess 19 Nov_ZA 11-12 3" xfId="736"/>
    <cellStyle name="_Activity analysis" xfId="737"/>
    <cellStyle name="_Activity analysis 10-11" xfId="738"/>
    <cellStyle name="_Activity analysis 11-12" xfId="739"/>
    <cellStyle name="_Analysis codes (ANC)" xfId="740"/>
    <cellStyle name="_Appendix I Sept 09 Accounts and forecast v2 PL221109" xfId="741"/>
    <cellStyle name="_B3 ACCOUNTS" xfId="742"/>
    <cellStyle name="_B390" xfId="743"/>
    <cellStyle name="_Balance Sheet" xfId="744"/>
    <cellStyle name="_Balance Sheet_CP" xfId="745"/>
    <cellStyle name="_Balance Sheet_CP 2" xfId="746"/>
    <cellStyle name="_Balance Sheet_CP 2_1" xfId="747"/>
    <cellStyle name="_Balance Sheet_CP 2_CP" xfId="748"/>
    <cellStyle name="_Balance Sheet_CP 2_CP 2" xfId="749"/>
    <cellStyle name="_Balance Sheet_CP 2_CP 2_1" xfId="750"/>
    <cellStyle name="_Balance Sheet_CP 2_CP_1" xfId="751"/>
    <cellStyle name="_Balance Sheet_CP 2_CP3" xfId="752"/>
    <cellStyle name="_Balance Sheet_CP 2_CP3_1" xfId="753"/>
    <cellStyle name="_Balance Sheet_CP 2_CPs" xfId="754"/>
    <cellStyle name="_Balance Sheet_CP 2_Data2" xfId="755"/>
    <cellStyle name="_Balance Sheet_CP 2_Graph Data" xfId="756"/>
    <cellStyle name="_Balance Sheet_CP 2_Graph Data_1" xfId="757"/>
    <cellStyle name="_Balance Sheet_CP 2_Graph Data_Graph Data" xfId="758"/>
    <cellStyle name="_Balance Sheet_CP 2_SUMMARY" xfId="759"/>
    <cellStyle name="_Balance Sheet_CP 2_SUMMARY - DT" xfId="760"/>
    <cellStyle name="_Balance Sheet_CP 2_SUMMARY_1" xfId="761"/>
    <cellStyle name="_Balance Sheet_CP_1" xfId="762"/>
    <cellStyle name="_Balance Sheet_CP_CP" xfId="763"/>
    <cellStyle name="_Balance Sheet_CP_CP 2" xfId="764"/>
    <cellStyle name="_Balance Sheet_CP_CP 2_1" xfId="765"/>
    <cellStyle name="_Balance Sheet_CP_CP_1" xfId="766"/>
    <cellStyle name="_Balance Sheet_CP_CP3" xfId="767"/>
    <cellStyle name="_Balance Sheet_CP_CP3_1" xfId="768"/>
    <cellStyle name="_Balance Sheet_CP_CPs" xfId="769"/>
    <cellStyle name="_Balance Sheet_CP_Data2" xfId="770"/>
    <cellStyle name="_Balance Sheet_CP_Graph Data" xfId="771"/>
    <cellStyle name="_Balance Sheet_CP_Graph Data_1" xfId="772"/>
    <cellStyle name="_Balance Sheet_CP_Graph Data_Graph Data" xfId="773"/>
    <cellStyle name="_Balance Sheet_CP_SUMMARY" xfId="774"/>
    <cellStyle name="_Balance Sheet_CP_SUMMARY - DT" xfId="775"/>
    <cellStyle name="_Balance Sheet_CP_SUMMARY_1" xfId="776"/>
    <cellStyle name="_Balance Sheet_CP3" xfId="777"/>
    <cellStyle name="_Balance Sheet_CP3_1" xfId="778"/>
    <cellStyle name="_Balance Sheet_CP3_CP" xfId="779"/>
    <cellStyle name="_Balance Sheet_CP3_CP 2" xfId="780"/>
    <cellStyle name="_Balance Sheet_CP3_CP 2_1" xfId="781"/>
    <cellStyle name="_Balance Sheet_CP3_CP_1" xfId="782"/>
    <cellStyle name="_Balance Sheet_CP3_CP3" xfId="783"/>
    <cellStyle name="_Balance Sheet_CP3_CP3_1" xfId="784"/>
    <cellStyle name="_Balance Sheet_CP3_CPs" xfId="785"/>
    <cellStyle name="_Balance Sheet_CP3_Data2" xfId="786"/>
    <cellStyle name="_Balance Sheet_CP3_Graph Data" xfId="787"/>
    <cellStyle name="_Balance Sheet_CP3_Graph Data_1" xfId="788"/>
    <cellStyle name="_Balance Sheet_CP3_Graph Data_Graph Data" xfId="789"/>
    <cellStyle name="_Balance Sheet_CP3_SUMMARY" xfId="790"/>
    <cellStyle name="_Balance Sheet_CP3_SUMMARY - DT" xfId="791"/>
    <cellStyle name="_Balance Sheet_CP3_SUMMARY_1" xfId="792"/>
    <cellStyle name="_Balance Sheet_EXPENSE" xfId="793"/>
    <cellStyle name="_Balance Sheet_Graph Data" xfId="794"/>
    <cellStyle name="_Balance Sheet_Graph Data_1" xfId="795"/>
    <cellStyle name="_Balance Sheet_Graph Data_1_CP" xfId="796"/>
    <cellStyle name="_Balance Sheet_Graph Data_1_CP 2" xfId="797"/>
    <cellStyle name="_Balance Sheet_Graph Data_1_CP 2_1" xfId="798"/>
    <cellStyle name="_Balance Sheet_Graph Data_1_CP_1" xfId="799"/>
    <cellStyle name="_Balance Sheet_Graph Data_1_CP3" xfId="800"/>
    <cellStyle name="_Balance Sheet_Graph Data_1_CP3_1" xfId="801"/>
    <cellStyle name="_Balance Sheet_Graph Data_1_CPs" xfId="802"/>
    <cellStyle name="_Balance Sheet_Graph Data_1_Data2" xfId="803"/>
    <cellStyle name="_Balance Sheet_Graph Data_1_Graph Data" xfId="804"/>
    <cellStyle name="_Balance Sheet_Graph Data_1_Graph Data_1" xfId="805"/>
    <cellStyle name="_Balance Sheet_Graph Data_1_Graph Data_Graph Data" xfId="806"/>
    <cellStyle name="_Balance Sheet_Graph Data_1_SUMMARY" xfId="807"/>
    <cellStyle name="_Balance Sheet_Graph Data_1_SUMMARY - DT" xfId="808"/>
    <cellStyle name="_Balance Sheet_Graph Data_1_SUMMARY_1" xfId="809"/>
    <cellStyle name="_Balance Sheet_Graph Data_2" xfId="810"/>
    <cellStyle name="_Balance Sheet_Graph Data_CP" xfId="811"/>
    <cellStyle name="_Balance Sheet_Graph Data_CP 2" xfId="812"/>
    <cellStyle name="_Balance Sheet_Graph Data_CP3" xfId="813"/>
    <cellStyle name="_Balance Sheet_Graph Data_CPs" xfId="814"/>
    <cellStyle name="_Balance Sheet_Graph Data_Data2" xfId="815"/>
    <cellStyle name="_Balance Sheet_Graph Data_EXPENSE" xfId="816"/>
    <cellStyle name="_Balance Sheet_Graph Data_Graph Data" xfId="817"/>
    <cellStyle name="_Balance Sheet_Graph Data_SALARY" xfId="818"/>
    <cellStyle name="_Balance Sheet_Graph Data_SUMMARY" xfId="819"/>
    <cellStyle name="_Balance Sheet_Graph Data_SUMMARY - DT" xfId="820"/>
    <cellStyle name="_Balance Sheet_Graph Data_SUMMARY_1" xfId="821"/>
    <cellStyle name="_Balance Sheet_IPD &amp; FAN (1)" xfId="822"/>
    <cellStyle name="_Balance Sheet_IPD &amp; FAN (1)_CP" xfId="823"/>
    <cellStyle name="_Balance Sheet_IPD &amp; FAN (1)_CP 2" xfId="824"/>
    <cellStyle name="_Balance Sheet_IPD &amp; FAN (1)_CP3" xfId="825"/>
    <cellStyle name="_Balance Sheet_IPD &amp; FAN (1)_CPs" xfId="826"/>
    <cellStyle name="_Balance Sheet_IPD &amp; FAN (1)_Data2" xfId="827"/>
    <cellStyle name="_Balance Sheet_IPD &amp; FAN (1)_Graph Data" xfId="828"/>
    <cellStyle name="_Balance Sheet_IPD &amp; FAN (1)_SUMMARY" xfId="829"/>
    <cellStyle name="_Balance Sheet_IPD &amp; FAN (1)_SUMMARY - DT" xfId="830"/>
    <cellStyle name="_Balance Sheet_IPD &amp; FAN (1)_SUMMARY_1" xfId="831"/>
    <cellStyle name="_Balance Sheet_IPD &amp; FAN (2)" xfId="832"/>
    <cellStyle name="_Balance Sheet_IPD &amp; FAN (2)_CP" xfId="833"/>
    <cellStyle name="_Balance Sheet_IPD &amp; FAN (2)_CP 2" xfId="834"/>
    <cellStyle name="_Balance Sheet_IPD &amp; FAN (2)_CP3" xfId="835"/>
    <cellStyle name="_Balance Sheet_IPD &amp; FAN (2)_CPs" xfId="836"/>
    <cellStyle name="_Balance Sheet_IPD &amp; FAN (2)_Data2" xfId="837"/>
    <cellStyle name="_Balance Sheet_IPD &amp; FAN (2)_Graph Data" xfId="838"/>
    <cellStyle name="_Balance Sheet_IPD &amp; FAN (2)_SUMMARY" xfId="839"/>
    <cellStyle name="_Balance Sheet_IPD &amp; FAN (2)_SUMMARY - DT" xfId="840"/>
    <cellStyle name="_Balance Sheet_IPD &amp; FAN (2)_SUMMARY_1" xfId="841"/>
    <cellStyle name="_Balance Sheet_P&amp;L" xfId="842"/>
    <cellStyle name="_Balance Sheet_P&amp;L - Global" xfId="843"/>
    <cellStyle name="_Balance Sheet_P&amp;L - Global_CP" xfId="844"/>
    <cellStyle name="_Balance Sheet_P&amp;L - Global_CP 2" xfId="845"/>
    <cellStyle name="_Balance Sheet_P&amp;L - Global_CP3" xfId="846"/>
    <cellStyle name="_Balance Sheet_P&amp;L - Global_CPs" xfId="847"/>
    <cellStyle name="_Balance Sheet_P&amp;L - Global_Data2" xfId="848"/>
    <cellStyle name="_Balance Sheet_P&amp;L - Global_Graph Data" xfId="849"/>
    <cellStyle name="_Balance Sheet_P&amp;L - Global_SUMMARY" xfId="850"/>
    <cellStyle name="_Balance Sheet_P&amp;L - Global_SUMMARY - DT" xfId="851"/>
    <cellStyle name="_Balance Sheet_P&amp;L - Global_SUMMARY_1" xfId="852"/>
    <cellStyle name="_Balance Sheet_P&amp;L - UK" xfId="853"/>
    <cellStyle name="_Balance Sheet_P&amp;L - UK_CP" xfId="854"/>
    <cellStyle name="_Balance Sheet_P&amp;L - UK_CP 2" xfId="855"/>
    <cellStyle name="_Balance Sheet_P&amp;L - UK_CP3" xfId="856"/>
    <cellStyle name="_Balance Sheet_P&amp;L - UK_CPs" xfId="857"/>
    <cellStyle name="_Balance Sheet_P&amp;L - UK_Data2" xfId="858"/>
    <cellStyle name="_Balance Sheet_P&amp;L - UK_Graph Data" xfId="859"/>
    <cellStyle name="_Balance Sheet_P&amp;L - UK_SUMMARY" xfId="860"/>
    <cellStyle name="_Balance Sheet_P&amp;L - UK_SUMMARY - DT" xfId="861"/>
    <cellStyle name="_Balance Sheet_P&amp;L - UK_SUMMARY_1" xfId="862"/>
    <cellStyle name="_Balance Sheet_P&amp;L_CP" xfId="863"/>
    <cellStyle name="_Balance Sheet_P&amp;L_CP 2" xfId="864"/>
    <cellStyle name="_Balance Sheet_P&amp;L_CP3" xfId="865"/>
    <cellStyle name="_Balance Sheet_P&amp;L_CPs" xfId="866"/>
    <cellStyle name="_Balance Sheet_P&amp;L_Data2" xfId="867"/>
    <cellStyle name="_Balance Sheet_P&amp;L_Graph Data" xfId="868"/>
    <cellStyle name="_Balance Sheet_P&amp;L_P&amp;L - Global" xfId="869"/>
    <cellStyle name="_Balance Sheet_P&amp;L_P&amp;L - Global_CP" xfId="870"/>
    <cellStyle name="_Balance Sheet_P&amp;L_P&amp;L - Global_CP 2" xfId="871"/>
    <cellStyle name="_Balance Sheet_P&amp;L_P&amp;L - Global_CP3" xfId="872"/>
    <cellStyle name="_Balance Sheet_P&amp;L_P&amp;L - Global_CPs" xfId="873"/>
    <cellStyle name="_Balance Sheet_P&amp;L_P&amp;L - Global_Data2" xfId="874"/>
    <cellStyle name="_Balance Sheet_P&amp;L_P&amp;L - Global_Graph Data" xfId="875"/>
    <cellStyle name="_Balance Sheet_P&amp;L_P&amp;L - Global_SUMMARY" xfId="876"/>
    <cellStyle name="_Balance Sheet_P&amp;L_P&amp;L - Global_SUMMARY - DT" xfId="877"/>
    <cellStyle name="_Balance Sheet_P&amp;L_P&amp;L - Global_SUMMARY_1" xfId="878"/>
    <cellStyle name="_Balance Sheet_P&amp;L_P&amp;L - UK" xfId="879"/>
    <cellStyle name="_Balance Sheet_P&amp;L_P&amp;L - UK_CP" xfId="880"/>
    <cellStyle name="_Balance Sheet_P&amp;L_P&amp;L - UK_CP 2" xfId="881"/>
    <cellStyle name="_Balance Sheet_P&amp;L_P&amp;L - UK_CP3" xfId="882"/>
    <cellStyle name="_Balance Sheet_P&amp;L_P&amp;L - UK_CPs" xfId="883"/>
    <cellStyle name="_Balance Sheet_P&amp;L_P&amp;L - UK_Data2" xfId="884"/>
    <cellStyle name="_Balance Sheet_P&amp;L_P&amp;L - UK_Graph Data" xfId="885"/>
    <cellStyle name="_Balance Sheet_P&amp;L_P&amp;L - UK_SUMMARY" xfId="886"/>
    <cellStyle name="_Balance Sheet_P&amp;L_P&amp;L - UK_SUMMARY - DT" xfId="887"/>
    <cellStyle name="_Balance Sheet_P&amp;L_P&amp;L - UK_SUMMARY_1" xfId="888"/>
    <cellStyle name="_Balance Sheet_P&amp;L_SUMMARY" xfId="889"/>
    <cellStyle name="_Balance Sheet_P&amp;L_SUMMARY - DT" xfId="890"/>
    <cellStyle name="_Balance Sheet_P&amp;L_SUMMARY_1" xfId="891"/>
    <cellStyle name="_Balance Sheet_Report" xfId="892"/>
    <cellStyle name="_Balance Sheet_SALARY" xfId="893"/>
    <cellStyle name="_Balance Sheet_Sheet2" xfId="894"/>
    <cellStyle name="_Balance Sheet_SUMMARY" xfId="895"/>
    <cellStyle name="_Balance Sheet_SUMMARY_1" xfId="896"/>
    <cellStyle name="_Balance Sheet_Summary_CP" xfId="897"/>
    <cellStyle name="_Balance Sheet_Summary_CP 2" xfId="898"/>
    <cellStyle name="_Balance Sheet_Summary_CP 2_1" xfId="899"/>
    <cellStyle name="_Balance Sheet_Summary_CP_1" xfId="900"/>
    <cellStyle name="_Balance Sheet_Summary_CP3" xfId="901"/>
    <cellStyle name="_Balance Sheet_Summary_CP3_1" xfId="902"/>
    <cellStyle name="_Balance Sheet_Summary_CPs" xfId="903"/>
    <cellStyle name="_Balance Sheet_Summary_Data2" xfId="904"/>
    <cellStyle name="_Balance Sheet_Summary_Graph Data" xfId="905"/>
    <cellStyle name="_Balance Sheet_Summary_Graph Data_1" xfId="906"/>
    <cellStyle name="_Balance Sheet_SUMMARY_Graph Data_Graph Data" xfId="907"/>
    <cellStyle name="_Balance Sheet_Summary_SUMMARY" xfId="908"/>
    <cellStyle name="_Balance Sheet_Summary_SUMMARY - DT" xfId="909"/>
    <cellStyle name="_Balance Sheet_Summary_SUMMARY_1" xfId="910"/>
    <cellStyle name="_Balance Sheet_WaterAid" xfId="911"/>
    <cellStyle name="_Balance Sheet_WaterAid_CP" xfId="912"/>
    <cellStyle name="_Balance Sheet_WaterAid_CP 2" xfId="913"/>
    <cellStyle name="_Balance Sheet_WaterAid_CP3" xfId="914"/>
    <cellStyle name="_Balance Sheet_WaterAid_CPs" xfId="915"/>
    <cellStyle name="_Balance Sheet_WaterAid_Data2" xfId="916"/>
    <cellStyle name="_Balance Sheet_WaterAid_Graph Data" xfId="917"/>
    <cellStyle name="_Balance Sheet_WaterAid_SUMMARY" xfId="918"/>
    <cellStyle name="_Balance Sheet_WaterAid_SUMMARY - DT" xfId="919"/>
    <cellStyle name="_Balance Sheet_WaterAid_SUMMARY_1" xfId="920"/>
    <cellStyle name="_Balance Sheet_Worldwide" xfId="921"/>
    <cellStyle name="_Balance Sheet_Worldwide_CP" xfId="922"/>
    <cellStyle name="_Balance Sheet_Worldwide_CP 2" xfId="923"/>
    <cellStyle name="_Balance Sheet_Worldwide_CP3" xfId="924"/>
    <cellStyle name="_Balance Sheet_Worldwide_CPs" xfId="925"/>
    <cellStyle name="_Balance Sheet_Worldwide_Data2" xfId="926"/>
    <cellStyle name="_Balance Sheet_Worldwide_Graph Data" xfId="927"/>
    <cellStyle name="_Balance Sheet_Worldwide_SUMMARY" xfId="928"/>
    <cellStyle name="_Balance Sheet_Worldwide_SUMMARY - DT" xfId="929"/>
    <cellStyle name="_Balance Sheet_Worldwide_SUMMARY_1" xfId="930"/>
    <cellStyle name="_Book1 (version 1)" xfId="931"/>
    <cellStyle name="_BS" xfId="932"/>
    <cellStyle name="_Budget cost centre values" xfId="933"/>
    <cellStyle name="_By Activity" xfId="934"/>
    <cellStyle name="_By Activity_CP" xfId="935"/>
    <cellStyle name="_By Activity_CP 2" xfId="936"/>
    <cellStyle name="_By Activity_CP 2_1" xfId="937"/>
    <cellStyle name="_By Activity_CP 2_CP" xfId="938"/>
    <cellStyle name="_By Activity_CP 2_CP 2" xfId="939"/>
    <cellStyle name="_By Activity_CP 2_CP 2_1" xfId="940"/>
    <cellStyle name="_By Activity_CP 2_CP_1" xfId="941"/>
    <cellStyle name="_By Activity_CP 2_CP3" xfId="942"/>
    <cellStyle name="_By Activity_CP 2_CP3_1" xfId="943"/>
    <cellStyle name="_By Activity_CP 2_CPs" xfId="944"/>
    <cellStyle name="_By Activity_CP 2_Data2" xfId="945"/>
    <cellStyle name="_By Activity_CP 2_Graph Data" xfId="946"/>
    <cellStyle name="_By Activity_CP 2_Graph Data_1" xfId="947"/>
    <cellStyle name="_By Activity_CP 2_Graph Data_Graph Data" xfId="948"/>
    <cellStyle name="_By Activity_CP 2_SUMMARY" xfId="949"/>
    <cellStyle name="_By Activity_CP 2_SUMMARY - DT" xfId="950"/>
    <cellStyle name="_By Activity_CP 2_SUMMARY_1" xfId="951"/>
    <cellStyle name="_By Activity_CP_1" xfId="952"/>
    <cellStyle name="_By Activity_CP_CP" xfId="953"/>
    <cellStyle name="_By Activity_CP_CP 2" xfId="954"/>
    <cellStyle name="_By Activity_CP_CP 2_1" xfId="955"/>
    <cellStyle name="_By Activity_CP_CP_1" xfId="956"/>
    <cellStyle name="_By Activity_CP_CP3" xfId="957"/>
    <cellStyle name="_By Activity_CP_CP3_1" xfId="958"/>
    <cellStyle name="_By Activity_CP_CPs" xfId="959"/>
    <cellStyle name="_By Activity_CP_Data2" xfId="960"/>
    <cellStyle name="_By Activity_CP_Graph Data" xfId="961"/>
    <cellStyle name="_By Activity_CP_Graph Data_1" xfId="962"/>
    <cellStyle name="_By Activity_CP_Graph Data_Graph Data" xfId="963"/>
    <cellStyle name="_By Activity_CP_SUMMARY" xfId="964"/>
    <cellStyle name="_By Activity_CP_SUMMARY - DT" xfId="965"/>
    <cellStyle name="_By Activity_CP_SUMMARY_1" xfId="966"/>
    <cellStyle name="_By Activity_CP3" xfId="967"/>
    <cellStyle name="_By Activity_CP3_1" xfId="968"/>
    <cellStyle name="_By Activity_CP3_CP" xfId="969"/>
    <cellStyle name="_By Activity_CP3_CP 2" xfId="970"/>
    <cellStyle name="_By Activity_CP3_CP 2_1" xfId="971"/>
    <cellStyle name="_By Activity_CP3_CP_1" xfId="972"/>
    <cellStyle name="_By Activity_CP3_CP3" xfId="973"/>
    <cellStyle name="_By Activity_CP3_CP3_1" xfId="974"/>
    <cellStyle name="_By Activity_CP3_CPs" xfId="975"/>
    <cellStyle name="_By Activity_CP3_Data2" xfId="976"/>
    <cellStyle name="_By Activity_CP3_Graph Data" xfId="977"/>
    <cellStyle name="_By Activity_CP3_Graph Data_1" xfId="978"/>
    <cellStyle name="_By Activity_CP3_Graph Data_Graph Data" xfId="979"/>
    <cellStyle name="_By Activity_CP3_SUMMARY" xfId="980"/>
    <cellStyle name="_By Activity_CP3_SUMMARY - DT" xfId="981"/>
    <cellStyle name="_By Activity_CP3_SUMMARY_1" xfId="982"/>
    <cellStyle name="_By Activity_EXPENSE" xfId="983"/>
    <cellStyle name="_By Activity_Graph Data" xfId="984"/>
    <cellStyle name="_By Activity_Graph Data_1" xfId="985"/>
    <cellStyle name="_By Activity_Graph Data_1_CP" xfId="986"/>
    <cellStyle name="_By Activity_Graph Data_1_CP 2" xfId="987"/>
    <cellStyle name="_By Activity_Graph Data_1_CP 2_1" xfId="988"/>
    <cellStyle name="_By Activity_Graph Data_1_CP_1" xfId="989"/>
    <cellStyle name="_By Activity_Graph Data_1_CP3" xfId="990"/>
    <cellStyle name="_By Activity_Graph Data_1_CP3_1" xfId="991"/>
    <cellStyle name="_By Activity_Graph Data_1_CPs" xfId="992"/>
    <cellStyle name="_By Activity_Graph Data_1_Data2" xfId="993"/>
    <cellStyle name="_By Activity_Graph Data_1_Graph Data" xfId="994"/>
    <cellStyle name="_By Activity_Graph Data_1_Graph Data_1" xfId="995"/>
    <cellStyle name="_By Activity_Graph Data_1_Graph Data_Graph Data" xfId="996"/>
    <cellStyle name="_By Activity_Graph Data_1_SUMMARY" xfId="997"/>
    <cellStyle name="_By Activity_Graph Data_1_SUMMARY - DT" xfId="998"/>
    <cellStyle name="_By Activity_Graph Data_1_SUMMARY_1" xfId="999"/>
    <cellStyle name="_By Activity_Graph Data_2" xfId="1000"/>
    <cellStyle name="_By Activity_Graph Data_CP" xfId="1001"/>
    <cellStyle name="_By Activity_Graph Data_CP 2" xfId="1002"/>
    <cellStyle name="_By Activity_Graph Data_CP3" xfId="1003"/>
    <cellStyle name="_By Activity_Graph Data_CPs" xfId="1004"/>
    <cellStyle name="_By Activity_Graph Data_Data2" xfId="1005"/>
    <cellStyle name="_By Activity_Graph Data_EXPENSE" xfId="1006"/>
    <cellStyle name="_By Activity_Graph Data_Graph Data" xfId="1007"/>
    <cellStyle name="_By Activity_Graph Data_SALARY" xfId="1008"/>
    <cellStyle name="_By Activity_Graph Data_SUMMARY" xfId="1009"/>
    <cellStyle name="_By Activity_Graph Data_SUMMARY - DT" xfId="1010"/>
    <cellStyle name="_By Activity_Graph Data_SUMMARY_1" xfId="1011"/>
    <cellStyle name="_By Activity_IPD &amp; FAN (1)" xfId="1012"/>
    <cellStyle name="_By Activity_IPD &amp; FAN (1)_CP" xfId="1013"/>
    <cellStyle name="_By Activity_IPD &amp; FAN (1)_CP 2" xfId="1014"/>
    <cellStyle name="_By Activity_IPD &amp; FAN (1)_CP3" xfId="1015"/>
    <cellStyle name="_By Activity_IPD &amp; FAN (1)_CPs" xfId="1016"/>
    <cellStyle name="_By Activity_IPD &amp; FAN (1)_Data2" xfId="1017"/>
    <cellStyle name="_By Activity_IPD &amp; FAN (1)_Graph Data" xfId="1018"/>
    <cellStyle name="_By Activity_IPD &amp; FAN (1)_SUMMARY" xfId="1019"/>
    <cellStyle name="_By Activity_IPD &amp; FAN (1)_SUMMARY - DT" xfId="1020"/>
    <cellStyle name="_By Activity_IPD &amp; FAN (1)_SUMMARY_1" xfId="1021"/>
    <cellStyle name="_By Activity_IPD &amp; FAN (2)" xfId="1022"/>
    <cellStyle name="_By Activity_IPD &amp; FAN (2)_CP" xfId="1023"/>
    <cellStyle name="_By Activity_IPD &amp; FAN (2)_CP 2" xfId="1024"/>
    <cellStyle name="_By Activity_IPD &amp; FAN (2)_CP3" xfId="1025"/>
    <cellStyle name="_By Activity_IPD &amp; FAN (2)_CPs" xfId="1026"/>
    <cellStyle name="_By Activity_IPD &amp; FAN (2)_Data2" xfId="1027"/>
    <cellStyle name="_By Activity_IPD &amp; FAN (2)_Graph Data" xfId="1028"/>
    <cellStyle name="_By Activity_IPD &amp; FAN (2)_SUMMARY" xfId="1029"/>
    <cellStyle name="_By Activity_IPD &amp; FAN (2)_SUMMARY - DT" xfId="1030"/>
    <cellStyle name="_By Activity_IPD &amp; FAN (2)_SUMMARY_1" xfId="1031"/>
    <cellStyle name="_By Activity_P&amp;L" xfId="1032"/>
    <cellStyle name="_By Activity_P&amp;L - Global" xfId="1033"/>
    <cellStyle name="_By Activity_P&amp;L - Global_CP" xfId="1034"/>
    <cellStyle name="_By Activity_P&amp;L - Global_CP 2" xfId="1035"/>
    <cellStyle name="_By Activity_P&amp;L - Global_CP3" xfId="1036"/>
    <cellStyle name="_By Activity_P&amp;L - Global_CPs" xfId="1037"/>
    <cellStyle name="_By Activity_P&amp;L - Global_Data2" xfId="1038"/>
    <cellStyle name="_By Activity_P&amp;L - Global_Graph Data" xfId="1039"/>
    <cellStyle name="_By Activity_P&amp;L - Global_SUMMARY" xfId="1040"/>
    <cellStyle name="_By Activity_P&amp;L - Global_SUMMARY - DT" xfId="1041"/>
    <cellStyle name="_By Activity_P&amp;L - Global_SUMMARY_1" xfId="1042"/>
    <cellStyle name="_By Activity_P&amp;L - UK" xfId="1043"/>
    <cellStyle name="_By Activity_P&amp;L - UK_CP" xfId="1044"/>
    <cellStyle name="_By Activity_P&amp;L - UK_CP 2" xfId="1045"/>
    <cellStyle name="_By Activity_P&amp;L - UK_CP3" xfId="1046"/>
    <cellStyle name="_By Activity_P&amp;L - UK_CPs" xfId="1047"/>
    <cellStyle name="_By Activity_P&amp;L - UK_Data2" xfId="1048"/>
    <cellStyle name="_By Activity_P&amp;L - UK_Graph Data" xfId="1049"/>
    <cellStyle name="_By Activity_P&amp;L - UK_SUMMARY" xfId="1050"/>
    <cellStyle name="_By Activity_P&amp;L - UK_SUMMARY - DT" xfId="1051"/>
    <cellStyle name="_By Activity_P&amp;L - UK_SUMMARY_1" xfId="1052"/>
    <cellStyle name="_By Activity_P&amp;L_CP" xfId="1053"/>
    <cellStyle name="_By Activity_P&amp;L_CP 2" xfId="1054"/>
    <cellStyle name="_By Activity_P&amp;L_CP3" xfId="1055"/>
    <cellStyle name="_By Activity_P&amp;L_CPs" xfId="1056"/>
    <cellStyle name="_By Activity_P&amp;L_Data2" xfId="1057"/>
    <cellStyle name="_By Activity_P&amp;L_Graph Data" xfId="1058"/>
    <cellStyle name="_By Activity_P&amp;L_P&amp;L - Global" xfId="1059"/>
    <cellStyle name="_By Activity_P&amp;L_P&amp;L - Global_CP" xfId="1060"/>
    <cellStyle name="_By Activity_P&amp;L_P&amp;L - Global_CP 2" xfId="1061"/>
    <cellStyle name="_By Activity_P&amp;L_P&amp;L - Global_CP3" xfId="1062"/>
    <cellStyle name="_By Activity_P&amp;L_P&amp;L - Global_CPs" xfId="1063"/>
    <cellStyle name="_By Activity_P&amp;L_P&amp;L - Global_Data2" xfId="1064"/>
    <cellStyle name="_By Activity_P&amp;L_P&amp;L - Global_Graph Data" xfId="1065"/>
    <cellStyle name="_By Activity_P&amp;L_P&amp;L - Global_SUMMARY" xfId="1066"/>
    <cellStyle name="_By Activity_P&amp;L_P&amp;L - Global_SUMMARY - DT" xfId="1067"/>
    <cellStyle name="_By Activity_P&amp;L_P&amp;L - Global_SUMMARY_1" xfId="1068"/>
    <cellStyle name="_By Activity_P&amp;L_P&amp;L - UK" xfId="1069"/>
    <cellStyle name="_By Activity_P&amp;L_P&amp;L - UK_CP" xfId="1070"/>
    <cellStyle name="_By Activity_P&amp;L_P&amp;L - UK_CP 2" xfId="1071"/>
    <cellStyle name="_By Activity_P&amp;L_P&amp;L - UK_CP3" xfId="1072"/>
    <cellStyle name="_By Activity_P&amp;L_P&amp;L - UK_CPs" xfId="1073"/>
    <cellStyle name="_By Activity_P&amp;L_P&amp;L - UK_Data2" xfId="1074"/>
    <cellStyle name="_By Activity_P&amp;L_P&amp;L - UK_Graph Data" xfId="1075"/>
    <cellStyle name="_By Activity_P&amp;L_P&amp;L - UK_SUMMARY" xfId="1076"/>
    <cellStyle name="_By Activity_P&amp;L_P&amp;L - UK_SUMMARY - DT" xfId="1077"/>
    <cellStyle name="_By Activity_P&amp;L_P&amp;L - UK_SUMMARY_1" xfId="1078"/>
    <cellStyle name="_By Activity_P&amp;L_SUMMARY" xfId="1079"/>
    <cellStyle name="_By Activity_P&amp;L_SUMMARY - DT" xfId="1080"/>
    <cellStyle name="_By Activity_P&amp;L_SUMMARY_1" xfId="1081"/>
    <cellStyle name="_By Activity_Report" xfId="1082"/>
    <cellStyle name="_By Activity_SALARY" xfId="1083"/>
    <cellStyle name="_By Activity_Sheet2" xfId="1084"/>
    <cellStyle name="_By Activity_SUMMARY" xfId="1085"/>
    <cellStyle name="_By Activity_SUMMARY_1" xfId="1086"/>
    <cellStyle name="_By Activity_Summary_CP" xfId="1087"/>
    <cellStyle name="_By Activity_Summary_CP 2" xfId="1088"/>
    <cellStyle name="_By Activity_Summary_CP 2_1" xfId="1089"/>
    <cellStyle name="_By Activity_Summary_CP_1" xfId="1090"/>
    <cellStyle name="_By Activity_Summary_CP3" xfId="1091"/>
    <cellStyle name="_By Activity_Summary_CP3_1" xfId="1092"/>
    <cellStyle name="_By Activity_Summary_CPs" xfId="1093"/>
    <cellStyle name="_By Activity_Summary_Data2" xfId="1094"/>
    <cellStyle name="_By Activity_Summary_Graph Data" xfId="1095"/>
    <cellStyle name="_By Activity_Summary_Graph Data_1" xfId="1096"/>
    <cellStyle name="_By Activity_SUMMARY_Graph Data_Graph Data" xfId="1097"/>
    <cellStyle name="_By Activity_Summary_SUMMARY" xfId="1098"/>
    <cellStyle name="_By Activity_Summary_SUMMARY - DT" xfId="1099"/>
    <cellStyle name="_By Activity_Summary_SUMMARY_1" xfId="1100"/>
    <cellStyle name="_By Activity_WaterAid" xfId="1101"/>
    <cellStyle name="_By Activity_WaterAid_CP" xfId="1102"/>
    <cellStyle name="_By Activity_WaterAid_CP 2" xfId="1103"/>
    <cellStyle name="_By Activity_WaterAid_CP3" xfId="1104"/>
    <cellStyle name="_By Activity_WaterAid_CPs" xfId="1105"/>
    <cellStyle name="_By Activity_WaterAid_Data2" xfId="1106"/>
    <cellStyle name="_By Activity_WaterAid_Graph Data" xfId="1107"/>
    <cellStyle name="_By Activity_WaterAid_SUMMARY" xfId="1108"/>
    <cellStyle name="_By Activity_WaterAid_SUMMARY - DT" xfId="1109"/>
    <cellStyle name="_By Activity_WaterAid_SUMMARY_1" xfId="1110"/>
    <cellStyle name="_By Activity_Worldwide" xfId="1111"/>
    <cellStyle name="_By Activity_Worldwide_CP" xfId="1112"/>
    <cellStyle name="_By Activity_Worldwide_CP 2" xfId="1113"/>
    <cellStyle name="_By Activity_Worldwide_CP3" xfId="1114"/>
    <cellStyle name="_By Activity_Worldwide_CPs" xfId="1115"/>
    <cellStyle name="_By Activity_Worldwide_Data2" xfId="1116"/>
    <cellStyle name="_By Activity_Worldwide_Graph Data" xfId="1117"/>
    <cellStyle name="_By Activity_Worldwide_SUMMARY" xfId="1118"/>
    <cellStyle name="_By Activity_Worldwide_SUMMARY - DT" xfId="1119"/>
    <cellStyle name="_By Activity_Worldwide_SUMMARY_1" xfId="1120"/>
    <cellStyle name="_Check to Letter" xfId="1121"/>
    <cellStyle name="_Check to Letter_EXPENSE" xfId="1122"/>
    <cellStyle name="_Check to Letter_SALARY" xfId="1123"/>
    <cellStyle name="_Check to Letter_SUN DATA Imports" xfId="1124"/>
    <cellStyle name="_Check to Letter_SUN DATA Imports_EXPENSE" xfId="1125"/>
    <cellStyle name="_Check to Letter_SUN DATA Imports_SALARY" xfId="1126"/>
    <cellStyle name="_Comparison to MPB 2 Mar proj" xfId="1127"/>
    <cellStyle name="_Comparison to MPB 23 Mar proj" xfId="1128"/>
    <cellStyle name="_Contract Income Current Version" xfId="1129"/>
    <cellStyle name="_CP" xfId="1130"/>
    <cellStyle name="_CP 2" xfId="1131"/>
    <cellStyle name="_CP 2_CP" xfId="1132"/>
    <cellStyle name="_CP 2_CP 2" xfId="1133"/>
    <cellStyle name="_CP 2_CP 2_1" xfId="1134"/>
    <cellStyle name="_CP 2_CP 2_CP" xfId="1135"/>
    <cellStyle name="_CP 2_CP 2_CP 2" xfId="1136"/>
    <cellStyle name="_CP 2_CP 2_CP 2_1" xfId="1137"/>
    <cellStyle name="_CP 2_CP 2_CP_1" xfId="1138"/>
    <cellStyle name="_CP 2_CP 2_CP3" xfId="1139"/>
    <cellStyle name="_CP 2_CP 2_CP3_1" xfId="1140"/>
    <cellStyle name="_CP 2_CP 2_CPs" xfId="1141"/>
    <cellStyle name="_CP 2_CP 2_Data2" xfId="1142"/>
    <cellStyle name="_CP 2_CP 2_Graph Data" xfId="1143"/>
    <cellStyle name="_CP 2_CP 2_Graph Data_1" xfId="1144"/>
    <cellStyle name="_CP 2_CP 2_Graph Data_Graph Data" xfId="1145"/>
    <cellStyle name="_CP 2_CP 2_SUMMARY" xfId="1146"/>
    <cellStyle name="_CP 2_CP 2_SUMMARY - DT" xfId="1147"/>
    <cellStyle name="_CP 2_CP 2_SUMMARY_1" xfId="1148"/>
    <cellStyle name="_CP 2_CP_1" xfId="1149"/>
    <cellStyle name="_CP 2_CP_CP" xfId="1150"/>
    <cellStyle name="_CP 2_CP_CP 2" xfId="1151"/>
    <cellStyle name="_CP 2_CP_CP 2_1" xfId="1152"/>
    <cellStyle name="_CP 2_CP_CP_1" xfId="1153"/>
    <cellStyle name="_CP 2_CP_CP3" xfId="1154"/>
    <cellStyle name="_CP 2_CP_CP3_1" xfId="1155"/>
    <cellStyle name="_CP 2_CP_CPs" xfId="1156"/>
    <cellStyle name="_CP 2_CP_Data2" xfId="1157"/>
    <cellStyle name="_CP 2_CP_Graph Data" xfId="1158"/>
    <cellStyle name="_CP 2_CP_Graph Data_1" xfId="1159"/>
    <cellStyle name="_CP 2_CP_Graph Data_Graph Data" xfId="1160"/>
    <cellStyle name="_CP 2_CP_SUMMARY" xfId="1161"/>
    <cellStyle name="_CP 2_CP_SUMMARY - DT" xfId="1162"/>
    <cellStyle name="_CP 2_CP_SUMMARY_1" xfId="1163"/>
    <cellStyle name="_CP 2_CP3" xfId="1164"/>
    <cellStyle name="_CP 2_CP3_1" xfId="1165"/>
    <cellStyle name="_CP 2_CP3_CP" xfId="1166"/>
    <cellStyle name="_CP 2_CP3_CP 2" xfId="1167"/>
    <cellStyle name="_CP 2_CP3_CP 2_1" xfId="1168"/>
    <cellStyle name="_CP 2_CP3_CP_1" xfId="1169"/>
    <cellStyle name="_CP 2_CP3_CP3" xfId="1170"/>
    <cellStyle name="_CP 2_CP3_CP3_1" xfId="1171"/>
    <cellStyle name="_CP 2_CP3_CPs" xfId="1172"/>
    <cellStyle name="_CP 2_CP3_Data2" xfId="1173"/>
    <cellStyle name="_CP 2_CP3_Graph Data" xfId="1174"/>
    <cellStyle name="_CP 2_CP3_Graph Data_1" xfId="1175"/>
    <cellStyle name="_CP 2_CP3_Graph Data_Graph Data" xfId="1176"/>
    <cellStyle name="_CP 2_CP3_SUMMARY" xfId="1177"/>
    <cellStyle name="_CP 2_CP3_SUMMARY - DT" xfId="1178"/>
    <cellStyle name="_CP 2_CP3_SUMMARY_1" xfId="1179"/>
    <cellStyle name="_CP 2_EXPENSE" xfId="1180"/>
    <cellStyle name="_CP 2_Graph Data" xfId="1181"/>
    <cellStyle name="_CP 2_Graph Data_1" xfId="1182"/>
    <cellStyle name="_CP 2_Graph Data_1_CP" xfId="1183"/>
    <cellStyle name="_CP 2_Graph Data_1_CP 2" xfId="1184"/>
    <cellStyle name="_CP 2_Graph Data_1_CP 2_1" xfId="1185"/>
    <cellStyle name="_CP 2_Graph Data_1_CP_1" xfId="1186"/>
    <cellStyle name="_CP 2_Graph Data_1_CP3" xfId="1187"/>
    <cellStyle name="_CP 2_Graph Data_1_CP3_1" xfId="1188"/>
    <cellStyle name="_CP 2_Graph Data_1_CPs" xfId="1189"/>
    <cellStyle name="_CP 2_Graph Data_1_Data2" xfId="1190"/>
    <cellStyle name="_CP 2_Graph Data_1_Graph Data" xfId="1191"/>
    <cellStyle name="_CP 2_Graph Data_1_Graph Data_1" xfId="1192"/>
    <cellStyle name="_CP 2_Graph Data_1_Graph Data_Graph Data" xfId="1193"/>
    <cellStyle name="_CP 2_Graph Data_1_SUMMARY" xfId="1194"/>
    <cellStyle name="_CP 2_Graph Data_1_SUMMARY - DT" xfId="1195"/>
    <cellStyle name="_CP 2_Graph Data_1_SUMMARY_1" xfId="1196"/>
    <cellStyle name="_CP 2_Graph Data_2" xfId="1197"/>
    <cellStyle name="_CP 2_Graph Data_CP" xfId="1198"/>
    <cellStyle name="_CP 2_Graph Data_CP 2" xfId="1199"/>
    <cellStyle name="_CP 2_Graph Data_CP3" xfId="1200"/>
    <cellStyle name="_CP 2_Graph Data_CPs" xfId="1201"/>
    <cellStyle name="_CP 2_Graph Data_Data2" xfId="1202"/>
    <cellStyle name="_CP 2_Graph Data_EXPENSE" xfId="1203"/>
    <cellStyle name="_CP 2_Graph Data_Graph Data" xfId="1204"/>
    <cellStyle name="_CP 2_Graph Data_SALARY" xfId="1205"/>
    <cellStyle name="_CP 2_Graph Data_SUMMARY" xfId="1206"/>
    <cellStyle name="_CP 2_Graph Data_SUMMARY - DT" xfId="1207"/>
    <cellStyle name="_CP 2_Graph Data_SUMMARY_1" xfId="1208"/>
    <cellStyle name="_CP 2_P&amp;L - UK" xfId="1209"/>
    <cellStyle name="_CP 2_P&amp;L - UK_CP" xfId="1210"/>
    <cellStyle name="_CP 2_P&amp;L - UK_CP 2" xfId="1211"/>
    <cellStyle name="_CP 2_P&amp;L - UK_CP3" xfId="1212"/>
    <cellStyle name="_CP 2_P&amp;L - UK_CPs" xfId="1213"/>
    <cellStyle name="_CP 2_P&amp;L - UK_Data2" xfId="1214"/>
    <cellStyle name="_CP 2_P&amp;L - UK_Graph Data" xfId="1215"/>
    <cellStyle name="_CP 2_P&amp;L - UK_SUMMARY" xfId="1216"/>
    <cellStyle name="_CP 2_P&amp;L - UK_SUMMARY - DT" xfId="1217"/>
    <cellStyle name="_CP 2_P&amp;L - UK_SUMMARY_1" xfId="1218"/>
    <cellStyle name="_CP 2_SALARY" xfId="1219"/>
    <cellStyle name="_CP 2_SUMMARY" xfId="1220"/>
    <cellStyle name="_CP 2_SUMMARY_1" xfId="1221"/>
    <cellStyle name="_CP 2_SUMMARY_CP" xfId="1222"/>
    <cellStyle name="_CP 2_SUMMARY_CP 2" xfId="1223"/>
    <cellStyle name="_CP 2_SUMMARY_CP 2_1" xfId="1224"/>
    <cellStyle name="_CP 2_SUMMARY_CP_1" xfId="1225"/>
    <cellStyle name="_CP 2_SUMMARY_CP3" xfId="1226"/>
    <cellStyle name="_CP 2_SUMMARY_CP3_1" xfId="1227"/>
    <cellStyle name="_CP 2_SUMMARY_CPs" xfId="1228"/>
    <cellStyle name="_CP 2_SUMMARY_Data2" xfId="1229"/>
    <cellStyle name="_CP 2_SUMMARY_Graph Data" xfId="1230"/>
    <cellStyle name="_CP 2_SUMMARY_Graph Data_1" xfId="1231"/>
    <cellStyle name="_CP 2_SUMMARY_Graph Data_Graph Data" xfId="1232"/>
    <cellStyle name="_CP 2_SUMMARY_SUMMARY" xfId="1233"/>
    <cellStyle name="_CP 2_SUMMARY_SUMMARY - DT" xfId="1234"/>
    <cellStyle name="_CP 2_SUMMARY_SUMMARY_1" xfId="1235"/>
    <cellStyle name="_CP 2_WaterAid" xfId="1236"/>
    <cellStyle name="_CP 2_WaterAid_CP" xfId="1237"/>
    <cellStyle name="_CP 2_WaterAid_CP 2" xfId="1238"/>
    <cellStyle name="_CP 2_WaterAid_CP3" xfId="1239"/>
    <cellStyle name="_CP 2_WaterAid_CPs" xfId="1240"/>
    <cellStyle name="_CP 2_WaterAid_Data2" xfId="1241"/>
    <cellStyle name="_CP 2_WaterAid_Graph Data" xfId="1242"/>
    <cellStyle name="_CP 2_WaterAid_SUMMARY" xfId="1243"/>
    <cellStyle name="_CP 2_WaterAid_SUMMARY - DT" xfId="1244"/>
    <cellStyle name="_CP 2_WaterAid_SUMMARY_1" xfId="1245"/>
    <cellStyle name="_CP_CP" xfId="1246"/>
    <cellStyle name="_CP_CP 2" xfId="1247"/>
    <cellStyle name="_CP_CP 2_1" xfId="1248"/>
    <cellStyle name="_CP_CP 2_CP" xfId="1249"/>
    <cellStyle name="_CP_CP 2_CP 2" xfId="1250"/>
    <cellStyle name="_CP_CP 2_CP 2_1" xfId="1251"/>
    <cellStyle name="_CP_CP 2_CP_1" xfId="1252"/>
    <cellStyle name="_CP_CP 2_CP3" xfId="1253"/>
    <cellStyle name="_CP_CP 2_CP3_1" xfId="1254"/>
    <cellStyle name="_CP_CP 2_CPs" xfId="1255"/>
    <cellStyle name="_CP_CP 2_Data2" xfId="1256"/>
    <cellStyle name="_CP_CP 2_Graph Data" xfId="1257"/>
    <cellStyle name="_CP_CP 2_Graph Data_1" xfId="1258"/>
    <cellStyle name="_CP_CP 2_Graph Data_Graph Data" xfId="1259"/>
    <cellStyle name="_CP_CP 2_SUMMARY" xfId="1260"/>
    <cellStyle name="_CP_CP 2_SUMMARY - DT" xfId="1261"/>
    <cellStyle name="_CP_CP 2_SUMMARY_1" xfId="1262"/>
    <cellStyle name="_CP_CP_1" xfId="1263"/>
    <cellStyle name="_CP_CP_CP" xfId="1264"/>
    <cellStyle name="_CP_CP_CP 2" xfId="1265"/>
    <cellStyle name="_CP_CP_CP 2_1" xfId="1266"/>
    <cellStyle name="_CP_CP_CP_1" xfId="1267"/>
    <cellStyle name="_CP_CP_CP3" xfId="1268"/>
    <cellStyle name="_CP_CP_CP3_1" xfId="1269"/>
    <cellStyle name="_CP_CP_CPs" xfId="1270"/>
    <cellStyle name="_CP_CP_Data2" xfId="1271"/>
    <cellStyle name="_CP_CP_Graph Data" xfId="1272"/>
    <cellStyle name="_CP_CP_Graph Data_1" xfId="1273"/>
    <cellStyle name="_CP_CP_Graph Data_Graph Data" xfId="1274"/>
    <cellStyle name="_CP_CP_SUMMARY" xfId="1275"/>
    <cellStyle name="_CP_CP_SUMMARY - DT" xfId="1276"/>
    <cellStyle name="_CP_CP_SUMMARY_1" xfId="1277"/>
    <cellStyle name="_CP_CP3" xfId="1278"/>
    <cellStyle name="_CP_CP3_1" xfId="1279"/>
    <cellStyle name="_CP_CP3_CP" xfId="1280"/>
    <cellStyle name="_CP_CP3_CP 2" xfId="1281"/>
    <cellStyle name="_CP_CP3_CP 2_1" xfId="1282"/>
    <cellStyle name="_CP_CP3_CP_1" xfId="1283"/>
    <cellStyle name="_CP_CP3_CP3" xfId="1284"/>
    <cellStyle name="_CP_CP3_CP3_1" xfId="1285"/>
    <cellStyle name="_CP_CP3_CPs" xfId="1286"/>
    <cellStyle name="_CP_CP3_Data2" xfId="1287"/>
    <cellStyle name="_CP_CP3_Graph Data" xfId="1288"/>
    <cellStyle name="_CP_CP3_Graph Data_1" xfId="1289"/>
    <cellStyle name="_CP_CP3_Graph Data_Graph Data" xfId="1290"/>
    <cellStyle name="_CP_CP3_SUMMARY" xfId="1291"/>
    <cellStyle name="_CP_CP3_SUMMARY - DT" xfId="1292"/>
    <cellStyle name="_CP_CP3_SUMMARY_1" xfId="1293"/>
    <cellStyle name="_CP_EXPENSE" xfId="1294"/>
    <cellStyle name="_CP_Graph Data" xfId="1295"/>
    <cellStyle name="_CP_Graph Data_1" xfId="1296"/>
    <cellStyle name="_CP_Graph Data_1_CP" xfId="1297"/>
    <cellStyle name="_CP_Graph Data_1_CP 2" xfId="1298"/>
    <cellStyle name="_CP_Graph Data_1_CP 2_1" xfId="1299"/>
    <cellStyle name="_CP_Graph Data_1_CP_1" xfId="1300"/>
    <cellStyle name="_CP_Graph Data_1_CP3" xfId="1301"/>
    <cellStyle name="_CP_Graph Data_1_CP3_1" xfId="1302"/>
    <cellStyle name="_CP_Graph Data_1_CPs" xfId="1303"/>
    <cellStyle name="_CP_Graph Data_1_Data2" xfId="1304"/>
    <cellStyle name="_CP_Graph Data_1_Graph Data" xfId="1305"/>
    <cellStyle name="_CP_Graph Data_1_Graph Data_1" xfId="1306"/>
    <cellStyle name="_CP_Graph Data_1_Graph Data_Graph Data" xfId="1307"/>
    <cellStyle name="_CP_Graph Data_1_SUMMARY" xfId="1308"/>
    <cellStyle name="_CP_Graph Data_1_SUMMARY - DT" xfId="1309"/>
    <cellStyle name="_CP_Graph Data_1_SUMMARY_1" xfId="1310"/>
    <cellStyle name="_CP_Graph Data_2" xfId="1311"/>
    <cellStyle name="_CP_Graph Data_CP" xfId="1312"/>
    <cellStyle name="_CP_Graph Data_CP 2" xfId="1313"/>
    <cellStyle name="_CP_Graph Data_CP3" xfId="1314"/>
    <cellStyle name="_CP_Graph Data_CPs" xfId="1315"/>
    <cellStyle name="_CP_Graph Data_Data2" xfId="1316"/>
    <cellStyle name="_CP_Graph Data_EXPENSE" xfId="1317"/>
    <cellStyle name="_CP_Graph Data_Graph Data" xfId="1318"/>
    <cellStyle name="_CP_Graph Data_SALARY" xfId="1319"/>
    <cellStyle name="_CP_Graph Data_SUMMARY" xfId="1320"/>
    <cellStyle name="_CP_Graph Data_SUMMARY - DT" xfId="1321"/>
    <cellStyle name="_CP_Graph Data_SUMMARY_1" xfId="1322"/>
    <cellStyle name="_CP_P&amp;L - UK" xfId="1323"/>
    <cellStyle name="_CP_P&amp;L - UK_CP" xfId="1324"/>
    <cellStyle name="_CP_P&amp;L - UK_CP 2" xfId="1325"/>
    <cellStyle name="_CP_P&amp;L - UK_CP3" xfId="1326"/>
    <cellStyle name="_CP_P&amp;L - UK_CPs" xfId="1327"/>
    <cellStyle name="_CP_P&amp;L - UK_Data2" xfId="1328"/>
    <cellStyle name="_CP_P&amp;L - UK_Graph Data" xfId="1329"/>
    <cellStyle name="_CP_P&amp;L - UK_SUMMARY" xfId="1330"/>
    <cellStyle name="_CP_P&amp;L - UK_SUMMARY - DT" xfId="1331"/>
    <cellStyle name="_CP_P&amp;L - UK_SUMMARY_1" xfId="1332"/>
    <cellStyle name="_CP_SALARY" xfId="1333"/>
    <cellStyle name="_CP_SUMMARY" xfId="1334"/>
    <cellStyle name="_CP_SUMMARY_1" xfId="1335"/>
    <cellStyle name="_CP_SUMMARY_CP" xfId="1336"/>
    <cellStyle name="_CP_SUMMARY_CP 2" xfId="1337"/>
    <cellStyle name="_CP_SUMMARY_CP 2_1" xfId="1338"/>
    <cellStyle name="_CP_SUMMARY_CP_1" xfId="1339"/>
    <cellStyle name="_CP_SUMMARY_CP3" xfId="1340"/>
    <cellStyle name="_CP_SUMMARY_CP3_1" xfId="1341"/>
    <cellStyle name="_CP_SUMMARY_CPs" xfId="1342"/>
    <cellStyle name="_CP_SUMMARY_Data2" xfId="1343"/>
    <cellStyle name="_CP_SUMMARY_Graph Data" xfId="1344"/>
    <cellStyle name="_CP_SUMMARY_Graph Data_1" xfId="1345"/>
    <cellStyle name="_CP_SUMMARY_Graph Data_Graph Data" xfId="1346"/>
    <cellStyle name="_CP_SUMMARY_SUMMARY" xfId="1347"/>
    <cellStyle name="_CP_SUMMARY_SUMMARY - DT" xfId="1348"/>
    <cellStyle name="_CP_SUMMARY_SUMMARY_1" xfId="1349"/>
    <cellStyle name="_CP_WaterAid" xfId="1350"/>
    <cellStyle name="_CP_WaterAid_CP" xfId="1351"/>
    <cellStyle name="_CP_WaterAid_CP 2" xfId="1352"/>
    <cellStyle name="_CP_WaterAid_CP3" xfId="1353"/>
    <cellStyle name="_CP_WaterAid_CPs" xfId="1354"/>
    <cellStyle name="_CP_WaterAid_Data2" xfId="1355"/>
    <cellStyle name="_CP_WaterAid_Graph Data" xfId="1356"/>
    <cellStyle name="_CP_WaterAid_SUMMARY" xfId="1357"/>
    <cellStyle name="_CP_WaterAid_SUMMARY - DT" xfId="1358"/>
    <cellStyle name="_CP_WaterAid_SUMMARY_1" xfId="1359"/>
    <cellStyle name="_CP3" xfId="1360"/>
    <cellStyle name="_CP3_CP" xfId="1361"/>
    <cellStyle name="_CP3_CP 2" xfId="1362"/>
    <cellStyle name="_CP3_CP 2_CP" xfId="1363"/>
    <cellStyle name="_CP3_CP 2_CP 2" xfId="1364"/>
    <cellStyle name="_CP3_CP 2_CP3" xfId="1365"/>
    <cellStyle name="_CP3_CP 2_CPs" xfId="1366"/>
    <cellStyle name="_CP3_CP 2_Data2" xfId="1367"/>
    <cellStyle name="_CP3_CP 2_Graph Data" xfId="1368"/>
    <cellStyle name="_CP3_CP 2_SUMMARY" xfId="1369"/>
    <cellStyle name="_CP3_CP 2_SUMMARY - DT" xfId="1370"/>
    <cellStyle name="_CP3_CP 2_SUMMARY_1" xfId="1371"/>
    <cellStyle name="_CP3_CP_CP" xfId="1372"/>
    <cellStyle name="_CP3_CP_CP 2" xfId="1373"/>
    <cellStyle name="_CP3_CP_CP3" xfId="1374"/>
    <cellStyle name="_CP3_CP_CPs" xfId="1375"/>
    <cellStyle name="_CP3_CP_Data2" xfId="1376"/>
    <cellStyle name="_CP3_CP_Graph Data" xfId="1377"/>
    <cellStyle name="_CP3_CP_SUMMARY" xfId="1378"/>
    <cellStyle name="_CP3_CP_SUMMARY - DT" xfId="1379"/>
    <cellStyle name="_CP3_CP_SUMMARY_1" xfId="1380"/>
    <cellStyle name="_CP3_CP3" xfId="1381"/>
    <cellStyle name="_CP3_CP3_CP" xfId="1382"/>
    <cellStyle name="_CP3_CP3_CP 2" xfId="1383"/>
    <cellStyle name="_CP3_CP3_CP3" xfId="1384"/>
    <cellStyle name="_CP3_CP3_CPs" xfId="1385"/>
    <cellStyle name="_CP3_CP3_Data2" xfId="1386"/>
    <cellStyle name="_CP3_CP3_Graph Data" xfId="1387"/>
    <cellStyle name="_CP3_CP3_SUMMARY" xfId="1388"/>
    <cellStyle name="_CP3_CP3_SUMMARY - DT" xfId="1389"/>
    <cellStyle name="_CP3_CP3_SUMMARY_1" xfId="1390"/>
    <cellStyle name="_CP3_CPs" xfId="1391"/>
    <cellStyle name="_CP3_EXPENSE" xfId="1392"/>
    <cellStyle name="_CP3_Graph Data" xfId="1393"/>
    <cellStyle name="_CP3_Graph Data_1" xfId="1394"/>
    <cellStyle name="_CP3_Graph Data_CP" xfId="1395"/>
    <cellStyle name="_CP3_Graph Data_CP 2" xfId="1396"/>
    <cellStyle name="_CP3_Graph Data_CP3" xfId="1397"/>
    <cellStyle name="_CP3_Graph Data_CPs" xfId="1398"/>
    <cellStyle name="_CP3_Graph Data_Data2" xfId="1399"/>
    <cellStyle name="_CP3_Graph Data_Graph Data" xfId="1400"/>
    <cellStyle name="_CP3_Graph Data_SUMMARY" xfId="1401"/>
    <cellStyle name="_CP3_Graph Data_SUMMARY - DT" xfId="1402"/>
    <cellStyle name="_CP3_Graph Data_SUMMARY_1" xfId="1403"/>
    <cellStyle name="_CP3_P&amp;L - Global" xfId="1404"/>
    <cellStyle name="_CP3_P&amp;L - Global_CP" xfId="1405"/>
    <cellStyle name="_CP3_P&amp;L - Global_CP 2" xfId="1406"/>
    <cellStyle name="_CP3_P&amp;L - Global_CP3" xfId="1407"/>
    <cellStyle name="_CP3_P&amp;L - Global_CPs" xfId="1408"/>
    <cellStyle name="_CP3_P&amp;L - Global_Data2" xfId="1409"/>
    <cellStyle name="_CP3_P&amp;L - Global_Graph Data" xfId="1410"/>
    <cellStyle name="_CP3_P&amp;L - Global_SUMMARY" xfId="1411"/>
    <cellStyle name="_CP3_P&amp;L - Global_SUMMARY - DT" xfId="1412"/>
    <cellStyle name="_CP3_P&amp;L - Global_SUMMARY_1" xfId="1413"/>
    <cellStyle name="_CP3_SALARY" xfId="1414"/>
    <cellStyle name="_CP3_Sheet1" xfId="1415"/>
    <cellStyle name="_CP3_Sheet1_CP" xfId="1416"/>
    <cellStyle name="_CP3_Sheet1_CP 2" xfId="1417"/>
    <cellStyle name="_CP3_Sheet1_CP3" xfId="1418"/>
    <cellStyle name="_CP3_Sheet1_CPs" xfId="1419"/>
    <cellStyle name="_CP3_Sheet1_Data2" xfId="1420"/>
    <cellStyle name="_CP3_Sheet1_Graph Data" xfId="1421"/>
    <cellStyle name="_CP3_Sheet1_SUMMARY" xfId="1422"/>
    <cellStyle name="_CP3_Sheet1_SUMMARY - DT" xfId="1423"/>
    <cellStyle name="_CP3_Sheet1_SUMMARY_1" xfId="1424"/>
    <cellStyle name="_CP3_Sheet2" xfId="1425"/>
    <cellStyle name="_CP3_Sheet2_CP" xfId="1426"/>
    <cellStyle name="_CP3_Sheet2_CP 2" xfId="1427"/>
    <cellStyle name="_CP3_Sheet2_CP3" xfId="1428"/>
    <cellStyle name="_CP3_Sheet2_CPs" xfId="1429"/>
    <cellStyle name="_CP3_Sheet2_Data2" xfId="1430"/>
    <cellStyle name="_CP3_Sheet2_Graph Data" xfId="1431"/>
    <cellStyle name="_CP3_Sheet2_SUMMARY" xfId="1432"/>
    <cellStyle name="_CP3_Sheet2_SUMMARY - DT" xfId="1433"/>
    <cellStyle name="_CP3_Sheet2_SUMMARY_1" xfId="1434"/>
    <cellStyle name="_CP3_SUMMARY" xfId="1435"/>
    <cellStyle name="_CP3_SUMMARY_1" xfId="1436"/>
    <cellStyle name="_CP3_SUMMARY_2" xfId="1437"/>
    <cellStyle name="_CP3_SUMMARY_CP" xfId="1438"/>
    <cellStyle name="_CP3_SUMMARY_CP 2" xfId="1439"/>
    <cellStyle name="_CP3_SUMMARY_CP3" xfId="1440"/>
    <cellStyle name="_CP3_SUMMARY_CPs" xfId="1441"/>
    <cellStyle name="_CP3_SUMMARY_Data2" xfId="1442"/>
    <cellStyle name="_CP3_SUMMARY_Graph Data" xfId="1443"/>
    <cellStyle name="_CP3_SUMMARY_SUMMARY" xfId="1444"/>
    <cellStyle name="_CP3_SUMMARY_SUMMARY - DT" xfId="1445"/>
    <cellStyle name="_CP3_SUMMARY_SUMMARY_1" xfId="1446"/>
    <cellStyle name="_CPs (2)" xfId="1447"/>
    <cellStyle name="_Donor Setup" xfId="1448"/>
    <cellStyle name="_FAN" xfId="1449"/>
    <cellStyle name="_FAN Budget Workings" xfId="1450"/>
    <cellStyle name="_FAN Grants to Partners Budget Breakdown PLANNED v2" xfId="1451"/>
    <cellStyle name="_FAN Management Accounts Aug 09 Workings" xfId="1452"/>
    <cellStyle name="_FINANCE USE ONLY - MEMO" xfId="1453"/>
    <cellStyle name="_GH 10-11" xfId="1454"/>
    <cellStyle name="_GH 11-12" xfId="1455"/>
    <cellStyle name="_Grant receipts" xfId="1456"/>
    <cellStyle name="_Grants to Partners Budget Breakdown" xfId="1457"/>
    <cellStyle name="_Graph Data" xfId="1458"/>
    <cellStyle name="_Graph Data_CP" xfId="1459"/>
    <cellStyle name="_Graph Data_CP 2" xfId="1460"/>
    <cellStyle name="_Graph Data_CP 2_1" xfId="1461"/>
    <cellStyle name="_Graph Data_CP 2_CP" xfId="1462"/>
    <cellStyle name="_Graph Data_CP 2_CP 2" xfId="1463"/>
    <cellStyle name="_Graph Data_CP 2_CP 2_1" xfId="1464"/>
    <cellStyle name="_Graph Data_CP 2_CP_1" xfId="1465"/>
    <cellStyle name="_Graph Data_CP 2_CP3" xfId="1466"/>
    <cellStyle name="_Graph Data_CP 2_CP3_1" xfId="1467"/>
    <cellStyle name="_Graph Data_CP 2_CPs" xfId="1468"/>
    <cellStyle name="_Graph Data_CP 2_Data2" xfId="1469"/>
    <cellStyle name="_Graph Data_CP 2_Graph Data" xfId="1470"/>
    <cellStyle name="_Graph Data_CP 2_Graph Data_1" xfId="1471"/>
    <cellStyle name="_Graph Data_CP 2_Graph Data_Graph Data" xfId="1472"/>
    <cellStyle name="_Graph Data_CP 2_SUMMARY" xfId="1473"/>
    <cellStyle name="_Graph Data_CP 2_SUMMARY - DT" xfId="1474"/>
    <cellStyle name="_Graph Data_CP 2_SUMMARY_1" xfId="1475"/>
    <cellStyle name="_Graph Data_CP_1" xfId="1476"/>
    <cellStyle name="_Graph Data_CP_CP" xfId="1477"/>
    <cellStyle name="_Graph Data_CP_CP 2" xfId="1478"/>
    <cellStyle name="_Graph Data_CP_CP 2_1" xfId="1479"/>
    <cellStyle name="_Graph Data_CP_CP_1" xfId="1480"/>
    <cellStyle name="_Graph Data_CP_CP3" xfId="1481"/>
    <cellStyle name="_Graph Data_CP_CP3_1" xfId="1482"/>
    <cellStyle name="_Graph Data_CP_CPs" xfId="1483"/>
    <cellStyle name="_Graph Data_CP_Data2" xfId="1484"/>
    <cellStyle name="_Graph Data_CP_Graph Data" xfId="1485"/>
    <cellStyle name="_Graph Data_CP_Graph Data_1" xfId="1486"/>
    <cellStyle name="_Graph Data_CP_Graph Data_Graph Data" xfId="1487"/>
    <cellStyle name="_Graph Data_CP_SUMMARY" xfId="1488"/>
    <cellStyle name="_Graph Data_CP_SUMMARY - DT" xfId="1489"/>
    <cellStyle name="_Graph Data_CP_SUMMARY_1" xfId="1490"/>
    <cellStyle name="_Graph Data_CP3" xfId="1491"/>
    <cellStyle name="_Graph Data_CP3_1" xfId="1492"/>
    <cellStyle name="_Graph Data_CP3_CP" xfId="1493"/>
    <cellStyle name="_Graph Data_CP3_CP 2" xfId="1494"/>
    <cellStyle name="_Graph Data_CP3_CP 2_1" xfId="1495"/>
    <cellStyle name="_Graph Data_CP3_CP_1" xfId="1496"/>
    <cellStyle name="_Graph Data_CP3_CP3" xfId="1497"/>
    <cellStyle name="_Graph Data_CP3_CP3_1" xfId="1498"/>
    <cellStyle name="_Graph Data_CP3_CPs" xfId="1499"/>
    <cellStyle name="_Graph Data_CP3_Data2" xfId="1500"/>
    <cellStyle name="_Graph Data_CP3_Graph Data" xfId="1501"/>
    <cellStyle name="_Graph Data_CP3_Graph Data_1" xfId="1502"/>
    <cellStyle name="_Graph Data_CP3_Graph Data_Graph Data" xfId="1503"/>
    <cellStyle name="_Graph Data_CP3_SUMMARY" xfId="1504"/>
    <cellStyle name="_Graph Data_CP3_SUMMARY - DT" xfId="1505"/>
    <cellStyle name="_Graph Data_CP3_SUMMARY_1" xfId="1506"/>
    <cellStyle name="_Graph Data_EXPENSE" xfId="1507"/>
    <cellStyle name="_Graph Data_Graph Data" xfId="1508"/>
    <cellStyle name="_Graph Data_Graph Data_1" xfId="1509"/>
    <cellStyle name="_Graph Data_Graph Data_1_CP" xfId="1510"/>
    <cellStyle name="_Graph Data_Graph Data_1_CP 2" xfId="1511"/>
    <cellStyle name="_Graph Data_Graph Data_1_CP 2_1" xfId="1512"/>
    <cellStyle name="_Graph Data_Graph Data_1_CP_1" xfId="1513"/>
    <cellStyle name="_Graph Data_Graph Data_1_CP3" xfId="1514"/>
    <cellStyle name="_Graph Data_Graph Data_1_CP3_1" xfId="1515"/>
    <cellStyle name="_Graph Data_Graph Data_1_CPs" xfId="1516"/>
    <cellStyle name="_Graph Data_Graph Data_1_Data2" xfId="1517"/>
    <cellStyle name="_Graph Data_Graph Data_1_Graph Data" xfId="1518"/>
    <cellStyle name="_Graph Data_Graph Data_1_Graph Data_1" xfId="1519"/>
    <cellStyle name="_Graph Data_Graph Data_1_Graph Data_Graph Data" xfId="1520"/>
    <cellStyle name="_Graph Data_Graph Data_1_SUMMARY" xfId="1521"/>
    <cellStyle name="_Graph Data_Graph Data_1_SUMMARY - DT" xfId="1522"/>
    <cellStyle name="_Graph Data_Graph Data_1_SUMMARY_1" xfId="1523"/>
    <cellStyle name="_Graph Data_Graph Data_2" xfId="1524"/>
    <cellStyle name="_Graph Data_Graph Data_CP" xfId="1525"/>
    <cellStyle name="_Graph Data_Graph Data_CP 2" xfId="1526"/>
    <cellStyle name="_Graph Data_Graph Data_CP3" xfId="1527"/>
    <cellStyle name="_Graph Data_Graph Data_CPs" xfId="1528"/>
    <cellStyle name="_Graph Data_Graph Data_Data2" xfId="1529"/>
    <cellStyle name="_Graph Data_Graph Data_EXPENSE" xfId="1530"/>
    <cellStyle name="_Graph Data_Graph Data_Graph Data" xfId="1531"/>
    <cellStyle name="_Graph Data_Graph Data_SALARY" xfId="1532"/>
    <cellStyle name="_Graph Data_Graph Data_SUMMARY" xfId="1533"/>
    <cellStyle name="_Graph Data_Graph Data_SUMMARY - DT" xfId="1534"/>
    <cellStyle name="_Graph Data_Graph Data_SUMMARY_1" xfId="1535"/>
    <cellStyle name="_Graph Data_P&amp;L - UK" xfId="1536"/>
    <cellStyle name="_Graph Data_P&amp;L - UK_CP" xfId="1537"/>
    <cellStyle name="_Graph Data_P&amp;L - UK_CP 2" xfId="1538"/>
    <cellStyle name="_Graph Data_P&amp;L - UK_CP3" xfId="1539"/>
    <cellStyle name="_Graph Data_P&amp;L - UK_CPs" xfId="1540"/>
    <cellStyle name="_Graph Data_P&amp;L - UK_Data2" xfId="1541"/>
    <cellStyle name="_Graph Data_P&amp;L - UK_Graph Data" xfId="1542"/>
    <cellStyle name="_Graph Data_P&amp;L - UK_SUMMARY" xfId="1543"/>
    <cellStyle name="_Graph Data_P&amp;L - UK_SUMMARY - DT" xfId="1544"/>
    <cellStyle name="_Graph Data_P&amp;L - UK_SUMMARY_1" xfId="1545"/>
    <cellStyle name="_Graph Data_SALARY" xfId="1546"/>
    <cellStyle name="_Graph Data_SUMMARY" xfId="1547"/>
    <cellStyle name="_Graph Data_SUMMARY_1" xfId="1548"/>
    <cellStyle name="_Graph Data_SUMMARY_CP" xfId="1549"/>
    <cellStyle name="_Graph Data_SUMMARY_CP 2" xfId="1550"/>
    <cellStyle name="_Graph Data_SUMMARY_CP 2_1" xfId="1551"/>
    <cellStyle name="_Graph Data_SUMMARY_CP_1" xfId="1552"/>
    <cellStyle name="_Graph Data_SUMMARY_CP3" xfId="1553"/>
    <cellStyle name="_Graph Data_SUMMARY_CP3_1" xfId="1554"/>
    <cellStyle name="_Graph Data_SUMMARY_CPs" xfId="1555"/>
    <cellStyle name="_Graph Data_SUMMARY_Data2" xfId="1556"/>
    <cellStyle name="_Graph Data_SUMMARY_Graph Data" xfId="1557"/>
    <cellStyle name="_Graph Data_SUMMARY_Graph Data_1" xfId="1558"/>
    <cellStyle name="_Graph Data_SUMMARY_Graph Data_Graph Data" xfId="1559"/>
    <cellStyle name="_Graph Data_SUMMARY_SUMMARY" xfId="1560"/>
    <cellStyle name="_Graph Data_SUMMARY_SUMMARY - DT" xfId="1561"/>
    <cellStyle name="_Graph Data_SUMMARY_SUMMARY_1" xfId="1562"/>
    <cellStyle name="_Graph Data_WaterAid" xfId="1563"/>
    <cellStyle name="_Graph Data_WaterAid_CP" xfId="1564"/>
    <cellStyle name="_Graph Data_WaterAid_CP 2" xfId="1565"/>
    <cellStyle name="_Graph Data_WaterAid_CP3" xfId="1566"/>
    <cellStyle name="_Graph Data_WaterAid_CPs" xfId="1567"/>
    <cellStyle name="_Graph Data_WaterAid_Data2" xfId="1568"/>
    <cellStyle name="_Graph Data_WaterAid_Graph Data" xfId="1569"/>
    <cellStyle name="_Graph Data_WaterAid_SUMMARY" xfId="1570"/>
    <cellStyle name="_Graph Data_WaterAid_SUMMARY - DT" xfId="1571"/>
    <cellStyle name="_Graph Data_WaterAid_SUMMARY_1" xfId="1572"/>
    <cellStyle name="_Inc" xfId="1573"/>
    <cellStyle name="_Income" xfId="1574"/>
    <cellStyle name="_Input IPD" xfId="1575"/>
    <cellStyle name="_Journal Import template" xfId="1576"/>
    <cellStyle name="_Journal Import template 2" xfId="1577"/>
    <cellStyle name="_Journal Import template 3" xfId="1578"/>
    <cellStyle name="_Journal Import template_1" xfId="1579"/>
    <cellStyle name="_Journal Import template_1 2" xfId="1580"/>
    <cellStyle name="_Journal Import template_1 3" xfId="1581"/>
    <cellStyle name="_Journal Import template_1_Data Entry main schedule" xfId="1582"/>
    <cellStyle name="_Journal Import template_1_Journal Import template" xfId="1583"/>
    <cellStyle name="_Journal Import template_1_Sheet2" xfId="1584"/>
    <cellStyle name="_Journal Import template_Consolidated" xfId="1585"/>
    <cellStyle name="_Journal Import template_Consolidated 2" xfId="1586"/>
    <cellStyle name="_Journal Import template_Consolidated_1" xfId="1587"/>
    <cellStyle name="_Journal Import template_Consolidated_Consolidated" xfId="1588"/>
    <cellStyle name="_Journal Import template_EXPENSE" xfId="1589"/>
    <cellStyle name="_Journal Import template_EXPENSE_EXPENSE" xfId="1590"/>
    <cellStyle name="_Journal Import template_EXPENSE_SALARY" xfId="1591"/>
    <cellStyle name="_Journal Import template_ML" xfId="1592"/>
    <cellStyle name="_Journal Import template_Sheet1" xfId="1593"/>
    <cellStyle name="_Journal Import template_Sheet3" xfId="1594"/>
    <cellStyle name="_Journal Import template_Sheet3 2" xfId="1595"/>
    <cellStyle name="_Journal Import template_Sheet3 3" xfId="1596"/>
    <cellStyle name="_Journal Import template_Sheet3_Data Entry main schedule" xfId="1597"/>
    <cellStyle name="_Journal Import template_Sheet3_Sheet2" xfId="1598"/>
    <cellStyle name="_Journal Import template_Summary" xfId="1599"/>
    <cellStyle name="_Journal Import template_SUN DATA Imports" xfId="1600"/>
    <cellStyle name="_Journal Import template_SUN DATA Imports_EXPENSE" xfId="1601"/>
    <cellStyle name="_Journal Import template_SUN DATA Imports_SALARY" xfId="1602"/>
    <cellStyle name="_Journal Import template_YEAR END" xfId="1603"/>
    <cellStyle name="_July 09 Management Accounts" xfId="1604"/>
    <cellStyle name="_July 09 Management Accounts_CP" xfId="1605"/>
    <cellStyle name="_July 09 Management Accounts_CP 2" xfId="1606"/>
    <cellStyle name="_July 09 Management Accounts_CP 2_1" xfId="1607"/>
    <cellStyle name="_July 09 Management Accounts_CP 2_CP" xfId="1608"/>
    <cellStyle name="_July 09 Management Accounts_CP 2_CP 2" xfId="1609"/>
    <cellStyle name="_July 09 Management Accounts_CP 2_CP 2_1" xfId="1610"/>
    <cellStyle name="_July 09 Management Accounts_CP 2_CP_1" xfId="1611"/>
    <cellStyle name="_July 09 Management Accounts_CP 2_CP3" xfId="1612"/>
    <cellStyle name="_July 09 Management Accounts_CP 2_CP3_1" xfId="1613"/>
    <cellStyle name="_July 09 Management Accounts_CP 2_CPs" xfId="1614"/>
    <cellStyle name="_July 09 Management Accounts_CP 2_Data2" xfId="1615"/>
    <cellStyle name="_July 09 Management Accounts_CP 2_Graph Data" xfId="1616"/>
    <cellStyle name="_July 09 Management Accounts_CP 2_Graph Data_1" xfId="1617"/>
    <cellStyle name="_July 09 Management Accounts_CP 2_Graph Data_Graph Data" xfId="1618"/>
    <cellStyle name="_July 09 Management Accounts_CP 2_SUMMARY" xfId="1619"/>
    <cellStyle name="_July 09 Management Accounts_CP 2_SUMMARY - DT" xfId="1620"/>
    <cellStyle name="_July 09 Management Accounts_CP 2_SUMMARY_1" xfId="1621"/>
    <cellStyle name="_July 09 Management Accounts_CP_1" xfId="1622"/>
    <cellStyle name="_July 09 Management Accounts_CP_CP" xfId="1623"/>
    <cellStyle name="_July 09 Management Accounts_CP_CP 2" xfId="1624"/>
    <cellStyle name="_July 09 Management Accounts_CP_CP 2_1" xfId="1625"/>
    <cellStyle name="_July 09 Management Accounts_CP_CP_1" xfId="1626"/>
    <cellStyle name="_July 09 Management Accounts_CP_CP3" xfId="1627"/>
    <cellStyle name="_July 09 Management Accounts_CP_CP3_1" xfId="1628"/>
    <cellStyle name="_July 09 Management Accounts_CP_CPs" xfId="1629"/>
    <cellStyle name="_July 09 Management Accounts_CP_Data2" xfId="1630"/>
    <cellStyle name="_July 09 Management Accounts_CP_Graph Data" xfId="1631"/>
    <cellStyle name="_July 09 Management Accounts_CP_Graph Data_1" xfId="1632"/>
    <cellStyle name="_July 09 Management Accounts_CP_Graph Data_Graph Data" xfId="1633"/>
    <cellStyle name="_July 09 Management Accounts_CP_SUMMARY" xfId="1634"/>
    <cellStyle name="_July 09 Management Accounts_CP_SUMMARY - DT" xfId="1635"/>
    <cellStyle name="_July 09 Management Accounts_CP_SUMMARY_1" xfId="1636"/>
    <cellStyle name="_July 09 Management Accounts_CP3" xfId="1637"/>
    <cellStyle name="_July 09 Management Accounts_CP3_1" xfId="1638"/>
    <cellStyle name="_July 09 Management Accounts_CP3_CP" xfId="1639"/>
    <cellStyle name="_July 09 Management Accounts_CP3_CP 2" xfId="1640"/>
    <cellStyle name="_July 09 Management Accounts_CP3_CP 2_1" xfId="1641"/>
    <cellStyle name="_July 09 Management Accounts_CP3_CP_1" xfId="1642"/>
    <cellStyle name="_July 09 Management Accounts_CP3_CP3" xfId="1643"/>
    <cellStyle name="_July 09 Management Accounts_CP3_CP3_1" xfId="1644"/>
    <cellStyle name="_July 09 Management Accounts_CP3_CPs" xfId="1645"/>
    <cellStyle name="_July 09 Management Accounts_CP3_Data2" xfId="1646"/>
    <cellStyle name="_July 09 Management Accounts_CP3_Graph Data" xfId="1647"/>
    <cellStyle name="_July 09 Management Accounts_CP3_Graph Data_1" xfId="1648"/>
    <cellStyle name="_July 09 Management Accounts_CP3_Graph Data_Graph Data" xfId="1649"/>
    <cellStyle name="_July 09 Management Accounts_CP3_SUMMARY" xfId="1650"/>
    <cellStyle name="_July 09 Management Accounts_CP3_SUMMARY - DT" xfId="1651"/>
    <cellStyle name="_July 09 Management Accounts_CP3_SUMMARY_1" xfId="1652"/>
    <cellStyle name="_July 09 Management Accounts_EXPENSE" xfId="1653"/>
    <cellStyle name="_July 09 Management Accounts_Graph Data" xfId="1654"/>
    <cellStyle name="_July 09 Management Accounts_Graph Data_1" xfId="1655"/>
    <cellStyle name="_July 09 Management Accounts_Graph Data_1_CP" xfId="1656"/>
    <cellStyle name="_July 09 Management Accounts_Graph Data_1_CP 2" xfId="1657"/>
    <cellStyle name="_July 09 Management Accounts_Graph Data_1_CP 2_1" xfId="1658"/>
    <cellStyle name="_July 09 Management Accounts_Graph Data_1_CP_1" xfId="1659"/>
    <cellStyle name="_July 09 Management Accounts_Graph Data_1_CP3" xfId="1660"/>
    <cellStyle name="_July 09 Management Accounts_Graph Data_1_CP3_1" xfId="1661"/>
    <cellStyle name="_July 09 Management Accounts_Graph Data_1_CPs" xfId="1662"/>
    <cellStyle name="_July 09 Management Accounts_Graph Data_1_Data2" xfId="1663"/>
    <cellStyle name="_July 09 Management Accounts_Graph Data_1_Graph Data" xfId="1664"/>
    <cellStyle name="_July 09 Management Accounts_Graph Data_1_Graph Data_1" xfId="1665"/>
    <cellStyle name="_July 09 Management Accounts_Graph Data_1_Graph Data_Graph Data" xfId="1666"/>
    <cellStyle name="_July 09 Management Accounts_Graph Data_1_SUMMARY" xfId="1667"/>
    <cellStyle name="_July 09 Management Accounts_Graph Data_1_SUMMARY - DT" xfId="1668"/>
    <cellStyle name="_July 09 Management Accounts_Graph Data_1_SUMMARY_1" xfId="1669"/>
    <cellStyle name="_July 09 Management Accounts_Graph Data_2" xfId="1670"/>
    <cellStyle name="_July 09 Management Accounts_Graph Data_CP" xfId="1671"/>
    <cellStyle name="_July 09 Management Accounts_Graph Data_CP 2" xfId="1672"/>
    <cellStyle name="_July 09 Management Accounts_Graph Data_CP3" xfId="1673"/>
    <cellStyle name="_July 09 Management Accounts_Graph Data_CPs" xfId="1674"/>
    <cellStyle name="_July 09 Management Accounts_Graph Data_Data2" xfId="1675"/>
    <cellStyle name="_July 09 Management Accounts_Graph Data_EXPENSE" xfId="1676"/>
    <cellStyle name="_July 09 Management Accounts_Graph Data_Graph Data" xfId="1677"/>
    <cellStyle name="_July 09 Management Accounts_Graph Data_SALARY" xfId="1678"/>
    <cellStyle name="_July 09 Management Accounts_Graph Data_SUMMARY" xfId="1679"/>
    <cellStyle name="_July 09 Management Accounts_Graph Data_SUMMARY - DT" xfId="1680"/>
    <cellStyle name="_July 09 Management Accounts_Graph Data_SUMMARY_1" xfId="1681"/>
    <cellStyle name="_July 09 Management Accounts_IPD &amp; FAN (1)" xfId="1682"/>
    <cellStyle name="_July 09 Management Accounts_IPD &amp; FAN (1)_CP" xfId="1683"/>
    <cellStyle name="_July 09 Management Accounts_IPD &amp; FAN (1)_CP 2" xfId="1684"/>
    <cellStyle name="_July 09 Management Accounts_IPD &amp; FAN (1)_CP3" xfId="1685"/>
    <cellStyle name="_July 09 Management Accounts_IPD &amp; FAN (1)_CPs" xfId="1686"/>
    <cellStyle name="_July 09 Management Accounts_IPD &amp; FAN (1)_Data2" xfId="1687"/>
    <cellStyle name="_July 09 Management Accounts_IPD &amp; FAN (1)_Graph Data" xfId="1688"/>
    <cellStyle name="_July 09 Management Accounts_IPD &amp; FAN (1)_SUMMARY" xfId="1689"/>
    <cellStyle name="_July 09 Management Accounts_IPD &amp; FAN (1)_SUMMARY - DT" xfId="1690"/>
    <cellStyle name="_July 09 Management Accounts_IPD &amp; FAN (1)_SUMMARY_1" xfId="1691"/>
    <cellStyle name="_July 09 Management Accounts_IPD &amp; FAN (2)" xfId="1692"/>
    <cellStyle name="_July 09 Management Accounts_IPD &amp; FAN (2)_CP" xfId="1693"/>
    <cellStyle name="_July 09 Management Accounts_IPD &amp; FAN (2)_CP 2" xfId="1694"/>
    <cellStyle name="_July 09 Management Accounts_IPD &amp; FAN (2)_CP3" xfId="1695"/>
    <cellStyle name="_July 09 Management Accounts_IPD &amp; FAN (2)_CPs" xfId="1696"/>
    <cellStyle name="_July 09 Management Accounts_IPD &amp; FAN (2)_Data2" xfId="1697"/>
    <cellStyle name="_July 09 Management Accounts_IPD &amp; FAN (2)_Graph Data" xfId="1698"/>
    <cellStyle name="_July 09 Management Accounts_IPD &amp; FAN (2)_SUMMARY" xfId="1699"/>
    <cellStyle name="_July 09 Management Accounts_IPD &amp; FAN (2)_SUMMARY - DT" xfId="1700"/>
    <cellStyle name="_July 09 Management Accounts_IPD &amp; FAN (2)_SUMMARY_1" xfId="1701"/>
    <cellStyle name="_July 09 Management Accounts_P&amp;L" xfId="1702"/>
    <cellStyle name="_July 09 Management Accounts_P&amp;L - Global" xfId="1703"/>
    <cellStyle name="_July 09 Management Accounts_P&amp;L - Global_CP" xfId="1704"/>
    <cellStyle name="_July 09 Management Accounts_P&amp;L - Global_CP 2" xfId="1705"/>
    <cellStyle name="_July 09 Management Accounts_P&amp;L - Global_CP3" xfId="1706"/>
    <cellStyle name="_July 09 Management Accounts_P&amp;L - Global_CPs" xfId="1707"/>
    <cellStyle name="_July 09 Management Accounts_P&amp;L - Global_Data2" xfId="1708"/>
    <cellStyle name="_July 09 Management Accounts_P&amp;L - Global_Graph Data" xfId="1709"/>
    <cellStyle name="_July 09 Management Accounts_P&amp;L - Global_SUMMARY" xfId="1710"/>
    <cellStyle name="_July 09 Management Accounts_P&amp;L - Global_SUMMARY - DT" xfId="1711"/>
    <cellStyle name="_July 09 Management Accounts_P&amp;L - Global_SUMMARY_1" xfId="1712"/>
    <cellStyle name="_July 09 Management Accounts_P&amp;L - UK" xfId="1713"/>
    <cellStyle name="_July 09 Management Accounts_P&amp;L - UK_CP" xfId="1714"/>
    <cellStyle name="_July 09 Management Accounts_P&amp;L - UK_CP 2" xfId="1715"/>
    <cellStyle name="_July 09 Management Accounts_P&amp;L - UK_CP3" xfId="1716"/>
    <cellStyle name="_July 09 Management Accounts_P&amp;L - UK_CPs" xfId="1717"/>
    <cellStyle name="_July 09 Management Accounts_P&amp;L - UK_Data2" xfId="1718"/>
    <cellStyle name="_July 09 Management Accounts_P&amp;L - UK_Graph Data" xfId="1719"/>
    <cellStyle name="_July 09 Management Accounts_P&amp;L - UK_SUMMARY" xfId="1720"/>
    <cellStyle name="_July 09 Management Accounts_P&amp;L - UK_SUMMARY - DT" xfId="1721"/>
    <cellStyle name="_July 09 Management Accounts_P&amp;L - UK_SUMMARY_1" xfId="1722"/>
    <cellStyle name="_July 09 Management Accounts_P&amp;L_CP" xfId="1723"/>
    <cellStyle name="_July 09 Management Accounts_P&amp;L_CP 2" xfId="1724"/>
    <cellStyle name="_July 09 Management Accounts_P&amp;L_CP3" xfId="1725"/>
    <cellStyle name="_July 09 Management Accounts_P&amp;L_CPs" xfId="1726"/>
    <cellStyle name="_July 09 Management Accounts_P&amp;L_Data2" xfId="1727"/>
    <cellStyle name="_July 09 Management Accounts_P&amp;L_Graph Data" xfId="1728"/>
    <cellStyle name="_July 09 Management Accounts_P&amp;L_P&amp;L - Global" xfId="1729"/>
    <cellStyle name="_July 09 Management Accounts_P&amp;L_P&amp;L - Global_CP" xfId="1730"/>
    <cellStyle name="_July 09 Management Accounts_P&amp;L_P&amp;L - Global_CP 2" xfId="1731"/>
    <cellStyle name="_July 09 Management Accounts_P&amp;L_P&amp;L - Global_CP3" xfId="1732"/>
    <cellStyle name="_July 09 Management Accounts_P&amp;L_P&amp;L - Global_CPs" xfId="1733"/>
    <cellStyle name="_July 09 Management Accounts_P&amp;L_P&amp;L - Global_Data2" xfId="1734"/>
    <cellStyle name="_July 09 Management Accounts_P&amp;L_P&amp;L - Global_Graph Data" xfId="1735"/>
    <cellStyle name="_July 09 Management Accounts_P&amp;L_P&amp;L - Global_SUMMARY" xfId="1736"/>
    <cellStyle name="_July 09 Management Accounts_P&amp;L_P&amp;L - Global_SUMMARY - DT" xfId="1737"/>
    <cellStyle name="_July 09 Management Accounts_P&amp;L_P&amp;L - Global_SUMMARY_1" xfId="1738"/>
    <cellStyle name="_July 09 Management Accounts_P&amp;L_P&amp;L - UK" xfId="1739"/>
    <cellStyle name="_July 09 Management Accounts_P&amp;L_P&amp;L - UK_CP" xfId="1740"/>
    <cellStyle name="_July 09 Management Accounts_P&amp;L_P&amp;L - UK_CP 2" xfId="1741"/>
    <cellStyle name="_July 09 Management Accounts_P&amp;L_P&amp;L - UK_CP3" xfId="1742"/>
    <cellStyle name="_July 09 Management Accounts_P&amp;L_P&amp;L - UK_CPs" xfId="1743"/>
    <cellStyle name="_July 09 Management Accounts_P&amp;L_P&amp;L - UK_Data2" xfId="1744"/>
    <cellStyle name="_July 09 Management Accounts_P&amp;L_P&amp;L - UK_Graph Data" xfId="1745"/>
    <cellStyle name="_July 09 Management Accounts_P&amp;L_P&amp;L - UK_SUMMARY" xfId="1746"/>
    <cellStyle name="_July 09 Management Accounts_P&amp;L_P&amp;L - UK_SUMMARY - DT" xfId="1747"/>
    <cellStyle name="_July 09 Management Accounts_P&amp;L_P&amp;L - UK_SUMMARY_1" xfId="1748"/>
    <cellStyle name="_July 09 Management Accounts_P&amp;L_SUMMARY" xfId="1749"/>
    <cellStyle name="_July 09 Management Accounts_P&amp;L_SUMMARY - DT" xfId="1750"/>
    <cellStyle name="_July 09 Management Accounts_P&amp;L_SUMMARY_1" xfId="1751"/>
    <cellStyle name="_July 09 Management Accounts_Report" xfId="1752"/>
    <cellStyle name="_July 09 Management Accounts_SALARY" xfId="1753"/>
    <cellStyle name="_July 09 Management Accounts_Sheet2" xfId="1754"/>
    <cellStyle name="_July 09 Management Accounts_SUMMARY" xfId="1755"/>
    <cellStyle name="_July 09 Management Accounts_SUMMARY_1" xfId="1756"/>
    <cellStyle name="_July 09 Management Accounts_Summary_CP" xfId="1757"/>
    <cellStyle name="_July 09 Management Accounts_Summary_CP 2" xfId="1758"/>
    <cellStyle name="_July 09 Management Accounts_Summary_CP 2_1" xfId="1759"/>
    <cellStyle name="_July 09 Management Accounts_Summary_CP_1" xfId="1760"/>
    <cellStyle name="_July 09 Management Accounts_Summary_CP3" xfId="1761"/>
    <cellStyle name="_July 09 Management Accounts_Summary_CP3_1" xfId="1762"/>
    <cellStyle name="_July 09 Management Accounts_Summary_CPs" xfId="1763"/>
    <cellStyle name="_July 09 Management Accounts_Summary_Data2" xfId="1764"/>
    <cellStyle name="_July 09 Management Accounts_Summary_Graph Data" xfId="1765"/>
    <cellStyle name="_July 09 Management Accounts_Summary_Graph Data_1" xfId="1766"/>
    <cellStyle name="_July 09 Management Accounts_SUMMARY_Graph Data_Graph Data" xfId="1767"/>
    <cellStyle name="_July 09 Management Accounts_Summary_SUMMARY" xfId="1768"/>
    <cellStyle name="_July 09 Management Accounts_Summary_SUMMARY - DT" xfId="1769"/>
    <cellStyle name="_July 09 Management Accounts_Summary_SUMMARY_1" xfId="1770"/>
    <cellStyle name="_July 09 Management Accounts_WaterAid" xfId="1771"/>
    <cellStyle name="_July 09 Management Accounts_WaterAid_CP" xfId="1772"/>
    <cellStyle name="_July 09 Management Accounts_WaterAid_CP 2" xfId="1773"/>
    <cellStyle name="_July 09 Management Accounts_WaterAid_CP3" xfId="1774"/>
    <cellStyle name="_July 09 Management Accounts_WaterAid_CPs" xfId="1775"/>
    <cellStyle name="_July 09 Management Accounts_WaterAid_Data2" xfId="1776"/>
    <cellStyle name="_July 09 Management Accounts_WaterAid_Graph Data" xfId="1777"/>
    <cellStyle name="_July 09 Management Accounts_WaterAid_SUMMARY" xfId="1778"/>
    <cellStyle name="_July 09 Management Accounts_WaterAid_SUMMARY - DT" xfId="1779"/>
    <cellStyle name="_July 09 Management Accounts_WaterAid_SUMMARY_1" xfId="1780"/>
    <cellStyle name="_July 09 Management Accounts_Worldwide" xfId="1781"/>
    <cellStyle name="_July 09 Management Accounts_Worldwide_CP" xfId="1782"/>
    <cellStyle name="_July 09 Management Accounts_Worldwide_CP 2" xfId="1783"/>
    <cellStyle name="_July 09 Management Accounts_Worldwide_CP3" xfId="1784"/>
    <cellStyle name="_July 09 Management Accounts_Worldwide_CPs" xfId="1785"/>
    <cellStyle name="_July 09 Management Accounts_Worldwide_Data2" xfId="1786"/>
    <cellStyle name="_July 09 Management Accounts_Worldwide_Graph Data" xfId="1787"/>
    <cellStyle name="_July 09 Management Accounts_Worldwide_SUMMARY" xfId="1788"/>
    <cellStyle name="_July 09 Management Accounts_Worldwide_SUMMARY - DT" xfId="1789"/>
    <cellStyle name="_July 09 Management Accounts_Worldwide_SUMMARY_1" xfId="1790"/>
    <cellStyle name="_Letters Support" xfId="1791"/>
    <cellStyle name="_LIST" xfId="1792"/>
    <cellStyle name="_Looks" xfId="1793"/>
    <cellStyle name="_Lookup" xfId="1794"/>
    <cellStyle name="_Lookup_Charity" xfId="1795"/>
    <cellStyle name="_Lookup_CP" xfId="1796"/>
    <cellStyle name="_Lookup_CP 2" xfId="1797"/>
    <cellStyle name="_Lookup_CP3" xfId="1798"/>
    <cellStyle name="_Lookup_CPs" xfId="1799"/>
    <cellStyle name="_Lookup_Data2" xfId="1800"/>
    <cellStyle name="_Lookup_EXPENSE" xfId="1801"/>
    <cellStyle name="_Lookup_Graph Data" xfId="1802"/>
    <cellStyle name="_Lookup_Report" xfId="1803"/>
    <cellStyle name="_Lookup_SALARY" xfId="1804"/>
    <cellStyle name="_Lookup_Sheet2" xfId="1805"/>
    <cellStyle name="_Lookup_SUMMARY" xfId="1806"/>
    <cellStyle name="_Lookup_SUMMARY - DT" xfId="1807"/>
    <cellStyle name="_Lookup_SUMMARY_1" xfId="1808"/>
    <cellStyle name="_Lookup_WaterAid" xfId="1809"/>
    <cellStyle name="_Mar-10 Management Accounts Rev 1" xfId="1810"/>
    <cellStyle name="_Mid Term Forecast" xfId="1811"/>
    <cellStyle name="_MPB" xfId="1812"/>
    <cellStyle name="_MPB matrix Pakistan - Final Per Asia Desk" xfId="1813"/>
    <cellStyle name="_MPB_CP" xfId="1814"/>
    <cellStyle name="_MPB_CP 2" xfId="1815"/>
    <cellStyle name="_MPB_CP3" xfId="1816"/>
    <cellStyle name="_MPB_CPs" xfId="1817"/>
    <cellStyle name="_MPB_Data2" xfId="1818"/>
    <cellStyle name="_MPB_EXPENSE" xfId="1819"/>
    <cellStyle name="_MPB_Graph Data" xfId="1820"/>
    <cellStyle name="_MPB_Report" xfId="1821"/>
    <cellStyle name="_MPB_SALARY" xfId="1822"/>
    <cellStyle name="_MPB_Sheet2" xfId="1823"/>
    <cellStyle name="_MPB_SUMMARY" xfId="1824"/>
    <cellStyle name="_MPB_SUMMARY - DT" xfId="1825"/>
    <cellStyle name="_MPB_SUMMARY_1" xfId="1826"/>
    <cellStyle name="_P&amp;L" xfId="1827"/>
    <cellStyle name="_P&amp;L - Global" xfId="1828"/>
    <cellStyle name="_P&amp;L - Global_CP" xfId="1829"/>
    <cellStyle name="_P&amp;L - Global_CP 2" xfId="1830"/>
    <cellStyle name="_P&amp;L - Global_CP3" xfId="1831"/>
    <cellStyle name="_P&amp;L - Global_CPs" xfId="1832"/>
    <cellStyle name="_P&amp;L - Global_Data2" xfId="1833"/>
    <cellStyle name="_P&amp;L - Global_Graph Data" xfId="1834"/>
    <cellStyle name="_P&amp;L - Global_SUMMARY" xfId="1835"/>
    <cellStyle name="_P&amp;L - Global_SUMMARY - DT" xfId="1836"/>
    <cellStyle name="_P&amp;L - Global_SUMMARY_1" xfId="1837"/>
    <cellStyle name="_P&amp;L - UK" xfId="1838"/>
    <cellStyle name="_P&amp;L - UK_CP" xfId="1839"/>
    <cellStyle name="_P&amp;L - UK_CP 2" xfId="1840"/>
    <cellStyle name="_P&amp;L - UK_CP3" xfId="1841"/>
    <cellStyle name="_P&amp;L - UK_CPs" xfId="1842"/>
    <cellStyle name="_P&amp;L - UK_Data2" xfId="1843"/>
    <cellStyle name="_P&amp;L - UK_Graph Data" xfId="1844"/>
    <cellStyle name="_P&amp;L - UK_SUMMARY" xfId="1845"/>
    <cellStyle name="_P&amp;L - UK_SUMMARY - DT" xfId="1846"/>
    <cellStyle name="_P&amp;L - UK_SUMMARY_1" xfId="1847"/>
    <cellStyle name="_Pivot extract for MPB" xfId="1848"/>
    <cellStyle name="_Pivot extract for MPB with WA updates" xfId="1849"/>
    <cellStyle name="_Sample matrix" xfId="1850"/>
    <cellStyle name="_Sheet1" xfId="1851"/>
    <cellStyle name="_Sheet1 2" xfId="1852"/>
    <cellStyle name="_Sheet1 2 2" xfId="1853"/>
    <cellStyle name="_Sheet1 2 3" xfId="1854"/>
    <cellStyle name="_Sheet1 3" xfId="1855"/>
    <cellStyle name="_Sheet1 4" xfId="1856"/>
    <cellStyle name="_Sheet1_2011-2012" xfId="1857"/>
    <cellStyle name="_Sheet1_2012-2013" xfId="1858"/>
    <cellStyle name="_Sheet1_BUDGET SHAPE" xfId="1859"/>
    <cellStyle name="_Sheet1_GH 10-11" xfId="1860"/>
    <cellStyle name="_Sheet1_GH 11-12" xfId="1861"/>
    <cellStyle name="_Sheet1_Grant Information" xfId="1862"/>
    <cellStyle name="_Sheet1_Graph Data" xfId="1863"/>
    <cellStyle name="_Sheet1_Graph Data 2" xfId="1864"/>
    <cellStyle name="_Sheet1_Graph Data_CP" xfId="1865"/>
    <cellStyle name="_Sheet1_Graph Data_CP 2" xfId="1866"/>
    <cellStyle name="_Sheet1_Graph Data_CP3" xfId="1867"/>
    <cellStyle name="_Sheet1_Graph Data_CPs" xfId="1868"/>
    <cellStyle name="_Sheet1_Graph Data_Data2" xfId="1869"/>
    <cellStyle name="_Sheet1_Graph Data_EXPENSE" xfId="1870"/>
    <cellStyle name="_Sheet1_Graph Data_Graph Data" xfId="1871"/>
    <cellStyle name="_Sheet1_Graph Data_SALARY" xfId="1872"/>
    <cellStyle name="_Sheet1_Graph Data_SUMMARY" xfId="1873"/>
    <cellStyle name="_Sheet1_Graph Data_SUMMARY - DT" xfId="1874"/>
    <cellStyle name="_Sheet1_Graph Data_SUMMARY_1" xfId="1875"/>
    <cellStyle name="_Sheet1_Input IPD" xfId="1876"/>
    <cellStyle name="_Sheet1_Input IPD_Charity" xfId="1877"/>
    <cellStyle name="_Sheet1_Input IPD_CP" xfId="1878"/>
    <cellStyle name="_Sheet1_Input IPD_CP 2" xfId="1879"/>
    <cellStyle name="_Sheet1_Input IPD_CP3" xfId="1880"/>
    <cellStyle name="_Sheet1_Input IPD_CPs" xfId="1881"/>
    <cellStyle name="_Sheet1_Input IPD_Data2" xfId="1882"/>
    <cellStyle name="_Sheet1_Input IPD_EXPENSE" xfId="1883"/>
    <cellStyle name="_Sheet1_Input IPD_Graph Data" xfId="1884"/>
    <cellStyle name="_Sheet1_Input IPD_Report" xfId="1885"/>
    <cellStyle name="_Sheet1_Input IPD_SALARY" xfId="1886"/>
    <cellStyle name="_Sheet1_Input IPD_Sheet2" xfId="1887"/>
    <cellStyle name="_Sheet1_Input IPD_SUMMARY" xfId="1888"/>
    <cellStyle name="_Sheet1_Input IPD_SUMMARY - DT" xfId="1889"/>
    <cellStyle name="_Sheet1_Input IPD_SUMMARY_1" xfId="1890"/>
    <cellStyle name="_Sheet1_Input IPD_WaterAid" xfId="1891"/>
    <cellStyle name="_Sheet1_Journal Import template" xfId="1892"/>
    <cellStyle name="_Sheet1_Letters Support" xfId="1893"/>
    <cellStyle name="_Sheet1_MA 11-12" xfId="1894"/>
    <cellStyle name="_Sheet1_MA 11-12 2" xfId="1895"/>
    <cellStyle name="_Sheet1_MA 11-12 3" xfId="1896"/>
    <cellStyle name="_Sheet1_Matrix" xfId="1897"/>
    <cellStyle name="_Sheet1_MPB" xfId="1898"/>
    <cellStyle name="_Sheet1_Note 19" xfId="1899"/>
    <cellStyle name="_Sheet1_Report" xfId="1900"/>
    <cellStyle name="_Sheet1_RMT" xfId="1901"/>
    <cellStyle name="_Sheet1_Sheet2" xfId="1902"/>
    <cellStyle name="_Sheet1_Sheet5" xfId="1903"/>
    <cellStyle name="_Sheet1_Sheet7" xfId="1904"/>
    <cellStyle name="_Sheet1_SUN" xfId="1905"/>
    <cellStyle name="_Sheet1_SUN_EXPENSE" xfId="1906"/>
    <cellStyle name="_Sheet1_SUN_SALARY" xfId="1907"/>
    <cellStyle name="_Sheet1_SUN_SUN DATA Imports" xfId="1908"/>
    <cellStyle name="_Sheet1_SUN_SUN DATA Imports_EXPENSE" xfId="1909"/>
    <cellStyle name="_Sheet1_SUN_SUN DATA Imports_SALARY" xfId="1910"/>
    <cellStyle name="_Sheet2" xfId="1911"/>
    <cellStyle name="_Sheet2 2" xfId="1912"/>
    <cellStyle name="_Sheet2 3" xfId="1913"/>
    <cellStyle name="_Sheet2_Consolidated" xfId="1914"/>
    <cellStyle name="_Sheet2_Consolidated 2" xfId="1915"/>
    <cellStyle name="_Sheet2_Consolidated_1" xfId="1916"/>
    <cellStyle name="_Sheet2_Consolidated_Consolidated" xfId="1917"/>
    <cellStyle name="_Sheet2_EXPENSE" xfId="1918"/>
    <cellStyle name="_Sheet2_EXPENSE_EXPENSE" xfId="1919"/>
    <cellStyle name="_Sheet2_EXPENSE_SALARY" xfId="1920"/>
    <cellStyle name="_Sheet2_Journal Import template" xfId="1921"/>
    <cellStyle name="_Sheet2_ML" xfId="1922"/>
    <cellStyle name="_Sheet2_Sheet1" xfId="1923"/>
    <cellStyle name="_Sheet2_Sheet3" xfId="1924"/>
    <cellStyle name="_Sheet2_Sheet3 2" xfId="1925"/>
    <cellStyle name="_Sheet2_Sheet3 3" xfId="1926"/>
    <cellStyle name="_Sheet2_Sheet3_Data Entry main schedule" xfId="1927"/>
    <cellStyle name="_Sheet2_Sheet3_Sheet2" xfId="1928"/>
    <cellStyle name="_Sheet2_Summary" xfId="1929"/>
    <cellStyle name="_Sheet2_SUN DATA Imports" xfId="1930"/>
    <cellStyle name="_Sheet2_SUN DATA Imports_EXPENSE" xfId="1931"/>
    <cellStyle name="_Sheet2_SUN DATA Imports_SALARY" xfId="1932"/>
    <cellStyle name="_Sheet2_YEAR END" xfId="1933"/>
    <cellStyle name="_Sheet4" xfId="1934"/>
    <cellStyle name="_Sheet5" xfId="1935"/>
    <cellStyle name="_SUMMARY" xfId="1936"/>
    <cellStyle name="_SUMMARY_CP" xfId="1937"/>
    <cellStyle name="_SUMMARY_CP 2" xfId="1938"/>
    <cellStyle name="_SUMMARY_CP 2_1" xfId="1939"/>
    <cellStyle name="_SUMMARY_CP 2_CP" xfId="1940"/>
    <cellStyle name="_SUMMARY_CP 2_CP 2" xfId="1941"/>
    <cellStyle name="_SUMMARY_CP 2_CP 2_1" xfId="1942"/>
    <cellStyle name="_SUMMARY_CP 2_CP_1" xfId="1943"/>
    <cellStyle name="_SUMMARY_CP 2_CP3" xfId="1944"/>
    <cellStyle name="_SUMMARY_CP 2_CP3_1" xfId="1945"/>
    <cellStyle name="_SUMMARY_CP 2_CPs" xfId="1946"/>
    <cellStyle name="_SUMMARY_CP 2_Data2" xfId="1947"/>
    <cellStyle name="_SUMMARY_CP 2_Graph Data" xfId="1948"/>
    <cellStyle name="_SUMMARY_CP 2_Graph Data_1" xfId="1949"/>
    <cellStyle name="_SUMMARY_CP 2_Graph Data_Graph Data" xfId="1950"/>
    <cellStyle name="_SUMMARY_CP 2_SUMMARY" xfId="1951"/>
    <cellStyle name="_SUMMARY_CP 2_SUMMARY - DT" xfId="1952"/>
    <cellStyle name="_SUMMARY_CP 2_SUMMARY_1" xfId="1953"/>
    <cellStyle name="_SUMMARY_CP_1" xfId="1954"/>
    <cellStyle name="_SUMMARY_CP_CP" xfId="1955"/>
    <cellStyle name="_SUMMARY_CP_CP 2" xfId="1956"/>
    <cellStyle name="_SUMMARY_CP_CP 2_1" xfId="1957"/>
    <cellStyle name="_SUMMARY_CP_CP_1" xfId="1958"/>
    <cellStyle name="_SUMMARY_CP_CP3" xfId="1959"/>
    <cellStyle name="_SUMMARY_CP_CP3_1" xfId="1960"/>
    <cellStyle name="_SUMMARY_CP_CPs" xfId="1961"/>
    <cellStyle name="_SUMMARY_CP_Data2" xfId="1962"/>
    <cellStyle name="_SUMMARY_CP_Graph Data" xfId="1963"/>
    <cellStyle name="_SUMMARY_CP_Graph Data_1" xfId="1964"/>
    <cellStyle name="_SUMMARY_CP_Graph Data_Graph Data" xfId="1965"/>
    <cellStyle name="_SUMMARY_CP_SUMMARY" xfId="1966"/>
    <cellStyle name="_SUMMARY_CP_SUMMARY - DT" xfId="1967"/>
    <cellStyle name="_SUMMARY_CP_SUMMARY_1" xfId="1968"/>
    <cellStyle name="_SUMMARY_CP3" xfId="1969"/>
    <cellStyle name="_SUMMARY_CP3_1" xfId="1970"/>
    <cellStyle name="_SUMMARY_CP3_CP" xfId="1971"/>
    <cellStyle name="_SUMMARY_CP3_CP 2" xfId="1972"/>
    <cellStyle name="_SUMMARY_CP3_CP 2_1" xfId="1973"/>
    <cellStyle name="_SUMMARY_CP3_CP_1" xfId="1974"/>
    <cellStyle name="_SUMMARY_CP3_CP3" xfId="1975"/>
    <cellStyle name="_SUMMARY_CP3_CP3_1" xfId="1976"/>
    <cellStyle name="_SUMMARY_CP3_CPs" xfId="1977"/>
    <cellStyle name="_SUMMARY_CP3_Data2" xfId="1978"/>
    <cellStyle name="_SUMMARY_CP3_Graph Data" xfId="1979"/>
    <cellStyle name="_SUMMARY_CP3_Graph Data_1" xfId="1980"/>
    <cellStyle name="_SUMMARY_CP3_Graph Data_Graph Data" xfId="1981"/>
    <cellStyle name="_SUMMARY_CP3_SUMMARY" xfId="1982"/>
    <cellStyle name="_SUMMARY_CP3_SUMMARY - DT" xfId="1983"/>
    <cellStyle name="_SUMMARY_CP3_SUMMARY_1" xfId="1984"/>
    <cellStyle name="_SUMMARY_EXPENSE" xfId="1985"/>
    <cellStyle name="_SUMMARY_Graph Data" xfId="1986"/>
    <cellStyle name="_SUMMARY_Graph Data_1" xfId="1987"/>
    <cellStyle name="_SUMMARY_Graph Data_1_CP" xfId="1988"/>
    <cellStyle name="_SUMMARY_Graph Data_1_CP 2" xfId="1989"/>
    <cellStyle name="_SUMMARY_Graph Data_1_CP 2_1" xfId="1990"/>
    <cellStyle name="_SUMMARY_Graph Data_1_CP_1" xfId="1991"/>
    <cellStyle name="_SUMMARY_Graph Data_1_CP3" xfId="1992"/>
    <cellStyle name="_SUMMARY_Graph Data_1_CP3_1" xfId="1993"/>
    <cellStyle name="_SUMMARY_Graph Data_1_CPs" xfId="1994"/>
    <cellStyle name="_SUMMARY_Graph Data_1_Data2" xfId="1995"/>
    <cellStyle name="_SUMMARY_Graph Data_1_Graph Data" xfId="1996"/>
    <cellStyle name="_SUMMARY_Graph Data_1_Graph Data_1" xfId="1997"/>
    <cellStyle name="_SUMMARY_Graph Data_1_Graph Data_Graph Data" xfId="1998"/>
    <cellStyle name="_SUMMARY_Graph Data_1_SUMMARY" xfId="1999"/>
    <cellStyle name="_SUMMARY_Graph Data_1_SUMMARY - DT" xfId="2000"/>
    <cellStyle name="_SUMMARY_Graph Data_1_SUMMARY_1" xfId="2001"/>
    <cellStyle name="_SUMMARY_Graph Data_2" xfId="2002"/>
    <cellStyle name="_SUMMARY_Graph Data_CP" xfId="2003"/>
    <cellStyle name="_SUMMARY_Graph Data_CP 2" xfId="2004"/>
    <cellStyle name="_SUMMARY_Graph Data_CP3" xfId="2005"/>
    <cellStyle name="_SUMMARY_Graph Data_CPs" xfId="2006"/>
    <cellStyle name="_SUMMARY_Graph Data_Data2" xfId="2007"/>
    <cellStyle name="_SUMMARY_Graph Data_EXPENSE" xfId="2008"/>
    <cellStyle name="_SUMMARY_Graph Data_Graph Data" xfId="2009"/>
    <cellStyle name="_SUMMARY_Graph Data_SALARY" xfId="2010"/>
    <cellStyle name="_SUMMARY_Graph Data_SUMMARY" xfId="2011"/>
    <cellStyle name="_SUMMARY_Graph Data_SUMMARY - DT" xfId="2012"/>
    <cellStyle name="_SUMMARY_Graph Data_SUMMARY_1" xfId="2013"/>
    <cellStyle name="_SUMMARY_IPD &amp; FAN (1)" xfId="2014"/>
    <cellStyle name="_SUMMARY_IPD &amp; FAN (1)_CP" xfId="2015"/>
    <cellStyle name="_SUMMARY_IPD &amp; FAN (1)_CP 2" xfId="2016"/>
    <cellStyle name="_SUMMARY_IPD &amp; FAN (1)_CP3" xfId="2017"/>
    <cellStyle name="_SUMMARY_IPD &amp; FAN (1)_CPs" xfId="2018"/>
    <cellStyle name="_SUMMARY_IPD &amp; FAN (1)_Data2" xfId="2019"/>
    <cellStyle name="_SUMMARY_IPD &amp; FAN (1)_Graph Data" xfId="2020"/>
    <cellStyle name="_SUMMARY_IPD &amp; FAN (1)_SUMMARY" xfId="2021"/>
    <cellStyle name="_SUMMARY_IPD &amp; FAN (1)_SUMMARY - DT" xfId="2022"/>
    <cellStyle name="_SUMMARY_IPD &amp; FAN (1)_SUMMARY_1" xfId="2023"/>
    <cellStyle name="_SUMMARY_IPD &amp; FAN (2)" xfId="2024"/>
    <cellStyle name="_SUMMARY_IPD &amp; FAN (2)_CP" xfId="2025"/>
    <cellStyle name="_SUMMARY_IPD &amp; FAN (2)_CP 2" xfId="2026"/>
    <cellStyle name="_SUMMARY_IPD &amp; FAN (2)_CP3" xfId="2027"/>
    <cellStyle name="_SUMMARY_IPD &amp; FAN (2)_CPs" xfId="2028"/>
    <cellStyle name="_SUMMARY_IPD &amp; FAN (2)_Data2" xfId="2029"/>
    <cellStyle name="_SUMMARY_IPD &amp; FAN (2)_Graph Data" xfId="2030"/>
    <cellStyle name="_SUMMARY_IPD &amp; FAN (2)_SUMMARY" xfId="2031"/>
    <cellStyle name="_SUMMARY_IPD &amp; FAN (2)_SUMMARY - DT" xfId="2032"/>
    <cellStyle name="_SUMMARY_IPD &amp; FAN (2)_SUMMARY_1" xfId="2033"/>
    <cellStyle name="_Summary_P&amp;L" xfId="2034"/>
    <cellStyle name="_Summary_P&amp;L - Global" xfId="2035"/>
    <cellStyle name="_Summary_P&amp;L - Global_CP" xfId="2036"/>
    <cellStyle name="_Summary_P&amp;L - Global_CP 2" xfId="2037"/>
    <cellStyle name="_Summary_P&amp;L - Global_CP3" xfId="2038"/>
    <cellStyle name="_Summary_P&amp;L - Global_CPs" xfId="2039"/>
    <cellStyle name="_Summary_P&amp;L - Global_Data2" xfId="2040"/>
    <cellStyle name="_Summary_P&amp;L - Global_Graph Data" xfId="2041"/>
    <cellStyle name="_Summary_P&amp;L - Global_SUMMARY" xfId="2042"/>
    <cellStyle name="_Summary_P&amp;L - Global_SUMMARY - DT" xfId="2043"/>
    <cellStyle name="_Summary_P&amp;L - Global_SUMMARY_1" xfId="2044"/>
    <cellStyle name="_Summary_P&amp;L - UK" xfId="2045"/>
    <cellStyle name="_Summary_P&amp;L - UK_CP" xfId="2046"/>
    <cellStyle name="_Summary_P&amp;L - UK_CP 2" xfId="2047"/>
    <cellStyle name="_Summary_P&amp;L - UK_CP3" xfId="2048"/>
    <cellStyle name="_Summary_P&amp;L - UK_CPs" xfId="2049"/>
    <cellStyle name="_Summary_P&amp;L - UK_Data2" xfId="2050"/>
    <cellStyle name="_Summary_P&amp;L - UK_Graph Data" xfId="2051"/>
    <cellStyle name="_Summary_P&amp;L - UK_SUMMARY" xfId="2052"/>
    <cellStyle name="_Summary_P&amp;L - UK_SUMMARY - DT" xfId="2053"/>
    <cellStyle name="_Summary_P&amp;L - UK_SUMMARY_1" xfId="2054"/>
    <cellStyle name="_Summary_P&amp;L_CP" xfId="2055"/>
    <cellStyle name="_Summary_P&amp;L_CP 2" xfId="2056"/>
    <cellStyle name="_Summary_P&amp;L_CP3" xfId="2057"/>
    <cellStyle name="_Summary_P&amp;L_CPs" xfId="2058"/>
    <cellStyle name="_Summary_P&amp;L_Data2" xfId="2059"/>
    <cellStyle name="_Summary_P&amp;L_Graph Data" xfId="2060"/>
    <cellStyle name="_Summary_P&amp;L_P&amp;L - Global" xfId="2061"/>
    <cellStyle name="_Summary_P&amp;L_P&amp;L - Global_CP" xfId="2062"/>
    <cellStyle name="_Summary_P&amp;L_P&amp;L - Global_CP 2" xfId="2063"/>
    <cellStyle name="_Summary_P&amp;L_P&amp;L - Global_CP3" xfId="2064"/>
    <cellStyle name="_Summary_P&amp;L_P&amp;L - Global_CPs" xfId="2065"/>
    <cellStyle name="_Summary_P&amp;L_P&amp;L - Global_Data2" xfId="2066"/>
    <cellStyle name="_Summary_P&amp;L_P&amp;L - Global_Graph Data" xfId="2067"/>
    <cellStyle name="_Summary_P&amp;L_P&amp;L - Global_SUMMARY" xfId="2068"/>
    <cellStyle name="_Summary_P&amp;L_P&amp;L - Global_SUMMARY - DT" xfId="2069"/>
    <cellStyle name="_Summary_P&amp;L_P&amp;L - Global_SUMMARY_1" xfId="2070"/>
    <cellStyle name="_Summary_P&amp;L_P&amp;L - UK" xfId="2071"/>
    <cellStyle name="_Summary_P&amp;L_P&amp;L - UK_CP" xfId="2072"/>
    <cellStyle name="_Summary_P&amp;L_P&amp;L - UK_CP 2" xfId="2073"/>
    <cellStyle name="_Summary_P&amp;L_P&amp;L - UK_CP3" xfId="2074"/>
    <cellStyle name="_Summary_P&amp;L_P&amp;L - UK_CPs" xfId="2075"/>
    <cellStyle name="_Summary_P&amp;L_P&amp;L - UK_Data2" xfId="2076"/>
    <cellStyle name="_Summary_P&amp;L_P&amp;L - UK_Graph Data" xfId="2077"/>
    <cellStyle name="_Summary_P&amp;L_P&amp;L - UK_SUMMARY" xfId="2078"/>
    <cellStyle name="_Summary_P&amp;L_P&amp;L - UK_SUMMARY - DT" xfId="2079"/>
    <cellStyle name="_Summary_P&amp;L_P&amp;L - UK_SUMMARY_1" xfId="2080"/>
    <cellStyle name="_Summary_P&amp;L_SUMMARY" xfId="2081"/>
    <cellStyle name="_Summary_P&amp;L_SUMMARY - DT" xfId="2082"/>
    <cellStyle name="_Summary_P&amp;L_SUMMARY_1" xfId="2083"/>
    <cellStyle name="_SUMMARY_Report" xfId="2084"/>
    <cellStyle name="_SUMMARY_SALARY" xfId="2085"/>
    <cellStyle name="_SUMMARY_Sheet2" xfId="2086"/>
    <cellStyle name="_SUMMARY_SUMMARY" xfId="2087"/>
    <cellStyle name="_SUMMARY_SUMMARY_1" xfId="2088"/>
    <cellStyle name="_SUMMARY_Summary_CP" xfId="2089"/>
    <cellStyle name="_SUMMARY_Summary_CP 2" xfId="2090"/>
    <cellStyle name="_SUMMARY_Summary_CP 2_1" xfId="2091"/>
    <cellStyle name="_SUMMARY_Summary_CP_1" xfId="2092"/>
    <cellStyle name="_SUMMARY_Summary_CP3" xfId="2093"/>
    <cellStyle name="_SUMMARY_Summary_CP3_1" xfId="2094"/>
    <cellStyle name="_SUMMARY_Summary_CPs" xfId="2095"/>
    <cellStyle name="_SUMMARY_Summary_Data2" xfId="2096"/>
    <cellStyle name="_SUMMARY_Summary_Graph Data" xfId="2097"/>
    <cellStyle name="_SUMMARY_Summary_Graph Data_1" xfId="2098"/>
    <cellStyle name="_SUMMARY_SUMMARY_Graph Data_Graph Data" xfId="2099"/>
    <cellStyle name="_SUMMARY_Summary_SUMMARY" xfId="2100"/>
    <cellStyle name="_SUMMARY_Summary_SUMMARY - DT" xfId="2101"/>
    <cellStyle name="_SUMMARY_Summary_SUMMARY_1" xfId="2102"/>
    <cellStyle name="_SUMMARY_WaterAid" xfId="2103"/>
    <cellStyle name="_SUMMARY_WaterAid_CP" xfId="2104"/>
    <cellStyle name="_SUMMARY_WaterAid_CP 2" xfId="2105"/>
    <cellStyle name="_SUMMARY_WaterAid_CP3" xfId="2106"/>
    <cellStyle name="_SUMMARY_WaterAid_CPs" xfId="2107"/>
    <cellStyle name="_SUMMARY_WaterAid_Data2" xfId="2108"/>
    <cellStyle name="_SUMMARY_WaterAid_Graph Data" xfId="2109"/>
    <cellStyle name="_SUMMARY_WaterAid_SUMMARY" xfId="2110"/>
    <cellStyle name="_SUMMARY_WaterAid_SUMMARY - DT" xfId="2111"/>
    <cellStyle name="_SUMMARY_WaterAid_SUMMARY_1" xfId="2112"/>
    <cellStyle name="_SUMMARY_Worldwide" xfId="2113"/>
    <cellStyle name="_SUMMARY_Worldwide_CP" xfId="2114"/>
    <cellStyle name="_SUMMARY_Worldwide_CP 2" xfId="2115"/>
    <cellStyle name="_SUMMARY_Worldwide_CP3" xfId="2116"/>
    <cellStyle name="_SUMMARY_Worldwide_CPs" xfId="2117"/>
    <cellStyle name="_SUMMARY_Worldwide_Data2" xfId="2118"/>
    <cellStyle name="_SUMMARY_Worldwide_Graph Data" xfId="2119"/>
    <cellStyle name="_SUMMARY_Worldwide_SUMMARY" xfId="2120"/>
    <cellStyle name="_SUMMARY_Worldwide_SUMMARY - DT" xfId="2121"/>
    <cellStyle name="_SUMMARY_Worldwide_SUMMARY_1" xfId="2122"/>
    <cellStyle name="_SUN" xfId="2123"/>
    <cellStyle name="_Supplier Setup" xfId="2124"/>
    <cellStyle name="_UK SUN Codes per Budget" xfId="2125"/>
    <cellStyle name="_UK SUN Codes per Budget 2" xfId="2126"/>
    <cellStyle name="_UK SUN Codes per Budget 2 2" xfId="2127"/>
    <cellStyle name="_UK SUN Codes per Budget 2 3" xfId="2128"/>
    <cellStyle name="_UK SUN Codes per Budget 3" xfId="2129"/>
    <cellStyle name="_UK SUN Codes per Budget 4" xfId="2130"/>
    <cellStyle name="_UK SUN Codes per Budget_EUR - YE" xfId="2131"/>
    <cellStyle name="_UK SUN Codes per Budget_Euro" xfId="2132"/>
    <cellStyle name="_UK SUN Codes per Budget_FAN Adjt" xfId="2133"/>
    <cellStyle name="_UK SUN Codes per Budget_GBP" xfId="2134"/>
    <cellStyle name="_UK SUN Codes per Budget_GBP - YE" xfId="2135"/>
    <cellStyle name="_UK SUN Codes per Budget_GTF receipts" xfId="2136"/>
    <cellStyle name="_UK SUN Codes per Budget_GTF receipts 2" xfId="2137"/>
    <cellStyle name="_UK SUN Codes per Budget_GTF receipts_Consolidated" xfId="2138"/>
    <cellStyle name="_UK SUN Codes per Budget_GTF receipts_Consolidated 2" xfId="2139"/>
    <cellStyle name="_UK SUN Codes per Budget_GTF receipts_Consolidated_1" xfId="2140"/>
    <cellStyle name="_UK SUN Codes per Budget_GTF receipts_Consolidated_Consolidated" xfId="2141"/>
    <cellStyle name="_UK SUN Codes per Budget_GTF receipts_ML" xfId="2142"/>
    <cellStyle name="_UK SUN Codes per Budget_GTF receipts_Sheet1" xfId="2143"/>
    <cellStyle name="_UK SUN Codes per Budget_GTF receipts_Summary" xfId="2144"/>
    <cellStyle name="_UK SUN Codes per Budget_GTF receipts_YEAR END" xfId="2145"/>
    <cellStyle name="_UK SUN Codes per Budget_In country accrual input" xfId="2146"/>
    <cellStyle name="_UK SUN Codes per Budget_IN CP Accrual" xfId="2147"/>
    <cellStyle name="_UK SUN Codes per Budget_IN CP Accrual (2)" xfId="2148"/>
    <cellStyle name="_UK SUN Codes per Budget_Journal Import template" xfId="2149"/>
    <cellStyle name="_UK SUN Codes per Budget_Jul 10" xfId="2150"/>
    <cellStyle name="_UK SUN Codes per Budget_Jun 10" xfId="2151"/>
    <cellStyle name="_UK SUN Codes per Budget_Jun 10_1" xfId="2152"/>
    <cellStyle name="_UK SUN Codes per Budget_Jun 10_Jul 10" xfId="2153"/>
    <cellStyle name="_UK SUN Codes per Budget_Jun 10_Jun 10" xfId="2154"/>
    <cellStyle name="_UK SUN Codes per Budget_MA 11-12" xfId="2155"/>
    <cellStyle name="_UK SUN Codes per Budget_MA 11-12 2" xfId="2156"/>
    <cellStyle name="_UK SUN Codes per Budget_MA 11-12 3" xfId="2157"/>
    <cellStyle name="_UK SUN Codes per Budget_May 10" xfId="2158"/>
    <cellStyle name="_UK SUN Codes per Budget_Offshore entries" xfId="2159"/>
    <cellStyle name="_UK SUN Codes per Budget_Sheet1" xfId="2160"/>
    <cellStyle name="_UK SUN Codes per Budget_Sheet1_1" xfId="2161"/>
    <cellStyle name="_UK SUN Codes per Budget_Sheet2" xfId="2162"/>
    <cellStyle name="_UK SUN Codes per Budget_Sheet4" xfId="2163"/>
    <cellStyle name="_UK SUN Codes per Budget_Sheet5" xfId="2164"/>
    <cellStyle name="_UK SUN Codes per Budget_Sheet5 2" xfId="2165"/>
    <cellStyle name="_UK SUN Codes per Budget_Sheet5_Consolidated" xfId="2166"/>
    <cellStyle name="_UK SUN Codes per Budget_Sun" xfId="2167"/>
    <cellStyle name="_UK SUN Codes per Budget_SUN 2011" xfId="2168"/>
    <cellStyle name="_UK SUN Codes per Budget_SUN_1" xfId="2169"/>
    <cellStyle name="_UK SUN Codes per Budget_UNRECONCILED SUN" xfId="2170"/>
    <cellStyle name="_UK SUN Codes per Budget_UNRECONCILED SUN_Journal Import template" xfId="2171"/>
    <cellStyle name="_UK SUN Codes per Budget_UNRECONCILED SUN_Jul 10" xfId="2172"/>
    <cellStyle name="_UK SUN Codes per Budget_UNRECONCILED SUN_Jun 10" xfId="2173"/>
    <cellStyle name="_UK SUN Codes per Budget_USD" xfId="2174"/>
    <cellStyle name="_UK SUN Codes per Budget_YEAR END" xfId="2175"/>
    <cellStyle name="_UK SUN Codes per Budget_ZA 10-11" xfId="2176"/>
    <cellStyle name="_UK SUN Codes per Budget_ZA 10-11 2" xfId="2177"/>
    <cellStyle name="_UK SUN Codes per Budget_ZA 10-11 3" xfId="2178"/>
    <cellStyle name="_UK SUN Codes per Budget_ZA 11-12" xfId="2179"/>
    <cellStyle name="_UK SUN Codes per Budget_ZA 11-12 2" xfId="2180"/>
    <cellStyle name="_UK SUN Codes per Budget_ZA 11-12 3" xfId="2181"/>
    <cellStyle name="_WaterAid" xfId="2182"/>
    <cellStyle name="_year end accrual 0809" xfId="2183"/>
    <cellStyle name="0100114509600" xfId="2184"/>
    <cellStyle name="20 % - Accent1" xfId="2185"/>
    <cellStyle name="20 % - Accent2" xfId="2186"/>
    <cellStyle name="20 % - Accent3" xfId="2187"/>
    <cellStyle name="20 % - Accent4" xfId="2188"/>
    <cellStyle name="20 % - Accent5" xfId="2189"/>
    <cellStyle name="20 % - Accent6" xfId="2190"/>
    <cellStyle name="20% - Accent1" xfId="22" builtinId="30" customBuiltin="1"/>
    <cellStyle name="20% - Accent1 2" xfId="2191"/>
    <cellStyle name="20% - Accent1 2 2" xfId="2192"/>
    <cellStyle name="20% - Accent1 2 3" xfId="2193"/>
    <cellStyle name="20% - Accent1 2 4" xfId="2194"/>
    <cellStyle name="20% - Accent1 2 5" xfId="2195"/>
    <cellStyle name="20% - Accent1 2 6" xfId="43958"/>
    <cellStyle name="20% - Accent1 2_IN" xfId="2196"/>
    <cellStyle name="20% - Accent1 3" xfId="2197"/>
    <cellStyle name="20% - Accent1 3 2" xfId="2198"/>
    <cellStyle name="20% - Accent1 3 3" xfId="2199"/>
    <cellStyle name="20% - Accent1 4" xfId="2200"/>
    <cellStyle name="20% - Accent1 4 2" xfId="2201"/>
    <cellStyle name="20% - Accent1 5" xfId="2202"/>
    <cellStyle name="20% - Accent2" xfId="26" builtinId="34" customBuiltin="1"/>
    <cellStyle name="20% - Accent2 2" xfId="2203"/>
    <cellStyle name="20% - Accent2 2 2" xfId="2204"/>
    <cellStyle name="20% - Accent2 2 3" xfId="2205"/>
    <cellStyle name="20% - Accent2 2 4" xfId="2206"/>
    <cellStyle name="20% - Accent2 2 5" xfId="2207"/>
    <cellStyle name="20% - Accent2 2 6" xfId="43959"/>
    <cellStyle name="20% - Accent2 2_ANC_Create or Delete" xfId="2208"/>
    <cellStyle name="20% - Accent2 3" xfId="2209"/>
    <cellStyle name="20% - Accent2 3 2" xfId="2210"/>
    <cellStyle name="20% - Accent2 3 3" xfId="2211"/>
    <cellStyle name="20% - Accent2 4" xfId="2212"/>
    <cellStyle name="20% - Accent2 4 2" xfId="2213"/>
    <cellStyle name="20% - Accent2 5" xfId="2214"/>
    <cellStyle name="20% - Accent3" xfId="30" builtinId="38" customBuiltin="1"/>
    <cellStyle name="20% - Accent3 2" xfId="2215"/>
    <cellStyle name="20% - Accent3 2 2" xfId="2216"/>
    <cellStyle name="20% - Accent3 2 3" xfId="2217"/>
    <cellStyle name="20% - Accent3 2 4" xfId="2218"/>
    <cellStyle name="20% - Accent3 2 5" xfId="2219"/>
    <cellStyle name="20% - Accent3 2 6" xfId="43960"/>
    <cellStyle name="20% - Accent3 2_IN" xfId="2220"/>
    <cellStyle name="20% - Accent3 3" xfId="2221"/>
    <cellStyle name="20% - Accent3 3 2" xfId="2222"/>
    <cellStyle name="20% - Accent3 3 3" xfId="2223"/>
    <cellStyle name="20% - Accent3 4" xfId="2224"/>
    <cellStyle name="20% - Accent3 4 2" xfId="2225"/>
    <cellStyle name="20% - Accent3 5" xfId="2226"/>
    <cellStyle name="20% - Accent4" xfId="34" builtinId="42" customBuiltin="1"/>
    <cellStyle name="20% - Accent4 2" xfId="2227"/>
    <cellStyle name="20% - Accent4 2 2" xfId="2228"/>
    <cellStyle name="20% - Accent4 2 3" xfId="2229"/>
    <cellStyle name="20% - Accent4 2 4" xfId="2230"/>
    <cellStyle name="20% - Accent4 2 5" xfId="2231"/>
    <cellStyle name="20% - Accent4 2 6" xfId="43961"/>
    <cellStyle name="20% - Accent4 2_IN" xfId="2232"/>
    <cellStyle name="20% - Accent4 3" xfId="2233"/>
    <cellStyle name="20% - Accent4 3 2" xfId="2234"/>
    <cellStyle name="20% - Accent4 3 3" xfId="2235"/>
    <cellStyle name="20% - Accent4 4" xfId="2236"/>
    <cellStyle name="20% - Accent4 4 2" xfId="2237"/>
    <cellStyle name="20% - Accent4 5" xfId="2238"/>
    <cellStyle name="20% - Accent5" xfId="38" builtinId="46" customBuiltin="1"/>
    <cellStyle name="20% - Accent5 2" xfId="2239"/>
    <cellStyle name="20% - Accent5 2 2" xfId="2240"/>
    <cellStyle name="20% - Accent5 2 3" xfId="2241"/>
    <cellStyle name="20% - Accent5 2 4" xfId="2242"/>
    <cellStyle name="20% - Accent5 2 5" xfId="2243"/>
    <cellStyle name="20% - Accent5 2 6" xfId="43962"/>
    <cellStyle name="20% - Accent5 3" xfId="2244"/>
    <cellStyle name="20% - Accent5 3 2" xfId="2245"/>
    <cellStyle name="20% - Accent5 3 3" xfId="2246"/>
    <cellStyle name="20% - Accent5 4" xfId="2247"/>
    <cellStyle name="20% - Accent5 4 2" xfId="2248"/>
    <cellStyle name="20% - Accent5 5" xfId="2249"/>
    <cellStyle name="20% - Accent5 6" xfId="2250"/>
    <cellStyle name="20% - Accent5 6 2" xfId="2251"/>
    <cellStyle name="20% - Accent5 6 2 2" xfId="2252"/>
    <cellStyle name="20% - Accent5 6 3" xfId="2253"/>
    <cellStyle name="20% - Accent5 6_Look Back" xfId="2254"/>
    <cellStyle name="20% - Accent5 7" xfId="2255"/>
    <cellStyle name="20% - Accent5 7 2" xfId="2256"/>
    <cellStyle name="20% - Accent5 7 2 2" xfId="2257"/>
    <cellStyle name="20% - Accent5 7 3" xfId="2258"/>
    <cellStyle name="20% - Accent5 7_Look Back" xfId="2259"/>
    <cellStyle name="20% - Accent5 8" xfId="2260"/>
    <cellStyle name="20% - Accent5 8 2" xfId="2261"/>
    <cellStyle name="20% - Accent5 9" xfId="2262"/>
    <cellStyle name="20% - Accent5 9 2" xfId="2263"/>
    <cellStyle name="20% - Accent6" xfId="42" builtinId="50" customBuiltin="1"/>
    <cellStyle name="20% - Accent6 2" xfId="2264"/>
    <cellStyle name="20% - Accent6 2 2" xfId="2265"/>
    <cellStyle name="20% - Accent6 2 3" xfId="2266"/>
    <cellStyle name="20% - Accent6 2 4" xfId="2267"/>
    <cellStyle name="20% - Accent6 2 5" xfId="2268"/>
    <cellStyle name="20% - Accent6 2 6" xfId="43963"/>
    <cellStyle name="20% - Accent6 3" xfId="2269"/>
    <cellStyle name="20% - Accent6 3 2" xfId="2270"/>
    <cellStyle name="20% - Accent6 3 3" xfId="2271"/>
    <cellStyle name="20% - Accent6 4" xfId="2272"/>
    <cellStyle name="20% - Accent6 4 2" xfId="2273"/>
    <cellStyle name="20% - Accent6 5" xfId="2274"/>
    <cellStyle name="40 % - Accent1" xfId="2275"/>
    <cellStyle name="40 % - Accent2" xfId="2276"/>
    <cellStyle name="40 % - Accent3" xfId="2277"/>
    <cellStyle name="40 % - Accent4" xfId="2278"/>
    <cellStyle name="40 % - Accent5" xfId="2279"/>
    <cellStyle name="40 % - Accent6" xfId="2280"/>
    <cellStyle name="40% - Accent1" xfId="23" builtinId="31" customBuiltin="1"/>
    <cellStyle name="40% - Accent1 10" xfId="2281"/>
    <cellStyle name="40% - Accent1 2" xfId="2282"/>
    <cellStyle name="40% - Accent1 2 2" xfId="2283"/>
    <cellStyle name="40% - Accent1 2 3" xfId="2284"/>
    <cellStyle name="40% - Accent1 2 4" xfId="2285"/>
    <cellStyle name="40% - Accent1 2 5" xfId="2286"/>
    <cellStyle name="40% - Accent1 2 6" xfId="43964"/>
    <cellStyle name="40% - Accent1 2_IN" xfId="2287"/>
    <cellStyle name="40% - Accent1 3" xfId="2288"/>
    <cellStyle name="40% - Accent1 3 2" xfId="2289"/>
    <cellStyle name="40% - Accent1 3 3" xfId="2290"/>
    <cellStyle name="40% - Accent1 4" xfId="2291"/>
    <cellStyle name="40% - Accent1 4 2" xfId="2292"/>
    <cellStyle name="40% - Accent1 5" xfId="2293"/>
    <cellStyle name="40% - Accent1 6" xfId="2294"/>
    <cellStyle name="40% - Accent1 6 2" xfId="2295"/>
    <cellStyle name="40% - Accent1 6 2 2" xfId="2296"/>
    <cellStyle name="40% - Accent1 6 2 2 2" xfId="2297"/>
    <cellStyle name="40% - Accent1 6 2 3" xfId="2298"/>
    <cellStyle name="40% - Accent1 6 2_Look Back" xfId="2299"/>
    <cellStyle name="40% - Accent1 6 3" xfId="2300"/>
    <cellStyle name="40% - Accent1 6 3 2" xfId="2301"/>
    <cellStyle name="40% - Accent1 6 3 2 2" xfId="2302"/>
    <cellStyle name="40% - Accent1 6 3 3" xfId="2303"/>
    <cellStyle name="40% - Accent1 6 3_Look Back" xfId="2304"/>
    <cellStyle name="40% - Accent1 6 4" xfId="2305"/>
    <cellStyle name="40% - Accent1 6 4 2" xfId="2306"/>
    <cellStyle name="40% - Accent1 6 5" xfId="2307"/>
    <cellStyle name="40% - Accent1 6 5 2" xfId="2308"/>
    <cellStyle name="40% - Accent1 6 6" xfId="2309"/>
    <cellStyle name="40% - Accent1 6_Look Back" xfId="2310"/>
    <cellStyle name="40% - Accent1 7" xfId="2311"/>
    <cellStyle name="40% - Accent1 8" xfId="2312"/>
    <cellStyle name="40% - Accent1 9" xfId="2313"/>
    <cellStyle name="40% - Accent2" xfId="27" builtinId="35" customBuiltin="1"/>
    <cellStyle name="40% - Accent2 2" xfId="2314"/>
    <cellStyle name="40% - Accent2 2 2" xfId="2315"/>
    <cellStyle name="40% - Accent2 2 3" xfId="2316"/>
    <cellStyle name="40% - Accent2 2 4" xfId="2317"/>
    <cellStyle name="40% - Accent2 2 5" xfId="2318"/>
    <cellStyle name="40% - Accent2 2 6" xfId="43965"/>
    <cellStyle name="40% - Accent2 3" xfId="2319"/>
    <cellStyle name="40% - Accent2 3 2" xfId="2320"/>
    <cellStyle name="40% - Accent2 3 3" xfId="2321"/>
    <cellStyle name="40% - Accent2 4" xfId="2322"/>
    <cellStyle name="40% - Accent2 4 2" xfId="2323"/>
    <cellStyle name="40% - Accent2 5" xfId="2324"/>
    <cellStyle name="40% - Accent2 6" xfId="2325"/>
    <cellStyle name="40% - Accent2 6 2" xfId="2326"/>
    <cellStyle name="40% - Accent2 6 2 2" xfId="2327"/>
    <cellStyle name="40% - Accent2 6 3" xfId="2328"/>
    <cellStyle name="40% - Accent2 6_Look Back" xfId="2329"/>
    <cellStyle name="40% - Accent2 7" xfId="2330"/>
    <cellStyle name="40% - Accent2 7 2" xfId="2331"/>
    <cellStyle name="40% - Accent2 7 2 2" xfId="2332"/>
    <cellStyle name="40% - Accent2 7 3" xfId="2333"/>
    <cellStyle name="40% - Accent2 7_Look Back" xfId="2334"/>
    <cellStyle name="40% - Accent2 8" xfId="2335"/>
    <cellStyle name="40% - Accent2 8 2" xfId="2336"/>
    <cellStyle name="40% - Accent2 9" xfId="2337"/>
    <cellStyle name="40% - Accent2 9 2" xfId="2338"/>
    <cellStyle name="40% - Accent3" xfId="31" builtinId="39" customBuiltin="1"/>
    <cellStyle name="40% - Accent3 2" xfId="2339"/>
    <cellStyle name="40% - Accent3 2 2" xfId="2340"/>
    <cellStyle name="40% - Accent3 2 3" xfId="2341"/>
    <cellStyle name="40% - Accent3 2 4" xfId="2342"/>
    <cellStyle name="40% - Accent3 2 5" xfId="2343"/>
    <cellStyle name="40% - Accent3 2 6" xfId="43966"/>
    <cellStyle name="40% - Accent3 2_IN" xfId="2344"/>
    <cellStyle name="40% - Accent3 3" xfId="2345"/>
    <cellStyle name="40% - Accent3 3 2" xfId="2346"/>
    <cellStyle name="40% - Accent3 3 3" xfId="2347"/>
    <cellStyle name="40% - Accent3 4" xfId="2348"/>
    <cellStyle name="40% - Accent3 4 2" xfId="2349"/>
    <cellStyle name="40% - Accent3 5" xfId="2350"/>
    <cellStyle name="40% - Accent4" xfId="35" builtinId="43" customBuiltin="1"/>
    <cellStyle name="40% - Accent4 10" xfId="2351"/>
    <cellStyle name="40% - Accent4 2" xfId="2352"/>
    <cellStyle name="40% - Accent4 2 2" xfId="2353"/>
    <cellStyle name="40% - Accent4 2 3" xfId="2354"/>
    <cellStyle name="40% - Accent4 2 4" xfId="2355"/>
    <cellStyle name="40% - Accent4 2 5" xfId="2356"/>
    <cellStyle name="40% - Accent4 2 6" xfId="43967"/>
    <cellStyle name="40% - Accent4 2_IN" xfId="2357"/>
    <cellStyle name="40% - Accent4 3" xfId="2358"/>
    <cellStyle name="40% - Accent4 3 2" xfId="2359"/>
    <cellStyle name="40% - Accent4 3 3" xfId="2360"/>
    <cellStyle name="40% - Accent4 4" xfId="2361"/>
    <cellStyle name="40% - Accent4 4 2" xfId="2362"/>
    <cellStyle name="40% - Accent4 5" xfId="2363"/>
    <cellStyle name="40% - Accent4 6" xfId="2364"/>
    <cellStyle name="40% - Accent4 6 2" xfId="2365"/>
    <cellStyle name="40% - Accent4 6 2 2" xfId="2366"/>
    <cellStyle name="40% - Accent4 6 2 2 2" xfId="2367"/>
    <cellStyle name="40% - Accent4 6 2 3" xfId="2368"/>
    <cellStyle name="40% - Accent4 6 2_Look Back" xfId="2369"/>
    <cellStyle name="40% - Accent4 6 3" xfId="2370"/>
    <cellStyle name="40% - Accent4 6 3 2" xfId="2371"/>
    <cellStyle name="40% - Accent4 6 3 2 2" xfId="2372"/>
    <cellStyle name="40% - Accent4 6 3 3" xfId="2373"/>
    <cellStyle name="40% - Accent4 6 3_Look Back" xfId="2374"/>
    <cellStyle name="40% - Accent4 6 4" xfId="2375"/>
    <cellStyle name="40% - Accent4 6 4 2" xfId="2376"/>
    <cellStyle name="40% - Accent4 6 5" xfId="2377"/>
    <cellStyle name="40% - Accent4 6 5 2" xfId="2378"/>
    <cellStyle name="40% - Accent4 6 6" xfId="2379"/>
    <cellStyle name="40% - Accent4 6_Look Back" xfId="2380"/>
    <cellStyle name="40% - Accent4 7" xfId="2381"/>
    <cellStyle name="40% - Accent4 8" xfId="2382"/>
    <cellStyle name="40% - Accent4 9" xfId="2383"/>
    <cellStyle name="40% - Accent5" xfId="39" builtinId="47" customBuiltin="1"/>
    <cellStyle name="40% - Accent5 2" xfId="2384"/>
    <cellStyle name="40% - Accent5 2 2" xfId="2385"/>
    <cellStyle name="40% - Accent5 2 3" xfId="2386"/>
    <cellStyle name="40% - Accent5 2 4" xfId="2387"/>
    <cellStyle name="40% - Accent5 2 5" xfId="2388"/>
    <cellStyle name="40% - Accent5 2 6" xfId="43968"/>
    <cellStyle name="40% - Accent5 3" xfId="2389"/>
    <cellStyle name="40% - Accent5 3 2" xfId="2390"/>
    <cellStyle name="40% - Accent5 3 3" xfId="2391"/>
    <cellStyle name="40% - Accent5 4" xfId="2392"/>
    <cellStyle name="40% - Accent5 4 2" xfId="2393"/>
    <cellStyle name="40% - Accent5 5" xfId="2394"/>
    <cellStyle name="40% - Accent5 6" xfId="2395"/>
    <cellStyle name="40% - Accent5 6 2" xfId="2396"/>
    <cellStyle name="40% - Accent5 6 2 2" xfId="2397"/>
    <cellStyle name="40% - Accent5 6 3" xfId="2398"/>
    <cellStyle name="40% - Accent5 6_Look Back" xfId="2399"/>
    <cellStyle name="40% - Accent5 7" xfId="2400"/>
    <cellStyle name="40% - Accent5 7 2" xfId="2401"/>
    <cellStyle name="40% - Accent5 7 2 2" xfId="2402"/>
    <cellStyle name="40% - Accent5 7 3" xfId="2403"/>
    <cellStyle name="40% - Accent5 7_Look Back" xfId="2404"/>
    <cellStyle name="40% - Accent5 8" xfId="2405"/>
    <cellStyle name="40% - Accent5 8 2" xfId="2406"/>
    <cellStyle name="40% - Accent5 9" xfId="2407"/>
    <cellStyle name="40% - Accent5 9 2" xfId="2408"/>
    <cellStyle name="40% - Accent6" xfId="43" builtinId="51" customBuiltin="1"/>
    <cellStyle name="40% - Accent6 10" xfId="2409"/>
    <cellStyle name="40% - Accent6 10 2" xfId="2410"/>
    <cellStyle name="40% - Accent6 11" xfId="2411"/>
    <cellStyle name="40% - Accent6 11 2" xfId="2412"/>
    <cellStyle name="40% - Accent6 2" xfId="2413"/>
    <cellStyle name="40% - Accent6 2 2" xfId="2414"/>
    <cellStyle name="40% - Accent6 2 3" xfId="2415"/>
    <cellStyle name="40% - Accent6 2 4" xfId="2416"/>
    <cellStyle name="40% - Accent6 2 5" xfId="2417"/>
    <cellStyle name="40% - Accent6 2 6" xfId="43969"/>
    <cellStyle name="40% - Accent6 2_IN" xfId="2418"/>
    <cellStyle name="40% - Accent6 3" xfId="2419"/>
    <cellStyle name="40% - Accent6 3 2" xfId="2420"/>
    <cellStyle name="40% - Accent6 3 3" xfId="2421"/>
    <cellStyle name="40% - Accent6 4" xfId="2422"/>
    <cellStyle name="40% - Accent6 4 2" xfId="2423"/>
    <cellStyle name="40% - Accent6 5" xfId="2424"/>
    <cellStyle name="40% - Accent6 6" xfId="2425"/>
    <cellStyle name="40% - Accent6 6 2" xfId="2426"/>
    <cellStyle name="40% - Accent6 6 2 2" xfId="2427"/>
    <cellStyle name="40% - Accent6 6 3" xfId="2428"/>
    <cellStyle name="40% - Accent6 6_Look Back" xfId="2429"/>
    <cellStyle name="40% - Accent6 7" xfId="2430"/>
    <cellStyle name="40% - Accent6 7 2" xfId="2431"/>
    <cellStyle name="40% - Accent6 7 2 2" xfId="2432"/>
    <cellStyle name="40% - Accent6 7 3" xfId="2433"/>
    <cellStyle name="40% - Accent6 7_Look Back" xfId="2434"/>
    <cellStyle name="40% - Accent6 8" xfId="2435"/>
    <cellStyle name="40% - Accent6 8 2" xfId="2436"/>
    <cellStyle name="40% - Accent6 8 2 2" xfId="2437"/>
    <cellStyle name="40% - Accent6 8 3" xfId="2438"/>
    <cellStyle name="40% - Accent6 8_Look Back" xfId="2439"/>
    <cellStyle name="40% - Accent6 9" xfId="2440"/>
    <cellStyle name="40% - Accent6 9 2" xfId="2441"/>
    <cellStyle name="60 % - Accent1" xfId="2442"/>
    <cellStyle name="60 % - Accent2" xfId="2443"/>
    <cellStyle name="60 % - Accent3" xfId="2444"/>
    <cellStyle name="60 % - Accent4" xfId="2445"/>
    <cellStyle name="60 % - Accent5" xfId="2446"/>
    <cellStyle name="60 % - Accent6" xfId="2447"/>
    <cellStyle name="60% - Accent1" xfId="24" builtinId="32" customBuiltin="1"/>
    <cellStyle name="60% - Accent1 2" xfId="2448"/>
    <cellStyle name="60% - Accent1 2 2" xfId="2449"/>
    <cellStyle name="60% - Accent1 2 3" xfId="2450"/>
    <cellStyle name="60% - Accent1 2 4" xfId="2451"/>
    <cellStyle name="60% - Accent1 2 5" xfId="2452"/>
    <cellStyle name="60% - Accent1 2_IN" xfId="2453"/>
    <cellStyle name="60% - Accent1 3" xfId="2454"/>
    <cellStyle name="60% - Accent1 3 2" xfId="2455"/>
    <cellStyle name="60% - Accent1 3 3" xfId="2456"/>
    <cellStyle name="60% - Accent1 4" xfId="2457"/>
    <cellStyle name="60% - Accent1 4 2" xfId="2458"/>
    <cellStyle name="60% - Accent1 5" xfId="2459"/>
    <cellStyle name="60% - Accent2" xfId="28" builtinId="36" customBuiltin="1"/>
    <cellStyle name="60% - Accent2 2" xfId="2460"/>
    <cellStyle name="60% - Accent2 2 2" xfId="2461"/>
    <cellStyle name="60% - Accent2 2 3" xfId="2462"/>
    <cellStyle name="60% - Accent2 2 4" xfId="2463"/>
    <cellStyle name="60% - Accent2 2 5" xfId="2464"/>
    <cellStyle name="60% - Accent2 3" xfId="2465"/>
    <cellStyle name="60% - Accent2 3 2" xfId="2466"/>
    <cellStyle name="60% - Accent2 3 3" xfId="2467"/>
    <cellStyle name="60% - Accent2 4" xfId="2468"/>
    <cellStyle name="60% - Accent2 4 2" xfId="2469"/>
    <cellStyle name="60% - Accent2 5" xfId="2470"/>
    <cellStyle name="60% - Accent3" xfId="32" builtinId="40" customBuiltin="1"/>
    <cellStyle name="60% - Accent3 2" xfId="2471"/>
    <cellStyle name="60% - Accent3 2 2" xfId="2472"/>
    <cellStyle name="60% - Accent3 2 3" xfId="2473"/>
    <cellStyle name="60% - Accent3 2 4" xfId="2474"/>
    <cellStyle name="60% - Accent3 2 5" xfId="2475"/>
    <cellStyle name="60% - Accent3 2_IN" xfId="2476"/>
    <cellStyle name="60% - Accent3 3" xfId="2477"/>
    <cellStyle name="60% - Accent3 3 2" xfId="2478"/>
    <cellStyle name="60% - Accent3 3 3" xfId="2479"/>
    <cellStyle name="60% - Accent3 4" xfId="2480"/>
    <cellStyle name="60% - Accent3 4 2" xfId="2481"/>
    <cellStyle name="60% - Accent3 5" xfId="2482"/>
    <cellStyle name="60% - Accent4" xfId="36" builtinId="44" customBuiltin="1"/>
    <cellStyle name="60% - Accent4 2" xfId="2483"/>
    <cellStyle name="60% - Accent4 2 2" xfId="2484"/>
    <cellStyle name="60% - Accent4 2 3" xfId="2485"/>
    <cellStyle name="60% - Accent4 2 4" xfId="2486"/>
    <cellStyle name="60% - Accent4 2 5" xfId="2487"/>
    <cellStyle name="60% - Accent4 2_IN" xfId="2488"/>
    <cellStyle name="60% - Accent4 3" xfId="2489"/>
    <cellStyle name="60% - Accent4 3 2" xfId="2490"/>
    <cellStyle name="60% - Accent4 3 3" xfId="2491"/>
    <cellStyle name="60% - Accent4 4" xfId="2492"/>
    <cellStyle name="60% - Accent4 4 2" xfId="2493"/>
    <cellStyle name="60% - Accent4 5" xfId="2494"/>
    <cellStyle name="60% - Accent5" xfId="40" builtinId="48" customBuiltin="1"/>
    <cellStyle name="60% - Accent5 2" xfId="2495"/>
    <cellStyle name="60% - Accent5 2 2" xfId="2496"/>
    <cellStyle name="60% - Accent5 2 3" xfId="2497"/>
    <cellStyle name="60% - Accent5 2 4" xfId="2498"/>
    <cellStyle name="60% - Accent5 2 5" xfId="2499"/>
    <cellStyle name="60% - Accent5 3" xfId="2500"/>
    <cellStyle name="60% - Accent5 3 2" xfId="2501"/>
    <cellStyle name="60% - Accent5 3 3" xfId="2502"/>
    <cellStyle name="60% - Accent5 4" xfId="2503"/>
    <cellStyle name="60% - Accent5 4 2" xfId="2504"/>
    <cellStyle name="60% - Accent5 5" xfId="2505"/>
    <cellStyle name="60% - Accent6" xfId="44" builtinId="52" customBuiltin="1"/>
    <cellStyle name="60% - Accent6 2" xfId="2506"/>
    <cellStyle name="60% - Accent6 2 2" xfId="2507"/>
    <cellStyle name="60% - Accent6 2 3" xfId="2508"/>
    <cellStyle name="60% - Accent6 2 4" xfId="2509"/>
    <cellStyle name="60% - Accent6 2 5" xfId="2510"/>
    <cellStyle name="60% - Accent6 2_IN" xfId="2511"/>
    <cellStyle name="60% - Accent6 3" xfId="2512"/>
    <cellStyle name="60% - Accent6 3 2" xfId="2513"/>
    <cellStyle name="60% - Accent6 3 3" xfId="2514"/>
    <cellStyle name="60% - Accent6 4" xfId="2515"/>
    <cellStyle name="60% - Accent6 4 2" xfId="2516"/>
    <cellStyle name="60% - Accent6 5" xfId="2517"/>
    <cellStyle name="Accent1" xfId="21" builtinId="29" customBuiltin="1"/>
    <cellStyle name="Accent1 10" xfId="2518"/>
    <cellStyle name="Accent1 2" xfId="2519"/>
    <cellStyle name="Accent1 2 2" xfId="2520"/>
    <cellStyle name="Accent1 2 3" xfId="2521"/>
    <cellStyle name="Accent1 2 4" xfId="2522"/>
    <cellStyle name="Accent1 2 5" xfId="2523"/>
    <cellStyle name="Accent1 2_IN" xfId="2524"/>
    <cellStyle name="Accent1 3" xfId="2525"/>
    <cellStyle name="Accent1 3 2" xfId="2526"/>
    <cellStyle name="Accent1 3 3" xfId="2527"/>
    <cellStyle name="Accent1 4" xfId="2528"/>
    <cellStyle name="Accent1 4 2" xfId="2529"/>
    <cellStyle name="Accent1 5" xfId="2530"/>
    <cellStyle name="Accent1 6" xfId="2531"/>
    <cellStyle name="Accent1 7" xfId="2532"/>
    <cellStyle name="Accent1 8" xfId="2533"/>
    <cellStyle name="Accent1 9" xfId="2534"/>
    <cellStyle name="Accent2" xfId="25" builtinId="33" customBuiltin="1"/>
    <cellStyle name="Accent2 10" xfId="2535"/>
    <cellStyle name="Accent2 2" xfId="2536"/>
    <cellStyle name="Accent2 2 2" xfId="2537"/>
    <cellStyle name="Accent2 2 3" xfId="2538"/>
    <cellStyle name="Accent2 2 4" xfId="2539"/>
    <cellStyle name="Accent2 2 5" xfId="2540"/>
    <cellStyle name="Accent2 2_IN" xfId="2541"/>
    <cellStyle name="Accent2 3" xfId="2542"/>
    <cellStyle name="Accent2 3 2" xfId="2543"/>
    <cellStyle name="Accent2 3 3" xfId="2544"/>
    <cellStyle name="Accent2 4" xfId="2545"/>
    <cellStyle name="Accent2 4 2" xfId="2546"/>
    <cellStyle name="Accent2 5" xfId="2547"/>
    <cellStyle name="Accent2 6" xfId="2548"/>
    <cellStyle name="Accent2 7" xfId="2549"/>
    <cellStyle name="Accent2 8" xfId="2550"/>
    <cellStyle name="Accent2 9" xfId="2551"/>
    <cellStyle name="Accent3" xfId="29" builtinId="37" customBuiltin="1"/>
    <cellStyle name="Accent3 10" xfId="2552"/>
    <cellStyle name="Accent3 2" xfId="2553"/>
    <cellStyle name="Accent3 2 2" xfId="2554"/>
    <cellStyle name="Accent3 2 3" xfId="2555"/>
    <cellStyle name="Accent3 2 4" xfId="2556"/>
    <cellStyle name="Accent3 2 5" xfId="2557"/>
    <cellStyle name="Accent3 2_IN" xfId="2558"/>
    <cellStyle name="Accent3 3" xfId="2559"/>
    <cellStyle name="Accent3 3 2" xfId="2560"/>
    <cellStyle name="Accent3 3 3" xfId="2561"/>
    <cellStyle name="Accent3 4" xfId="2562"/>
    <cellStyle name="Accent3 4 2" xfId="2563"/>
    <cellStyle name="Accent3 5" xfId="2564"/>
    <cellStyle name="Accent3 6" xfId="2565"/>
    <cellStyle name="Accent3 7" xfId="2566"/>
    <cellStyle name="Accent3 8" xfId="2567"/>
    <cellStyle name="Accent3 9" xfId="2568"/>
    <cellStyle name="Accent4" xfId="33" builtinId="41" customBuiltin="1"/>
    <cellStyle name="Accent4 10" xfId="2569"/>
    <cellStyle name="Accent4 2" xfId="2570"/>
    <cellStyle name="Accent4 2 2" xfId="2571"/>
    <cellStyle name="Accent4 2 3" xfId="2572"/>
    <cellStyle name="Accent4 2 4" xfId="2573"/>
    <cellStyle name="Accent4 2 5" xfId="2574"/>
    <cellStyle name="Accent4 2_IN" xfId="2575"/>
    <cellStyle name="Accent4 3" xfId="2576"/>
    <cellStyle name="Accent4 3 2" xfId="2577"/>
    <cellStyle name="Accent4 3 3" xfId="2578"/>
    <cellStyle name="Accent4 4" xfId="2579"/>
    <cellStyle name="Accent4 4 2" xfId="2580"/>
    <cellStyle name="Accent4 5" xfId="2581"/>
    <cellStyle name="Accent4 6" xfId="2582"/>
    <cellStyle name="Accent4 7" xfId="2583"/>
    <cellStyle name="Accent4 8" xfId="2584"/>
    <cellStyle name="Accent4 9" xfId="2585"/>
    <cellStyle name="Accent5" xfId="37" builtinId="45" customBuiltin="1"/>
    <cellStyle name="Accent5 2" xfId="2586"/>
    <cellStyle name="Accent5 2 2" xfId="2587"/>
    <cellStyle name="Accent5 2 3" xfId="2588"/>
    <cellStyle name="Accent5 2 4" xfId="2589"/>
    <cellStyle name="Accent5 2 5" xfId="2590"/>
    <cellStyle name="Accent5 3" xfId="2591"/>
    <cellStyle name="Accent5 3 2" xfId="2592"/>
    <cellStyle name="Accent5 3 3" xfId="2593"/>
    <cellStyle name="Accent5 4" xfId="2594"/>
    <cellStyle name="Accent5 4 2" xfId="2595"/>
    <cellStyle name="Accent5 5" xfId="2596"/>
    <cellStyle name="Accent6" xfId="41" builtinId="49" customBuiltin="1"/>
    <cellStyle name="Accent6 2" xfId="2597"/>
    <cellStyle name="Accent6 2 2" xfId="2598"/>
    <cellStyle name="Accent6 2 3" xfId="2599"/>
    <cellStyle name="Accent6 2 4" xfId="2600"/>
    <cellStyle name="Accent6 2 5" xfId="2601"/>
    <cellStyle name="Accent6 3" xfId="2602"/>
    <cellStyle name="Accent6 3 2" xfId="2603"/>
    <cellStyle name="Accent6 3 3" xfId="2604"/>
    <cellStyle name="Accent6 4" xfId="2605"/>
    <cellStyle name="Accent6 4 2" xfId="2606"/>
    <cellStyle name="Accent6 5" xfId="2607"/>
    <cellStyle name="Accent6 6" xfId="2608"/>
    <cellStyle name="Accent6 7" xfId="2609"/>
    <cellStyle name="Avertissement" xfId="2610"/>
    <cellStyle name="Bad" xfId="10" builtinId="27" customBuiltin="1"/>
    <cellStyle name="Bad 2" xfId="2611"/>
    <cellStyle name="Bad 2 2" xfId="2612"/>
    <cellStyle name="Bad 2 3" xfId="2613"/>
    <cellStyle name="Bad 2 4" xfId="2614"/>
    <cellStyle name="Bad 2 5" xfId="2615"/>
    <cellStyle name="Bad 2_IN" xfId="2616"/>
    <cellStyle name="Bad 3" xfId="2617"/>
    <cellStyle name="Bad 3 2" xfId="2618"/>
    <cellStyle name="Bad 3 3" xfId="2619"/>
    <cellStyle name="Bad 4" xfId="2620"/>
    <cellStyle name="Bad 4 2" xfId="2621"/>
    <cellStyle name="Bad 5" xfId="2622"/>
    <cellStyle name="Calcul" xfId="2623"/>
    <cellStyle name="Calcul 10" xfId="2624"/>
    <cellStyle name="Calcul 10 2" xfId="2625"/>
    <cellStyle name="Calcul 10 2 2" xfId="18901"/>
    <cellStyle name="Calcul 10 2 2 2" xfId="38969"/>
    <cellStyle name="Calcul 10 2 3" xfId="24484"/>
    <cellStyle name="Calcul 10 3" xfId="15537"/>
    <cellStyle name="Calcul 10 3 2" xfId="35605"/>
    <cellStyle name="Calcul 10 4" xfId="24483"/>
    <cellStyle name="Calcul 11" xfId="2626"/>
    <cellStyle name="Calcul 11 2" xfId="2627"/>
    <cellStyle name="Calcul 11 2 2" xfId="18902"/>
    <cellStyle name="Calcul 11 2 2 2" xfId="38970"/>
    <cellStyle name="Calcul 11 2 3" xfId="24486"/>
    <cellStyle name="Calcul 11 3" xfId="15542"/>
    <cellStyle name="Calcul 11 3 2" xfId="35610"/>
    <cellStyle name="Calcul 11 4" xfId="24485"/>
    <cellStyle name="Calcul 12" xfId="2628"/>
    <cellStyle name="Calcul 12 2" xfId="2629"/>
    <cellStyle name="Calcul 12 2 2" xfId="18903"/>
    <cellStyle name="Calcul 12 2 2 2" xfId="38971"/>
    <cellStyle name="Calcul 12 2 3" xfId="24488"/>
    <cellStyle name="Calcul 12 3" xfId="16318"/>
    <cellStyle name="Calcul 12 3 2" xfId="36386"/>
    <cellStyle name="Calcul 12 4" xfId="24487"/>
    <cellStyle name="Calcul 13" xfId="2630"/>
    <cellStyle name="Calcul 13 2" xfId="2631"/>
    <cellStyle name="Calcul 13 2 2" xfId="18904"/>
    <cellStyle name="Calcul 13 2 2 2" xfId="38972"/>
    <cellStyle name="Calcul 13 2 3" xfId="24490"/>
    <cellStyle name="Calcul 13 3" xfId="16278"/>
    <cellStyle name="Calcul 13 3 2" xfId="36346"/>
    <cellStyle name="Calcul 13 4" xfId="24489"/>
    <cellStyle name="Calcul 14" xfId="2632"/>
    <cellStyle name="Calcul 14 2" xfId="2633"/>
    <cellStyle name="Calcul 14 2 2" xfId="18905"/>
    <cellStyle name="Calcul 14 2 2 2" xfId="38973"/>
    <cellStyle name="Calcul 14 2 3" xfId="24492"/>
    <cellStyle name="Calcul 14 3" xfId="16426"/>
    <cellStyle name="Calcul 14 3 2" xfId="36494"/>
    <cellStyle name="Calcul 14 4" xfId="24491"/>
    <cellStyle name="Calcul 15" xfId="2634"/>
    <cellStyle name="Calcul 15 2" xfId="2635"/>
    <cellStyle name="Calcul 15 2 2" xfId="18906"/>
    <cellStyle name="Calcul 15 2 2 2" xfId="38974"/>
    <cellStyle name="Calcul 15 2 3" xfId="24494"/>
    <cellStyle name="Calcul 15 3" xfId="17004"/>
    <cellStyle name="Calcul 15 3 2" xfId="37072"/>
    <cellStyle name="Calcul 15 4" xfId="24493"/>
    <cellStyle name="Calcul 16" xfId="2636"/>
    <cellStyle name="Calcul 16 2" xfId="2637"/>
    <cellStyle name="Calcul 16 2 2" xfId="18907"/>
    <cellStyle name="Calcul 16 2 2 2" xfId="38975"/>
    <cellStyle name="Calcul 16 2 3" xfId="24496"/>
    <cellStyle name="Calcul 16 3" xfId="16637"/>
    <cellStyle name="Calcul 16 3 2" xfId="36705"/>
    <cellStyle name="Calcul 16 4" xfId="24495"/>
    <cellStyle name="Calcul 17" xfId="2638"/>
    <cellStyle name="Calcul 17 2" xfId="2639"/>
    <cellStyle name="Calcul 17 2 2" xfId="18908"/>
    <cellStyle name="Calcul 17 2 2 2" xfId="38976"/>
    <cellStyle name="Calcul 17 2 3" xfId="24498"/>
    <cellStyle name="Calcul 17 3" xfId="16068"/>
    <cellStyle name="Calcul 17 3 2" xfId="36136"/>
    <cellStyle name="Calcul 17 4" xfId="24497"/>
    <cellStyle name="Calcul 18" xfId="2640"/>
    <cellStyle name="Calcul 18 2" xfId="2641"/>
    <cellStyle name="Calcul 18 2 2" xfId="18909"/>
    <cellStyle name="Calcul 18 2 2 2" xfId="38977"/>
    <cellStyle name="Calcul 18 2 3" xfId="24500"/>
    <cellStyle name="Calcul 18 3" xfId="15795"/>
    <cellStyle name="Calcul 18 3 2" xfId="35863"/>
    <cellStyle name="Calcul 18 4" xfId="24499"/>
    <cellStyle name="Calcul 19" xfId="2642"/>
    <cellStyle name="Calcul 19 2" xfId="2643"/>
    <cellStyle name="Calcul 19 2 2" xfId="18910"/>
    <cellStyle name="Calcul 19 2 2 2" xfId="38978"/>
    <cellStyle name="Calcul 19 2 3" xfId="24502"/>
    <cellStyle name="Calcul 19 3" xfId="16324"/>
    <cellStyle name="Calcul 19 3 2" xfId="36392"/>
    <cellStyle name="Calcul 19 4" xfId="24501"/>
    <cellStyle name="Calcul 2" xfId="2644"/>
    <cellStyle name="Calcul 2 10" xfId="2645"/>
    <cellStyle name="Calcul 2 10 2" xfId="2646"/>
    <cellStyle name="Calcul 2 10 2 2" xfId="18912"/>
    <cellStyle name="Calcul 2 10 2 2 2" xfId="38980"/>
    <cellStyle name="Calcul 2 10 2 3" xfId="24505"/>
    <cellStyle name="Calcul 2 10 3" xfId="16734"/>
    <cellStyle name="Calcul 2 10 3 2" xfId="36802"/>
    <cellStyle name="Calcul 2 10 4" xfId="24504"/>
    <cellStyle name="Calcul 2 11" xfId="2647"/>
    <cellStyle name="Calcul 2 11 2" xfId="2648"/>
    <cellStyle name="Calcul 2 11 2 2" xfId="18913"/>
    <cellStyle name="Calcul 2 11 2 2 2" xfId="38981"/>
    <cellStyle name="Calcul 2 11 2 3" xfId="24507"/>
    <cellStyle name="Calcul 2 11 3" xfId="16905"/>
    <cellStyle name="Calcul 2 11 3 2" xfId="36973"/>
    <cellStyle name="Calcul 2 11 4" xfId="24506"/>
    <cellStyle name="Calcul 2 12" xfId="2649"/>
    <cellStyle name="Calcul 2 12 2" xfId="2650"/>
    <cellStyle name="Calcul 2 12 2 2" xfId="18914"/>
    <cellStyle name="Calcul 2 12 2 2 2" xfId="38982"/>
    <cellStyle name="Calcul 2 12 2 3" xfId="24509"/>
    <cellStyle name="Calcul 2 12 3" xfId="17040"/>
    <cellStyle name="Calcul 2 12 3 2" xfId="37108"/>
    <cellStyle name="Calcul 2 12 4" xfId="24508"/>
    <cellStyle name="Calcul 2 13" xfId="2651"/>
    <cellStyle name="Calcul 2 13 2" xfId="2652"/>
    <cellStyle name="Calcul 2 13 2 2" xfId="18915"/>
    <cellStyle name="Calcul 2 13 2 2 2" xfId="38983"/>
    <cellStyle name="Calcul 2 13 2 3" xfId="24511"/>
    <cellStyle name="Calcul 2 13 3" xfId="17212"/>
    <cellStyle name="Calcul 2 13 3 2" xfId="37280"/>
    <cellStyle name="Calcul 2 13 4" xfId="24510"/>
    <cellStyle name="Calcul 2 14" xfId="2653"/>
    <cellStyle name="Calcul 2 14 2" xfId="2654"/>
    <cellStyle name="Calcul 2 14 2 2" xfId="18916"/>
    <cellStyle name="Calcul 2 14 2 2 2" xfId="38984"/>
    <cellStyle name="Calcul 2 14 2 3" xfId="24513"/>
    <cellStyle name="Calcul 2 14 3" xfId="17382"/>
    <cellStyle name="Calcul 2 14 3 2" xfId="37450"/>
    <cellStyle name="Calcul 2 14 4" xfId="24512"/>
    <cellStyle name="Calcul 2 15" xfId="2655"/>
    <cellStyle name="Calcul 2 15 2" xfId="2656"/>
    <cellStyle name="Calcul 2 15 2 2" xfId="18917"/>
    <cellStyle name="Calcul 2 15 2 2 2" xfId="38985"/>
    <cellStyle name="Calcul 2 15 2 3" xfId="24515"/>
    <cellStyle name="Calcul 2 15 3" xfId="17510"/>
    <cellStyle name="Calcul 2 15 3 2" xfId="37578"/>
    <cellStyle name="Calcul 2 15 4" xfId="24514"/>
    <cellStyle name="Calcul 2 16" xfId="2657"/>
    <cellStyle name="Calcul 2 16 2" xfId="2658"/>
    <cellStyle name="Calcul 2 16 2 2" xfId="18918"/>
    <cellStyle name="Calcul 2 16 2 2 2" xfId="38986"/>
    <cellStyle name="Calcul 2 16 2 3" xfId="24517"/>
    <cellStyle name="Calcul 2 16 3" xfId="17627"/>
    <cellStyle name="Calcul 2 16 3 2" xfId="37695"/>
    <cellStyle name="Calcul 2 16 4" xfId="24516"/>
    <cellStyle name="Calcul 2 17" xfId="2659"/>
    <cellStyle name="Calcul 2 17 2" xfId="2660"/>
    <cellStyle name="Calcul 2 17 2 2" xfId="18919"/>
    <cellStyle name="Calcul 2 17 2 2 2" xfId="38987"/>
    <cellStyle name="Calcul 2 17 2 3" xfId="24519"/>
    <cellStyle name="Calcul 2 17 3" xfId="17762"/>
    <cellStyle name="Calcul 2 17 3 2" xfId="37830"/>
    <cellStyle name="Calcul 2 17 4" xfId="24518"/>
    <cellStyle name="Calcul 2 18" xfId="2661"/>
    <cellStyle name="Calcul 2 18 2" xfId="2662"/>
    <cellStyle name="Calcul 2 18 2 2" xfId="18920"/>
    <cellStyle name="Calcul 2 18 2 2 2" xfId="38988"/>
    <cellStyle name="Calcul 2 18 2 3" xfId="24521"/>
    <cellStyle name="Calcul 2 18 3" xfId="17890"/>
    <cellStyle name="Calcul 2 18 3 2" xfId="37958"/>
    <cellStyle name="Calcul 2 18 4" xfId="24520"/>
    <cellStyle name="Calcul 2 19" xfId="2663"/>
    <cellStyle name="Calcul 2 19 2" xfId="2664"/>
    <cellStyle name="Calcul 2 19 2 2" xfId="18921"/>
    <cellStyle name="Calcul 2 19 2 2 2" xfId="38989"/>
    <cellStyle name="Calcul 2 19 2 3" xfId="24523"/>
    <cellStyle name="Calcul 2 19 3" xfId="18041"/>
    <cellStyle name="Calcul 2 19 3 2" xfId="38109"/>
    <cellStyle name="Calcul 2 19 4" xfId="24522"/>
    <cellStyle name="Calcul 2 2" xfId="2665"/>
    <cellStyle name="Calcul 2 2 2" xfId="2666"/>
    <cellStyle name="Calcul 2 2 2 2" xfId="18922"/>
    <cellStyle name="Calcul 2 2 2 2 2" xfId="38990"/>
    <cellStyle name="Calcul 2 2 2 3" xfId="24525"/>
    <cellStyle name="Calcul 2 2 3" xfId="14627"/>
    <cellStyle name="Calcul 2 2 3 2" xfId="34695"/>
    <cellStyle name="Calcul 2 2 4" xfId="24524"/>
    <cellStyle name="Calcul 2 20" xfId="2667"/>
    <cellStyle name="Calcul 2 20 2" xfId="2668"/>
    <cellStyle name="Calcul 2 20 2 2" xfId="18923"/>
    <cellStyle name="Calcul 2 20 2 2 2" xfId="38991"/>
    <cellStyle name="Calcul 2 20 2 3" xfId="24527"/>
    <cellStyle name="Calcul 2 20 3" xfId="18157"/>
    <cellStyle name="Calcul 2 20 3 2" xfId="38225"/>
    <cellStyle name="Calcul 2 20 4" xfId="24526"/>
    <cellStyle name="Calcul 2 21" xfId="2669"/>
    <cellStyle name="Calcul 2 21 2" xfId="2670"/>
    <cellStyle name="Calcul 2 21 2 2" xfId="18924"/>
    <cellStyle name="Calcul 2 21 2 2 2" xfId="38992"/>
    <cellStyle name="Calcul 2 21 2 3" xfId="24529"/>
    <cellStyle name="Calcul 2 21 3" xfId="15679"/>
    <cellStyle name="Calcul 2 21 3 2" xfId="35747"/>
    <cellStyle name="Calcul 2 21 4" xfId="24528"/>
    <cellStyle name="Calcul 2 22" xfId="2671"/>
    <cellStyle name="Calcul 2 22 2" xfId="2672"/>
    <cellStyle name="Calcul 2 22 2 2" xfId="18925"/>
    <cellStyle name="Calcul 2 22 2 2 2" xfId="38993"/>
    <cellStyle name="Calcul 2 22 2 3" xfId="24531"/>
    <cellStyle name="Calcul 2 22 3" xfId="18352"/>
    <cellStyle name="Calcul 2 22 3 2" xfId="38420"/>
    <cellStyle name="Calcul 2 22 4" xfId="24530"/>
    <cellStyle name="Calcul 2 23" xfId="2673"/>
    <cellStyle name="Calcul 2 23 2" xfId="2674"/>
    <cellStyle name="Calcul 2 23 2 2" xfId="18926"/>
    <cellStyle name="Calcul 2 23 2 2 2" xfId="38994"/>
    <cellStyle name="Calcul 2 23 2 3" xfId="24533"/>
    <cellStyle name="Calcul 2 23 3" xfId="18497"/>
    <cellStyle name="Calcul 2 23 3 2" xfId="38565"/>
    <cellStyle name="Calcul 2 23 4" xfId="24532"/>
    <cellStyle name="Calcul 2 24" xfId="2675"/>
    <cellStyle name="Calcul 2 24 2" xfId="2676"/>
    <cellStyle name="Calcul 2 24 2 2" xfId="18927"/>
    <cellStyle name="Calcul 2 24 2 2 2" xfId="38995"/>
    <cellStyle name="Calcul 2 24 2 3" xfId="24535"/>
    <cellStyle name="Calcul 2 24 3" xfId="18608"/>
    <cellStyle name="Calcul 2 24 3 2" xfId="38676"/>
    <cellStyle name="Calcul 2 24 4" xfId="24534"/>
    <cellStyle name="Calcul 2 25" xfId="2677"/>
    <cellStyle name="Calcul 2 25 2" xfId="2678"/>
    <cellStyle name="Calcul 2 25 2 2" xfId="18928"/>
    <cellStyle name="Calcul 2 25 2 2 2" xfId="38996"/>
    <cellStyle name="Calcul 2 25 2 3" xfId="24537"/>
    <cellStyle name="Calcul 2 25 3" xfId="18708"/>
    <cellStyle name="Calcul 2 25 3 2" xfId="38776"/>
    <cellStyle name="Calcul 2 25 4" xfId="24536"/>
    <cellStyle name="Calcul 2 26" xfId="2679"/>
    <cellStyle name="Calcul 2 26 2" xfId="2680"/>
    <cellStyle name="Calcul 2 26 2 2" xfId="18929"/>
    <cellStyle name="Calcul 2 26 2 2 2" xfId="38997"/>
    <cellStyle name="Calcul 2 26 2 3" xfId="24539"/>
    <cellStyle name="Calcul 2 26 3" xfId="18808"/>
    <cellStyle name="Calcul 2 26 3 2" xfId="38876"/>
    <cellStyle name="Calcul 2 26 4" xfId="24538"/>
    <cellStyle name="Calcul 2 27" xfId="2681"/>
    <cellStyle name="Calcul 2 27 2" xfId="18911"/>
    <cellStyle name="Calcul 2 27 2 2" xfId="38979"/>
    <cellStyle name="Calcul 2 27 3" xfId="24540"/>
    <cellStyle name="Calcul 2 28" xfId="13954"/>
    <cellStyle name="Calcul 2 28 2" xfId="34022"/>
    <cellStyle name="Calcul 2 29" xfId="24503"/>
    <cellStyle name="Calcul 2 3" xfId="2682"/>
    <cellStyle name="Calcul 2 3 2" xfId="2683"/>
    <cellStyle name="Calcul 2 3 2 2" xfId="18930"/>
    <cellStyle name="Calcul 2 3 2 2 2" xfId="38998"/>
    <cellStyle name="Calcul 2 3 2 3" xfId="24542"/>
    <cellStyle name="Calcul 2 3 3" xfId="14745"/>
    <cellStyle name="Calcul 2 3 3 2" xfId="34813"/>
    <cellStyle name="Calcul 2 3 4" xfId="24541"/>
    <cellStyle name="Calcul 2 4" xfId="2684"/>
    <cellStyle name="Calcul 2 4 2" xfId="2685"/>
    <cellStyle name="Calcul 2 4 2 2" xfId="18931"/>
    <cellStyle name="Calcul 2 4 2 2 2" xfId="38999"/>
    <cellStyle name="Calcul 2 4 2 3" xfId="24544"/>
    <cellStyle name="Calcul 2 4 3" xfId="14864"/>
    <cellStyle name="Calcul 2 4 3 2" xfId="34932"/>
    <cellStyle name="Calcul 2 4 4" xfId="24543"/>
    <cellStyle name="Calcul 2 5" xfId="2686"/>
    <cellStyle name="Calcul 2 5 2" xfId="2687"/>
    <cellStyle name="Calcul 2 5 2 2" xfId="18932"/>
    <cellStyle name="Calcul 2 5 2 2 2" xfId="39000"/>
    <cellStyle name="Calcul 2 5 2 3" xfId="24546"/>
    <cellStyle name="Calcul 2 5 3" xfId="15033"/>
    <cellStyle name="Calcul 2 5 3 2" xfId="35101"/>
    <cellStyle name="Calcul 2 5 4" xfId="24545"/>
    <cellStyle name="Calcul 2 6" xfId="2688"/>
    <cellStyle name="Calcul 2 6 2" xfId="2689"/>
    <cellStyle name="Calcul 2 6 2 2" xfId="18933"/>
    <cellStyle name="Calcul 2 6 2 2 2" xfId="39001"/>
    <cellStyle name="Calcul 2 6 2 3" xfId="24548"/>
    <cellStyle name="Calcul 2 6 3" xfId="15000"/>
    <cellStyle name="Calcul 2 6 3 2" xfId="35068"/>
    <cellStyle name="Calcul 2 6 4" xfId="24547"/>
    <cellStyle name="Calcul 2 7" xfId="2690"/>
    <cellStyle name="Calcul 2 7 2" xfId="2691"/>
    <cellStyle name="Calcul 2 7 2 2" xfId="18934"/>
    <cellStyle name="Calcul 2 7 2 2 2" xfId="39002"/>
    <cellStyle name="Calcul 2 7 2 3" xfId="24550"/>
    <cellStyle name="Calcul 2 7 3" xfId="15177"/>
    <cellStyle name="Calcul 2 7 3 2" xfId="35245"/>
    <cellStyle name="Calcul 2 7 4" xfId="24549"/>
    <cellStyle name="Calcul 2 8" xfId="2692"/>
    <cellStyle name="Calcul 2 8 2" xfId="2693"/>
    <cellStyle name="Calcul 2 8 2 2" xfId="18935"/>
    <cellStyle name="Calcul 2 8 2 2 2" xfId="39003"/>
    <cellStyle name="Calcul 2 8 2 3" xfId="24552"/>
    <cellStyle name="Calcul 2 8 3" xfId="15360"/>
    <cellStyle name="Calcul 2 8 3 2" xfId="35428"/>
    <cellStyle name="Calcul 2 8 4" xfId="24551"/>
    <cellStyle name="Calcul 2 9" xfId="2694"/>
    <cellStyle name="Calcul 2 9 2" xfId="2695"/>
    <cellStyle name="Calcul 2 9 2 2" xfId="18936"/>
    <cellStyle name="Calcul 2 9 2 2 2" xfId="39004"/>
    <cellStyle name="Calcul 2 9 2 3" xfId="24554"/>
    <cellStyle name="Calcul 2 9 3" xfId="16531"/>
    <cellStyle name="Calcul 2 9 3 2" xfId="36599"/>
    <cellStyle name="Calcul 2 9 4" xfId="24553"/>
    <cellStyle name="Calcul 20" xfId="2696"/>
    <cellStyle name="Calcul 20 2" xfId="2697"/>
    <cellStyle name="Calcul 20 2 2" xfId="18937"/>
    <cellStyle name="Calcul 20 2 2 2" xfId="39005"/>
    <cellStyle name="Calcul 20 2 3" xfId="24556"/>
    <cellStyle name="Calcul 20 3" xfId="15516"/>
    <cellStyle name="Calcul 20 3 2" xfId="35584"/>
    <cellStyle name="Calcul 20 4" xfId="24555"/>
    <cellStyle name="Calcul 21" xfId="2698"/>
    <cellStyle name="Calcul 21 2" xfId="2699"/>
    <cellStyle name="Calcul 21 2 2" xfId="18938"/>
    <cellStyle name="Calcul 21 2 2 2" xfId="39006"/>
    <cellStyle name="Calcul 21 2 3" xfId="24558"/>
    <cellStyle name="Calcul 21 3" xfId="17496"/>
    <cellStyle name="Calcul 21 3 2" xfId="37564"/>
    <cellStyle name="Calcul 21 4" xfId="24557"/>
    <cellStyle name="Calcul 22" xfId="2700"/>
    <cellStyle name="Calcul 22 2" xfId="2701"/>
    <cellStyle name="Calcul 22 2 2" xfId="18939"/>
    <cellStyle name="Calcul 22 2 2 2" xfId="39007"/>
    <cellStyle name="Calcul 22 2 3" xfId="24560"/>
    <cellStyle name="Calcul 22 3" xfId="15970"/>
    <cellStyle name="Calcul 22 3 2" xfId="36038"/>
    <cellStyle name="Calcul 22 4" xfId="24559"/>
    <cellStyle name="Calcul 23" xfId="2702"/>
    <cellStyle name="Calcul 23 2" xfId="2703"/>
    <cellStyle name="Calcul 23 2 2" xfId="18940"/>
    <cellStyle name="Calcul 23 2 2 2" xfId="39008"/>
    <cellStyle name="Calcul 23 2 3" xfId="24562"/>
    <cellStyle name="Calcul 23 3" xfId="17174"/>
    <cellStyle name="Calcul 23 3 2" xfId="37242"/>
    <cellStyle name="Calcul 23 4" xfId="24561"/>
    <cellStyle name="Calcul 24" xfId="2704"/>
    <cellStyle name="Calcul 24 2" xfId="2705"/>
    <cellStyle name="Calcul 24 2 2" xfId="18941"/>
    <cellStyle name="Calcul 24 2 2 2" xfId="39009"/>
    <cellStyle name="Calcul 24 2 3" xfId="24564"/>
    <cellStyle name="Calcul 24 3" xfId="18264"/>
    <cellStyle name="Calcul 24 3 2" xfId="38332"/>
    <cellStyle name="Calcul 24 4" xfId="24563"/>
    <cellStyle name="Calcul 25" xfId="2706"/>
    <cellStyle name="Calcul 25 2" xfId="2707"/>
    <cellStyle name="Calcul 25 2 2" xfId="18942"/>
    <cellStyle name="Calcul 25 2 2 2" xfId="39010"/>
    <cellStyle name="Calcul 25 2 3" xfId="24566"/>
    <cellStyle name="Calcul 25 3" xfId="18282"/>
    <cellStyle name="Calcul 25 3 2" xfId="38350"/>
    <cellStyle name="Calcul 25 4" xfId="24565"/>
    <cellStyle name="Calcul 26" xfId="2708"/>
    <cellStyle name="Calcul 26 2" xfId="2709"/>
    <cellStyle name="Calcul 26 2 2" xfId="18943"/>
    <cellStyle name="Calcul 26 2 2 2" xfId="39011"/>
    <cellStyle name="Calcul 26 2 3" xfId="24568"/>
    <cellStyle name="Calcul 26 3" xfId="17861"/>
    <cellStyle name="Calcul 26 3 2" xfId="37929"/>
    <cellStyle name="Calcul 26 4" xfId="24567"/>
    <cellStyle name="Calcul 27" xfId="2710"/>
    <cellStyle name="Calcul 27 2" xfId="2711"/>
    <cellStyle name="Calcul 27 2 2" xfId="18944"/>
    <cellStyle name="Calcul 27 2 2 2" xfId="39012"/>
    <cellStyle name="Calcul 27 2 3" xfId="24570"/>
    <cellStyle name="Calcul 27 3" xfId="17489"/>
    <cellStyle name="Calcul 27 3 2" xfId="37557"/>
    <cellStyle name="Calcul 27 4" xfId="24569"/>
    <cellStyle name="Calcul 28" xfId="2712"/>
    <cellStyle name="Calcul 28 2" xfId="18900"/>
    <cellStyle name="Calcul 28 2 2" xfId="38968"/>
    <cellStyle name="Calcul 28 3" xfId="24571"/>
    <cellStyle name="Calcul 29" xfId="13850"/>
    <cellStyle name="Calcul 29 2" xfId="33918"/>
    <cellStyle name="Calcul 3" xfId="2713"/>
    <cellStyle name="Calcul 3 2" xfId="2714"/>
    <cellStyle name="Calcul 3 2 2" xfId="18945"/>
    <cellStyle name="Calcul 3 2 2 2" xfId="39013"/>
    <cellStyle name="Calcul 3 2 3" xfId="24573"/>
    <cellStyle name="Calcul 3 3" xfId="14520"/>
    <cellStyle name="Calcul 3 3 2" xfId="34588"/>
    <cellStyle name="Calcul 3 4" xfId="24572"/>
    <cellStyle name="Calcul 30" xfId="24482"/>
    <cellStyle name="Calcul 4" xfId="2715"/>
    <cellStyle name="Calcul 4 2" xfId="2716"/>
    <cellStyle name="Calcul 4 2 2" xfId="18946"/>
    <cellStyle name="Calcul 4 2 2 2" xfId="39014"/>
    <cellStyle name="Calcul 4 2 3" xfId="24575"/>
    <cellStyle name="Calcul 4 3" xfId="14043"/>
    <cellStyle name="Calcul 4 3 2" xfId="34111"/>
    <cellStyle name="Calcul 4 4" xfId="24574"/>
    <cellStyle name="Calcul 5" xfId="2717"/>
    <cellStyle name="Calcul 5 2" xfId="2718"/>
    <cellStyle name="Calcul 5 2 2" xfId="18947"/>
    <cellStyle name="Calcul 5 2 2 2" xfId="39015"/>
    <cellStyle name="Calcul 5 2 3" xfId="24577"/>
    <cellStyle name="Calcul 5 3" xfId="14488"/>
    <cellStyle name="Calcul 5 3 2" xfId="34556"/>
    <cellStyle name="Calcul 5 4" xfId="24576"/>
    <cellStyle name="Calcul 6" xfId="2719"/>
    <cellStyle name="Calcul 6 2" xfId="2720"/>
    <cellStyle name="Calcul 6 2 2" xfId="18948"/>
    <cellStyle name="Calcul 6 2 2 2" xfId="39016"/>
    <cellStyle name="Calcul 6 2 3" xfId="24579"/>
    <cellStyle name="Calcul 6 3" xfId="14185"/>
    <cellStyle name="Calcul 6 3 2" xfId="34253"/>
    <cellStyle name="Calcul 6 4" xfId="24578"/>
    <cellStyle name="Calcul 7" xfId="2721"/>
    <cellStyle name="Calcul 7 2" xfId="2722"/>
    <cellStyle name="Calcul 7 2 2" xfId="18949"/>
    <cellStyle name="Calcul 7 2 2 2" xfId="39017"/>
    <cellStyle name="Calcul 7 2 3" xfId="24581"/>
    <cellStyle name="Calcul 7 3" xfId="14079"/>
    <cellStyle name="Calcul 7 3 2" xfId="34147"/>
    <cellStyle name="Calcul 7 4" xfId="24580"/>
    <cellStyle name="Calcul 8" xfId="2723"/>
    <cellStyle name="Calcul 8 2" xfId="2724"/>
    <cellStyle name="Calcul 8 2 2" xfId="18950"/>
    <cellStyle name="Calcul 8 2 2 2" xfId="39018"/>
    <cellStyle name="Calcul 8 2 3" xfId="24583"/>
    <cellStyle name="Calcul 8 3" xfId="14014"/>
    <cellStyle name="Calcul 8 3 2" xfId="34082"/>
    <cellStyle name="Calcul 8 4" xfId="24582"/>
    <cellStyle name="Calcul 9" xfId="2725"/>
    <cellStyle name="Calcul 9 2" xfId="2726"/>
    <cellStyle name="Calcul 9 2 2" xfId="18951"/>
    <cellStyle name="Calcul 9 2 2 2" xfId="39019"/>
    <cellStyle name="Calcul 9 2 3" xfId="24585"/>
    <cellStyle name="Calcul 9 3" xfId="14002"/>
    <cellStyle name="Calcul 9 3 2" xfId="34070"/>
    <cellStyle name="Calcul 9 4" xfId="24584"/>
    <cellStyle name="Calcul_2012-2013" xfId="2727"/>
    <cellStyle name="Calculation" xfId="14" builtinId="22" customBuiltin="1"/>
    <cellStyle name="Calculation 2" xfId="2728"/>
    <cellStyle name="Calculation 2 10" xfId="2729"/>
    <cellStyle name="Calculation 2 10 2" xfId="2730"/>
    <cellStyle name="Calculation 2 10 2 2" xfId="18953"/>
    <cellStyle name="Calculation 2 10 2 2 2" xfId="39021"/>
    <cellStyle name="Calculation 2 10 2 3" xfId="24588"/>
    <cellStyle name="Calculation 2 10 3" xfId="13994"/>
    <cellStyle name="Calculation 2 10 3 2" xfId="34062"/>
    <cellStyle name="Calculation 2 10 4" xfId="24587"/>
    <cellStyle name="Calculation 2 11" xfId="2731"/>
    <cellStyle name="Calculation 2 11 2" xfId="2732"/>
    <cellStyle name="Calculation 2 11 2 2" xfId="18954"/>
    <cellStyle name="Calculation 2 11 2 2 2" xfId="39022"/>
    <cellStyle name="Calculation 2 11 2 3" xfId="24590"/>
    <cellStyle name="Calculation 2 11 3" xfId="14447"/>
    <cellStyle name="Calculation 2 11 3 2" xfId="34515"/>
    <cellStyle name="Calculation 2 11 4" xfId="24589"/>
    <cellStyle name="Calculation 2 12" xfId="2733"/>
    <cellStyle name="Calculation 2 12 2" xfId="2734"/>
    <cellStyle name="Calculation 2 12 2 2" xfId="18955"/>
    <cellStyle name="Calculation 2 12 2 2 2" xfId="39023"/>
    <cellStyle name="Calculation 2 12 2 3" xfId="24592"/>
    <cellStyle name="Calculation 2 12 3" xfId="14266"/>
    <cellStyle name="Calculation 2 12 3 2" xfId="34334"/>
    <cellStyle name="Calculation 2 12 4" xfId="24591"/>
    <cellStyle name="Calculation 2 13" xfId="2735"/>
    <cellStyle name="Calculation 2 13 2" xfId="2736"/>
    <cellStyle name="Calculation 2 13 2 2" xfId="18956"/>
    <cellStyle name="Calculation 2 13 2 2 2" xfId="39024"/>
    <cellStyle name="Calculation 2 13 2 3" xfId="24594"/>
    <cellStyle name="Calculation 2 13 3" xfId="14244"/>
    <cellStyle name="Calculation 2 13 3 2" xfId="34312"/>
    <cellStyle name="Calculation 2 13 4" xfId="24593"/>
    <cellStyle name="Calculation 2 14" xfId="2737"/>
    <cellStyle name="Calculation 2 14 2" xfId="2738"/>
    <cellStyle name="Calculation 2 14 2 2" xfId="18957"/>
    <cellStyle name="Calculation 2 14 2 2 2" xfId="39025"/>
    <cellStyle name="Calculation 2 14 2 3" xfId="24596"/>
    <cellStyle name="Calculation 2 14 3" xfId="16136"/>
    <cellStyle name="Calculation 2 14 3 2" xfId="36204"/>
    <cellStyle name="Calculation 2 14 4" xfId="24595"/>
    <cellStyle name="Calculation 2 15" xfId="2739"/>
    <cellStyle name="Calculation 2 15 2" xfId="2740"/>
    <cellStyle name="Calculation 2 15 2 2" xfId="18958"/>
    <cellStyle name="Calculation 2 15 2 2 2" xfId="39026"/>
    <cellStyle name="Calculation 2 15 2 3" xfId="24598"/>
    <cellStyle name="Calculation 2 15 3" xfId="15637"/>
    <cellStyle name="Calculation 2 15 3 2" xfId="35705"/>
    <cellStyle name="Calculation 2 15 4" xfId="24597"/>
    <cellStyle name="Calculation 2 16" xfId="2741"/>
    <cellStyle name="Calculation 2 16 2" xfId="2742"/>
    <cellStyle name="Calculation 2 16 2 2" xfId="18959"/>
    <cellStyle name="Calculation 2 16 2 2 2" xfId="39027"/>
    <cellStyle name="Calculation 2 16 2 3" xfId="24600"/>
    <cellStyle name="Calculation 2 16 3" xfId="16202"/>
    <cellStyle name="Calculation 2 16 3 2" xfId="36270"/>
    <cellStyle name="Calculation 2 16 4" xfId="24599"/>
    <cellStyle name="Calculation 2 17" xfId="2743"/>
    <cellStyle name="Calculation 2 17 2" xfId="2744"/>
    <cellStyle name="Calculation 2 17 2 2" xfId="18960"/>
    <cellStyle name="Calculation 2 17 2 2 2" xfId="39028"/>
    <cellStyle name="Calculation 2 17 2 3" xfId="24602"/>
    <cellStyle name="Calculation 2 17 3" xfId="15889"/>
    <cellStyle name="Calculation 2 17 3 2" xfId="35957"/>
    <cellStyle name="Calculation 2 17 4" xfId="24601"/>
    <cellStyle name="Calculation 2 18" xfId="2745"/>
    <cellStyle name="Calculation 2 18 2" xfId="2746"/>
    <cellStyle name="Calculation 2 18 2 2" xfId="18961"/>
    <cellStyle name="Calculation 2 18 2 2 2" xfId="39029"/>
    <cellStyle name="Calculation 2 18 2 3" xfId="24604"/>
    <cellStyle name="Calculation 2 18 3" xfId="16262"/>
    <cellStyle name="Calculation 2 18 3 2" xfId="36330"/>
    <cellStyle name="Calculation 2 18 4" xfId="24603"/>
    <cellStyle name="Calculation 2 19" xfId="2747"/>
    <cellStyle name="Calculation 2 19 2" xfId="2748"/>
    <cellStyle name="Calculation 2 19 2 2" xfId="18962"/>
    <cellStyle name="Calculation 2 19 2 2 2" xfId="39030"/>
    <cellStyle name="Calculation 2 19 2 3" xfId="24606"/>
    <cellStyle name="Calculation 2 19 3" xfId="15830"/>
    <cellStyle name="Calculation 2 19 3 2" xfId="35898"/>
    <cellStyle name="Calculation 2 19 4" xfId="24605"/>
    <cellStyle name="Calculation 2 2" xfId="2749"/>
    <cellStyle name="Calculation 2 2 10" xfId="2750"/>
    <cellStyle name="Calculation 2 2 10 2" xfId="2751"/>
    <cellStyle name="Calculation 2 2 10 2 2" xfId="18964"/>
    <cellStyle name="Calculation 2 2 10 2 2 2" xfId="39032"/>
    <cellStyle name="Calculation 2 2 10 2 3" xfId="24609"/>
    <cellStyle name="Calculation 2 2 10 3" xfId="16137"/>
    <cellStyle name="Calculation 2 2 10 3 2" xfId="36205"/>
    <cellStyle name="Calculation 2 2 10 4" xfId="24608"/>
    <cellStyle name="Calculation 2 2 11" xfId="2752"/>
    <cellStyle name="Calculation 2 2 11 2" xfId="2753"/>
    <cellStyle name="Calculation 2 2 11 2 2" xfId="18965"/>
    <cellStyle name="Calculation 2 2 11 2 2 2" xfId="39033"/>
    <cellStyle name="Calculation 2 2 11 2 3" xfId="24611"/>
    <cellStyle name="Calculation 2 2 11 3" xfId="15636"/>
    <cellStyle name="Calculation 2 2 11 3 2" xfId="35704"/>
    <cellStyle name="Calculation 2 2 11 4" xfId="24610"/>
    <cellStyle name="Calculation 2 2 12" xfId="2754"/>
    <cellStyle name="Calculation 2 2 12 2" xfId="2755"/>
    <cellStyle name="Calculation 2 2 12 2 2" xfId="18966"/>
    <cellStyle name="Calculation 2 2 12 2 2 2" xfId="39034"/>
    <cellStyle name="Calculation 2 2 12 2 3" xfId="24613"/>
    <cellStyle name="Calculation 2 2 12 3" xfId="16203"/>
    <cellStyle name="Calculation 2 2 12 3 2" xfId="36271"/>
    <cellStyle name="Calculation 2 2 12 4" xfId="24612"/>
    <cellStyle name="Calculation 2 2 13" xfId="2756"/>
    <cellStyle name="Calculation 2 2 13 2" xfId="2757"/>
    <cellStyle name="Calculation 2 2 13 2 2" xfId="18967"/>
    <cellStyle name="Calculation 2 2 13 2 2 2" xfId="39035"/>
    <cellStyle name="Calculation 2 2 13 2 3" xfId="24615"/>
    <cellStyle name="Calculation 2 2 13 3" xfId="15888"/>
    <cellStyle name="Calculation 2 2 13 3 2" xfId="35956"/>
    <cellStyle name="Calculation 2 2 13 4" xfId="24614"/>
    <cellStyle name="Calculation 2 2 14" xfId="2758"/>
    <cellStyle name="Calculation 2 2 14 2" xfId="2759"/>
    <cellStyle name="Calculation 2 2 14 2 2" xfId="18968"/>
    <cellStyle name="Calculation 2 2 14 2 2 2" xfId="39036"/>
    <cellStyle name="Calculation 2 2 14 2 3" xfId="24617"/>
    <cellStyle name="Calculation 2 2 14 3" xfId="16389"/>
    <cellStyle name="Calculation 2 2 14 3 2" xfId="36457"/>
    <cellStyle name="Calculation 2 2 14 4" xfId="24616"/>
    <cellStyle name="Calculation 2 2 15" xfId="2760"/>
    <cellStyle name="Calculation 2 2 15 2" xfId="2761"/>
    <cellStyle name="Calculation 2 2 15 2 2" xfId="18969"/>
    <cellStyle name="Calculation 2 2 15 2 2 2" xfId="39037"/>
    <cellStyle name="Calculation 2 2 15 2 3" xfId="24619"/>
    <cellStyle name="Calculation 2 2 15 3" xfId="16058"/>
    <cellStyle name="Calculation 2 2 15 3 2" xfId="36126"/>
    <cellStyle name="Calculation 2 2 15 4" xfId="24618"/>
    <cellStyle name="Calculation 2 2 16" xfId="2762"/>
    <cellStyle name="Calculation 2 2 16 2" xfId="2763"/>
    <cellStyle name="Calculation 2 2 16 2 2" xfId="18970"/>
    <cellStyle name="Calculation 2 2 16 2 2 2" xfId="39038"/>
    <cellStyle name="Calculation 2 2 16 2 3" xfId="24621"/>
    <cellStyle name="Calculation 2 2 16 3" xfId="15562"/>
    <cellStyle name="Calculation 2 2 16 3 2" xfId="35630"/>
    <cellStyle name="Calculation 2 2 16 4" xfId="24620"/>
    <cellStyle name="Calculation 2 2 17" xfId="2764"/>
    <cellStyle name="Calculation 2 2 17 2" xfId="2765"/>
    <cellStyle name="Calculation 2 2 17 2 2" xfId="18971"/>
    <cellStyle name="Calculation 2 2 17 2 2 2" xfId="39039"/>
    <cellStyle name="Calculation 2 2 17 2 3" xfId="24623"/>
    <cellStyle name="Calculation 2 2 17 3" xfId="15612"/>
    <cellStyle name="Calculation 2 2 17 3 2" xfId="35680"/>
    <cellStyle name="Calculation 2 2 17 4" xfId="24622"/>
    <cellStyle name="Calculation 2 2 18" xfId="2766"/>
    <cellStyle name="Calculation 2 2 18 2" xfId="2767"/>
    <cellStyle name="Calculation 2 2 18 2 2" xfId="18972"/>
    <cellStyle name="Calculation 2 2 18 2 2 2" xfId="39040"/>
    <cellStyle name="Calculation 2 2 18 2 3" xfId="24625"/>
    <cellStyle name="Calculation 2 2 18 3" xfId="16266"/>
    <cellStyle name="Calculation 2 2 18 3 2" xfId="36334"/>
    <cellStyle name="Calculation 2 2 18 4" xfId="24624"/>
    <cellStyle name="Calculation 2 2 19" xfId="2768"/>
    <cellStyle name="Calculation 2 2 19 2" xfId="2769"/>
    <cellStyle name="Calculation 2 2 19 2 2" xfId="18973"/>
    <cellStyle name="Calculation 2 2 19 2 2 2" xfId="39041"/>
    <cellStyle name="Calculation 2 2 19 2 3" xfId="24627"/>
    <cellStyle name="Calculation 2 2 19 3" xfId="17014"/>
    <cellStyle name="Calculation 2 2 19 3 2" xfId="37082"/>
    <cellStyle name="Calculation 2 2 19 4" xfId="24626"/>
    <cellStyle name="Calculation 2 2 2" xfId="2770"/>
    <cellStyle name="Calculation 2 2 2 10" xfId="2771"/>
    <cellStyle name="Calculation 2 2 2 10 2" xfId="2772"/>
    <cellStyle name="Calculation 2 2 2 10 2 2" xfId="18975"/>
    <cellStyle name="Calculation 2 2 2 10 2 2 2" xfId="39043"/>
    <cellStyle name="Calculation 2 2 2 10 2 3" xfId="24630"/>
    <cellStyle name="Calculation 2 2 2 10 3" xfId="16914"/>
    <cellStyle name="Calculation 2 2 2 10 3 2" xfId="36982"/>
    <cellStyle name="Calculation 2 2 2 10 4" xfId="24629"/>
    <cellStyle name="Calculation 2 2 2 11" xfId="2773"/>
    <cellStyle name="Calculation 2 2 2 11 2" xfId="2774"/>
    <cellStyle name="Calculation 2 2 2 11 2 2" xfId="18976"/>
    <cellStyle name="Calculation 2 2 2 11 2 2 2" xfId="39044"/>
    <cellStyle name="Calculation 2 2 2 11 2 3" xfId="24632"/>
    <cellStyle name="Calculation 2 2 2 11 3" xfId="17049"/>
    <cellStyle name="Calculation 2 2 2 11 3 2" xfId="37117"/>
    <cellStyle name="Calculation 2 2 2 11 4" xfId="24631"/>
    <cellStyle name="Calculation 2 2 2 12" xfId="2775"/>
    <cellStyle name="Calculation 2 2 2 12 2" xfId="2776"/>
    <cellStyle name="Calculation 2 2 2 12 2 2" xfId="18977"/>
    <cellStyle name="Calculation 2 2 2 12 2 2 2" xfId="39045"/>
    <cellStyle name="Calculation 2 2 2 12 2 3" xfId="24634"/>
    <cellStyle name="Calculation 2 2 2 12 3" xfId="17221"/>
    <cellStyle name="Calculation 2 2 2 12 3 2" xfId="37289"/>
    <cellStyle name="Calculation 2 2 2 12 4" xfId="24633"/>
    <cellStyle name="Calculation 2 2 2 13" xfId="2777"/>
    <cellStyle name="Calculation 2 2 2 13 2" xfId="2778"/>
    <cellStyle name="Calculation 2 2 2 13 2 2" xfId="18978"/>
    <cellStyle name="Calculation 2 2 2 13 2 2 2" xfId="39046"/>
    <cellStyle name="Calculation 2 2 2 13 2 3" xfId="24636"/>
    <cellStyle name="Calculation 2 2 2 13 3" xfId="17391"/>
    <cellStyle name="Calculation 2 2 2 13 3 2" xfId="37459"/>
    <cellStyle name="Calculation 2 2 2 13 4" xfId="24635"/>
    <cellStyle name="Calculation 2 2 2 14" xfId="2779"/>
    <cellStyle name="Calculation 2 2 2 14 2" xfId="2780"/>
    <cellStyle name="Calculation 2 2 2 14 2 2" xfId="18979"/>
    <cellStyle name="Calculation 2 2 2 14 2 2 2" xfId="39047"/>
    <cellStyle name="Calculation 2 2 2 14 2 3" xfId="24638"/>
    <cellStyle name="Calculation 2 2 2 14 3" xfId="17519"/>
    <cellStyle name="Calculation 2 2 2 14 3 2" xfId="37587"/>
    <cellStyle name="Calculation 2 2 2 14 4" xfId="24637"/>
    <cellStyle name="Calculation 2 2 2 15" xfId="2781"/>
    <cellStyle name="Calculation 2 2 2 15 2" xfId="2782"/>
    <cellStyle name="Calculation 2 2 2 15 2 2" xfId="18980"/>
    <cellStyle name="Calculation 2 2 2 15 2 2 2" xfId="39048"/>
    <cellStyle name="Calculation 2 2 2 15 2 3" xfId="24640"/>
    <cellStyle name="Calculation 2 2 2 15 3" xfId="16161"/>
    <cellStyle name="Calculation 2 2 2 15 3 2" xfId="36229"/>
    <cellStyle name="Calculation 2 2 2 15 4" xfId="24639"/>
    <cellStyle name="Calculation 2 2 2 16" xfId="2783"/>
    <cellStyle name="Calculation 2 2 2 16 2" xfId="2784"/>
    <cellStyle name="Calculation 2 2 2 16 2 2" xfId="18981"/>
    <cellStyle name="Calculation 2 2 2 16 2 2 2" xfId="39049"/>
    <cellStyle name="Calculation 2 2 2 16 2 3" xfId="24642"/>
    <cellStyle name="Calculation 2 2 2 16 3" xfId="17770"/>
    <cellStyle name="Calculation 2 2 2 16 3 2" xfId="37838"/>
    <cellStyle name="Calculation 2 2 2 16 4" xfId="24641"/>
    <cellStyle name="Calculation 2 2 2 17" xfId="2785"/>
    <cellStyle name="Calculation 2 2 2 17 2" xfId="2786"/>
    <cellStyle name="Calculation 2 2 2 17 2 2" xfId="18982"/>
    <cellStyle name="Calculation 2 2 2 17 2 2 2" xfId="39050"/>
    <cellStyle name="Calculation 2 2 2 17 2 3" xfId="24644"/>
    <cellStyle name="Calculation 2 2 2 17 3" xfId="17899"/>
    <cellStyle name="Calculation 2 2 2 17 3 2" xfId="37967"/>
    <cellStyle name="Calculation 2 2 2 17 4" xfId="24643"/>
    <cellStyle name="Calculation 2 2 2 18" xfId="2787"/>
    <cellStyle name="Calculation 2 2 2 18 2" xfId="2788"/>
    <cellStyle name="Calculation 2 2 2 18 2 2" xfId="18983"/>
    <cellStyle name="Calculation 2 2 2 18 2 2 2" xfId="39051"/>
    <cellStyle name="Calculation 2 2 2 18 2 3" xfId="24646"/>
    <cellStyle name="Calculation 2 2 2 18 3" xfId="18049"/>
    <cellStyle name="Calculation 2 2 2 18 3 2" xfId="38117"/>
    <cellStyle name="Calculation 2 2 2 18 4" xfId="24645"/>
    <cellStyle name="Calculation 2 2 2 19" xfId="2789"/>
    <cellStyle name="Calculation 2 2 2 19 2" xfId="2790"/>
    <cellStyle name="Calculation 2 2 2 19 2 2" xfId="18984"/>
    <cellStyle name="Calculation 2 2 2 19 2 2 2" xfId="39052"/>
    <cellStyle name="Calculation 2 2 2 19 2 3" xfId="24648"/>
    <cellStyle name="Calculation 2 2 2 19 3" xfId="18166"/>
    <cellStyle name="Calculation 2 2 2 19 3 2" xfId="38234"/>
    <cellStyle name="Calculation 2 2 2 19 4" xfId="24647"/>
    <cellStyle name="Calculation 2 2 2 2" xfId="2791"/>
    <cellStyle name="Calculation 2 2 2 2 2" xfId="2792"/>
    <cellStyle name="Calculation 2 2 2 2 2 2" xfId="18985"/>
    <cellStyle name="Calculation 2 2 2 2 2 2 2" xfId="39053"/>
    <cellStyle name="Calculation 2 2 2 2 2 3" xfId="24650"/>
    <cellStyle name="Calculation 2 2 2 2 3" xfId="14635"/>
    <cellStyle name="Calculation 2 2 2 2 3 2" xfId="34703"/>
    <cellStyle name="Calculation 2 2 2 2 4" xfId="24649"/>
    <cellStyle name="Calculation 2 2 2 20" xfId="2793"/>
    <cellStyle name="Calculation 2 2 2 20 2" xfId="2794"/>
    <cellStyle name="Calculation 2 2 2 20 2 2" xfId="18986"/>
    <cellStyle name="Calculation 2 2 2 20 2 2 2" xfId="39054"/>
    <cellStyle name="Calculation 2 2 2 20 2 3" xfId="24652"/>
    <cellStyle name="Calculation 2 2 2 20 3" xfId="17012"/>
    <cellStyle name="Calculation 2 2 2 20 3 2" xfId="37080"/>
    <cellStyle name="Calculation 2 2 2 20 4" xfId="24651"/>
    <cellStyle name="Calculation 2 2 2 21" xfId="2795"/>
    <cellStyle name="Calculation 2 2 2 21 2" xfId="2796"/>
    <cellStyle name="Calculation 2 2 2 21 2 2" xfId="18987"/>
    <cellStyle name="Calculation 2 2 2 21 2 2 2" xfId="39055"/>
    <cellStyle name="Calculation 2 2 2 21 2 3" xfId="24654"/>
    <cellStyle name="Calculation 2 2 2 21 3" xfId="18361"/>
    <cellStyle name="Calculation 2 2 2 21 3 2" xfId="38429"/>
    <cellStyle name="Calculation 2 2 2 21 4" xfId="24653"/>
    <cellStyle name="Calculation 2 2 2 22" xfId="2797"/>
    <cellStyle name="Calculation 2 2 2 22 2" xfId="2798"/>
    <cellStyle name="Calculation 2 2 2 22 2 2" xfId="18988"/>
    <cellStyle name="Calculation 2 2 2 22 2 2 2" xfId="39056"/>
    <cellStyle name="Calculation 2 2 2 22 2 3" xfId="24656"/>
    <cellStyle name="Calculation 2 2 2 22 3" xfId="18505"/>
    <cellStyle name="Calculation 2 2 2 22 3 2" xfId="38573"/>
    <cellStyle name="Calculation 2 2 2 22 4" xfId="24655"/>
    <cellStyle name="Calculation 2 2 2 23" xfId="2799"/>
    <cellStyle name="Calculation 2 2 2 23 2" xfId="2800"/>
    <cellStyle name="Calculation 2 2 2 23 2 2" xfId="18989"/>
    <cellStyle name="Calculation 2 2 2 23 2 2 2" xfId="39057"/>
    <cellStyle name="Calculation 2 2 2 23 2 3" xfId="24658"/>
    <cellStyle name="Calculation 2 2 2 23 3" xfId="18616"/>
    <cellStyle name="Calculation 2 2 2 23 3 2" xfId="38684"/>
    <cellStyle name="Calculation 2 2 2 23 4" xfId="24657"/>
    <cellStyle name="Calculation 2 2 2 24" xfId="2801"/>
    <cellStyle name="Calculation 2 2 2 24 2" xfId="2802"/>
    <cellStyle name="Calculation 2 2 2 24 2 2" xfId="18990"/>
    <cellStyle name="Calculation 2 2 2 24 2 2 2" xfId="39058"/>
    <cellStyle name="Calculation 2 2 2 24 2 3" xfId="24660"/>
    <cellStyle name="Calculation 2 2 2 24 3" xfId="18716"/>
    <cellStyle name="Calculation 2 2 2 24 3 2" xfId="38784"/>
    <cellStyle name="Calculation 2 2 2 24 4" xfId="24659"/>
    <cellStyle name="Calculation 2 2 2 25" xfId="2803"/>
    <cellStyle name="Calculation 2 2 2 25 2" xfId="2804"/>
    <cellStyle name="Calculation 2 2 2 25 2 2" xfId="18991"/>
    <cellStyle name="Calculation 2 2 2 25 2 2 2" xfId="39059"/>
    <cellStyle name="Calculation 2 2 2 25 2 3" xfId="24662"/>
    <cellStyle name="Calculation 2 2 2 25 3" xfId="18816"/>
    <cellStyle name="Calculation 2 2 2 25 3 2" xfId="38884"/>
    <cellStyle name="Calculation 2 2 2 25 4" xfId="24661"/>
    <cellStyle name="Calculation 2 2 2 26" xfId="2805"/>
    <cellStyle name="Calculation 2 2 2 26 2" xfId="18974"/>
    <cellStyle name="Calculation 2 2 2 26 2 2" xfId="39042"/>
    <cellStyle name="Calculation 2 2 2 26 3" xfId="24663"/>
    <cellStyle name="Calculation 2 2 2 27" xfId="14314"/>
    <cellStyle name="Calculation 2 2 2 27 2" xfId="34382"/>
    <cellStyle name="Calculation 2 2 2 28" xfId="24628"/>
    <cellStyle name="Calculation 2 2 2 3" xfId="2806"/>
    <cellStyle name="Calculation 2 2 2 3 2" xfId="2807"/>
    <cellStyle name="Calculation 2 2 2 3 2 2" xfId="18992"/>
    <cellStyle name="Calculation 2 2 2 3 2 2 2" xfId="39060"/>
    <cellStyle name="Calculation 2 2 2 3 2 3" xfId="24665"/>
    <cellStyle name="Calculation 2 2 2 3 3" xfId="14754"/>
    <cellStyle name="Calculation 2 2 2 3 3 2" xfId="34822"/>
    <cellStyle name="Calculation 2 2 2 3 4" xfId="24664"/>
    <cellStyle name="Calculation 2 2 2 4" xfId="2808"/>
    <cellStyle name="Calculation 2 2 2 4 2" xfId="2809"/>
    <cellStyle name="Calculation 2 2 2 4 2 2" xfId="18993"/>
    <cellStyle name="Calculation 2 2 2 4 2 2 2" xfId="39061"/>
    <cellStyle name="Calculation 2 2 2 4 2 3" xfId="24667"/>
    <cellStyle name="Calculation 2 2 2 4 3" xfId="14873"/>
    <cellStyle name="Calculation 2 2 2 4 3 2" xfId="34941"/>
    <cellStyle name="Calculation 2 2 2 4 4" xfId="24666"/>
    <cellStyle name="Calculation 2 2 2 5" xfId="2810"/>
    <cellStyle name="Calculation 2 2 2 5 2" xfId="2811"/>
    <cellStyle name="Calculation 2 2 2 5 2 2" xfId="18994"/>
    <cellStyle name="Calculation 2 2 2 5 2 2 2" xfId="39062"/>
    <cellStyle name="Calculation 2 2 2 5 2 3" xfId="24669"/>
    <cellStyle name="Calculation 2 2 2 5 3" xfId="15042"/>
    <cellStyle name="Calculation 2 2 2 5 3 2" xfId="35110"/>
    <cellStyle name="Calculation 2 2 2 5 4" xfId="24668"/>
    <cellStyle name="Calculation 2 2 2 6" xfId="2812"/>
    <cellStyle name="Calculation 2 2 2 6 2" xfId="2813"/>
    <cellStyle name="Calculation 2 2 2 6 2 2" xfId="18995"/>
    <cellStyle name="Calculation 2 2 2 6 2 2 2" xfId="39063"/>
    <cellStyle name="Calculation 2 2 2 6 2 3" xfId="24671"/>
    <cellStyle name="Calculation 2 2 2 6 3" xfId="14001"/>
    <cellStyle name="Calculation 2 2 2 6 3 2" xfId="34069"/>
    <cellStyle name="Calculation 2 2 2 6 4" xfId="24670"/>
    <cellStyle name="Calculation 2 2 2 7" xfId="2814"/>
    <cellStyle name="Calculation 2 2 2 7 2" xfId="2815"/>
    <cellStyle name="Calculation 2 2 2 7 2 2" xfId="18996"/>
    <cellStyle name="Calculation 2 2 2 7 2 2 2" xfId="39064"/>
    <cellStyle name="Calculation 2 2 2 7 2 3" xfId="24673"/>
    <cellStyle name="Calculation 2 2 2 7 3" xfId="15185"/>
    <cellStyle name="Calculation 2 2 2 7 3 2" xfId="35253"/>
    <cellStyle name="Calculation 2 2 2 7 4" xfId="24672"/>
    <cellStyle name="Calculation 2 2 2 8" xfId="2816"/>
    <cellStyle name="Calculation 2 2 2 8 2" xfId="2817"/>
    <cellStyle name="Calculation 2 2 2 8 2 2" xfId="18997"/>
    <cellStyle name="Calculation 2 2 2 8 2 2 2" xfId="39065"/>
    <cellStyle name="Calculation 2 2 2 8 2 3" xfId="24675"/>
    <cellStyle name="Calculation 2 2 2 8 3" xfId="16539"/>
    <cellStyle name="Calculation 2 2 2 8 3 2" xfId="36607"/>
    <cellStyle name="Calculation 2 2 2 8 4" xfId="24674"/>
    <cellStyle name="Calculation 2 2 2 9" xfId="2818"/>
    <cellStyle name="Calculation 2 2 2 9 2" xfId="2819"/>
    <cellStyle name="Calculation 2 2 2 9 2 2" xfId="18998"/>
    <cellStyle name="Calculation 2 2 2 9 2 2 2" xfId="39066"/>
    <cellStyle name="Calculation 2 2 2 9 2 3" xfId="24677"/>
    <cellStyle name="Calculation 2 2 2 9 3" xfId="16743"/>
    <cellStyle name="Calculation 2 2 2 9 3 2" xfId="36811"/>
    <cellStyle name="Calculation 2 2 2 9 4" xfId="24676"/>
    <cellStyle name="Calculation 2 2 20" xfId="2820"/>
    <cellStyle name="Calculation 2 2 20 2" xfId="2821"/>
    <cellStyle name="Calculation 2 2 20 2 2" xfId="18999"/>
    <cellStyle name="Calculation 2 2 20 2 2 2" xfId="39067"/>
    <cellStyle name="Calculation 2 2 20 2 3" xfId="24679"/>
    <cellStyle name="Calculation 2 2 20 3" xfId="16315"/>
    <cellStyle name="Calculation 2 2 20 3 2" xfId="36383"/>
    <cellStyle name="Calculation 2 2 20 4" xfId="24678"/>
    <cellStyle name="Calculation 2 2 21" xfId="2822"/>
    <cellStyle name="Calculation 2 2 21 2" xfId="2823"/>
    <cellStyle name="Calculation 2 2 21 2 2" xfId="19000"/>
    <cellStyle name="Calculation 2 2 21 2 2 2" xfId="39068"/>
    <cellStyle name="Calculation 2 2 21 2 3" xfId="24681"/>
    <cellStyle name="Calculation 2 2 21 3" xfId="15806"/>
    <cellStyle name="Calculation 2 2 21 3 2" xfId="35874"/>
    <cellStyle name="Calculation 2 2 21 4" xfId="24680"/>
    <cellStyle name="Calculation 2 2 22" xfId="2824"/>
    <cellStyle name="Calculation 2 2 22 2" xfId="2825"/>
    <cellStyle name="Calculation 2 2 22 2 2" xfId="19001"/>
    <cellStyle name="Calculation 2 2 22 2 2 2" xfId="39069"/>
    <cellStyle name="Calculation 2 2 22 2 3" xfId="24683"/>
    <cellStyle name="Calculation 2 2 22 3" xfId="15663"/>
    <cellStyle name="Calculation 2 2 22 3 2" xfId="35731"/>
    <cellStyle name="Calculation 2 2 22 4" xfId="24682"/>
    <cellStyle name="Calculation 2 2 23" xfId="2826"/>
    <cellStyle name="Calculation 2 2 23 2" xfId="2827"/>
    <cellStyle name="Calculation 2 2 23 2 2" xfId="19002"/>
    <cellStyle name="Calculation 2 2 23 2 2 2" xfId="39070"/>
    <cellStyle name="Calculation 2 2 23 2 3" xfId="24685"/>
    <cellStyle name="Calculation 2 2 23 3" xfId="17670"/>
    <cellStyle name="Calculation 2 2 23 3 2" xfId="37738"/>
    <cellStyle name="Calculation 2 2 23 4" xfId="24684"/>
    <cellStyle name="Calculation 2 2 24" xfId="2828"/>
    <cellStyle name="Calculation 2 2 24 2" xfId="2829"/>
    <cellStyle name="Calculation 2 2 24 2 2" xfId="19003"/>
    <cellStyle name="Calculation 2 2 24 2 2 2" xfId="39071"/>
    <cellStyle name="Calculation 2 2 24 2 3" xfId="24687"/>
    <cellStyle name="Calculation 2 2 24 3" xfId="15738"/>
    <cellStyle name="Calculation 2 2 24 3 2" xfId="35806"/>
    <cellStyle name="Calculation 2 2 24 4" xfId="24686"/>
    <cellStyle name="Calculation 2 2 25" xfId="2830"/>
    <cellStyle name="Calculation 2 2 25 2" xfId="2831"/>
    <cellStyle name="Calculation 2 2 25 2 2" xfId="19004"/>
    <cellStyle name="Calculation 2 2 25 2 2 2" xfId="39072"/>
    <cellStyle name="Calculation 2 2 25 2 3" xfId="24689"/>
    <cellStyle name="Calculation 2 2 25 3" xfId="15865"/>
    <cellStyle name="Calculation 2 2 25 3 2" xfId="35933"/>
    <cellStyle name="Calculation 2 2 25 4" xfId="24688"/>
    <cellStyle name="Calculation 2 2 26" xfId="2832"/>
    <cellStyle name="Calculation 2 2 26 2" xfId="2833"/>
    <cellStyle name="Calculation 2 2 26 2 2" xfId="19005"/>
    <cellStyle name="Calculation 2 2 26 2 2 2" xfId="39073"/>
    <cellStyle name="Calculation 2 2 26 2 3" xfId="24691"/>
    <cellStyle name="Calculation 2 2 26 3" xfId="18290"/>
    <cellStyle name="Calculation 2 2 26 3 2" xfId="38358"/>
    <cellStyle name="Calculation 2 2 26 4" xfId="24690"/>
    <cellStyle name="Calculation 2 2 27" xfId="2834"/>
    <cellStyle name="Calculation 2 2 27 2" xfId="2835"/>
    <cellStyle name="Calculation 2 2 27 2 2" xfId="19006"/>
    <cellStyle name="Calculation 2 2 27 2 2 2" xfId="39074"/>
    <cellStyle name="Calculation 2 2 27 2 3" xfId="24693"/>
    <cellStyle name="Calculation 2 2 27 3" xfId="17697"/>
    <cellStyle name="Calculation 2 2 27 3 2" xfId="37765"/>
    <cellStyle name="Calculation 2 2 27 4" xfId="24692"/>
    <cellStyle name="Calculation 2 2 28" xfId="2836"/>
    <cellStyle name="Calculation 2 2 28 2" xfId="18963"/>
    <cellStyle name="Calculation 2 2 28 2 2" xfId="39031"/>
    <cellStyle name="Calculation 2 2 28 3" xfId="24694"/>
    <cellStyle name="Calculation 2 2 29" xfId="13852"/>
    <cellStyle name="Calculation 2 2 29 2" xfId="33920"/>
    <cellStyle name="Calculation 2 2 3" xfId="2837"/>
    <cellStyle name="Calculation 2 2 3 2" xfId="2838"/>
    <cellStyle name="Calculation 2 2 3 2 2" xfId="19007"/>
    <cellStyle name="Calculation 2 2 3 2 2 2" xfId="39075"/>
    <cellStyle name="Calculation 2 2 3 2 3" xfId="24696"/>
    <cellStyle name="Calculation 2 2 3 3" xfId="14474"/>
    <cellStyle name="Calculation 2 2 3 3 2" xfId="34542"/>
    <cellStyle name="Calculation 2 2 3 4" xfId="24695"/>
    <cellStyle name="Calculation 2 2 30" xfId="24607"/>
    <cellStyle name="Calculation 2 2 4" xfId="2839"/>
    <cellStyle name="Calculation 2 2 4 2" xfId="2840"/>
    <cellStyle name="Calculation 2 2 4 2 2" xfId="19008"/>
    <cellStyle name="Calculation 2 2 4 2 2 2" xfId="39076"/>
    <cellStyle name="Calculation 2 2 4 2 3" xfId="24698"/>
    <cellStyle name="Calculation 2 2 4 3" xfId="14545"/>
    <cellStyle name="Calculation 2 2 4 3 2" xfId="34613"/>
    <cellStyle name="Calculation 2 2 4 4" xfId="24697"/>
    <cellStyle name="Calculation 2 2 5" xfId="2841"/>
    <cellStyle name="Calculation 2 2 5 2" xfId="2842"/>
    <cellStyle name="Calculation 2 2 5 2 2" xfId="19009"/>
    <cellStyle name="Calculation 2 2 5 2 2 2" xfId="39077"/>
    <cellStyle name="Calculation 2 2 5 2 3" xfId="24700"/>
    <cellStyle name="Calculation 2 2 5 3" xfId="14247"/>
    <cellStyle name="Calculation 2 2 5 3 2" xfId="34315"/>
    <cellStyle name="Calculation 2 2 5 4" xfId="24699"/>
    <cellStyle name="Calculation 2 2 6" xfId="2843"/>
    <cellStyle name="Calculation 2 2 6 2" xfId="2844"/>
    <cellStyle name="Calculation 2 2 6 2 2" xfId="19010"/>
    <cellStyle name="Calculation 2 2 6 2 2 2" xfId="39078"/>
    <cellStyle name="Calculation 2 2 6 2 3" xfId="24702"/>
    <cellStyle name="Calculation 2 2 6 3" xfId="14491"/>
    <cellStyle name="Calculation 2 2 6 3 2" xfId="34559"/>
    <cellStyle name="Calculation 2 2 6 4" xfId="24701"/>
    <cellStyle name="Calculation 2 2 7" xfId="2845"/>
    <cellStyle name="Calculation 2 2 7 2" xfId="2846"/>
    <cellStyle name="Calculation 2 2 7 2 2" xfId="19011"/>
    <cellStyle name="Calculation 2 2 7 2 2 2" xfId="39079"/>
    <cellStyle name="Calculation 2 2 7 2 3" xfId="24704"/>
    <cellStyle name="Calculation 2 2 7 3" xfId="14494"/>
    <cellStyle name="Calculation 2 2 7 3 2" xfId="34562"/>
    <cellStyle name="Calculation 2 2 7 4" xfId="24703"/>
    <cellStyle name="Calculation 2 2 8" xfId="2847"/>
    <cellStyle name="Calculation 2 2 8 2" xfId="2848"/>
    <cellStyle name="Calculation 2 2 8 2 2" xfId="19012"/>
    <cellStyle name="Calculation 2 2 8 2 2 2" xfId="39080"/>
    <cellStyle name="Calculation 2 2 8 2 3" xfId="24706"/>
    <cellStyle name="Calculation 2 2 8 3" xfId="14863"/>
    <cellStyle name="Calculation 2 2 8 3 2" xfId="34931"/>
    <cellStyle name="Calculation 2 2 8 4" xfId="24705"/>
    <cellStyle name="Calculation 2 2 9" xfId="2849"/>
    <cellStyle name="Calculation 2 2 9 2" xfId="2850"/>
    <cellStyle name="Calculation 2 2 9 2 2" xfId="19013"/>
    <cellStyle name="Calculation 2 2 9 2 2 2" xfId="39081"/>
    <cellStyle name="Calculation 2 2 9 2 3" xfId="24708"/>
    <cellStyle name="Calculation 2 2 9 3" xfId="14444"/>
    <cellStyle name="Calculation 2 2 9 3 2" xfId="34512"/>
    <cellStyle name="Calculation 2 2 9 4" xfId="24707"/>
    <cellStyle name="Calculation 2 20" xfId="2851"/>
    <cellStyle name="Calculation 2 20 2" xfId="2852"/>
    <cellStyle name="Calculation 2 20 2 2" xfId="19014"/>
    <cellStyle name="Calculation 2 20 2 2 2" xfId="39082"/>
    <cellStyle name="Calculation 2 20 2 3" xfId="24710"/>
    <cellStyle name="Calculation 2 20 3" xfId="15979"/>
    <cellStyle name="Calculation 2 20 3 2" xfId="36047"/>
    <cellStyle name="Calculation 2 20 4" xfId="24709"/>
    <cellStyle name="Calculation 2 21" xfId="2853"/>
    <cellStyle name="Calculation 2 21 2" xfId="2854"/>
    <cellStyle name="Calculation 2 21 2 2" xfId="19015"/>
    <cellStyle name="Calculation 2 21 2 2 2" xfId="39083"/>
    <cellStyle name="Calculation 2 21 2 3" xfId="24712"/>
    <cellStyle name="Calculation 2 21 3" xfId="16231"/>
    <cellStyle name="Calculation 2 21 3 2" xfId="36299"/>
    <cellStyle name="Calculation 2 21 4" xfId="24711"/>
    <cellStyle name="Calculation 2 22" xfId="2855"/>
    <cellStyle name="Calculation 2 22 2" xfId="2856"/>
    <cellStyle name="Calculation 2 22 2 2" xfId="19016"/>
    <cellStyle name="Calculation 2 22 2 2 2" xfId="39084"/>
    <cellStyle name="Calculation 2 22 2 3" xfId="24714"/>
    <cellStyle name="Calculation 2 22 3" xfId="15841"/>
    <cellStyle name="Calculation 2 22 3 2" xfId="35909"/>
    <cellStyle name="Calculation 2 22 4" xfId="24713"/>
    <cellStyle name="Calculation 2 23" xfId="2857"/>
    <cellStyle name="Calculation 2 23 2" xfId="2858"/>
    <cellStyle name="Calculation 2 23 2 2" xfId="19017"/>
    <cellStyle name="Calculation 2 23 2 2 2" xfId="39085"/>
    <cellStyle name="Calculation 2 23 2 3" xfId="24716"/>
    <cellStyle name="Calculation 2 23 3" xfId="16698"/>
    <cellStyle name="Calculation 2 23 3 2" xfId="36766"/>
    <cellStyle name="Calculation 2 23 4" xfId="24715"/>
    <cellStyle name="Calculation 2 24" xfId="2859"/>
    <cellStyle name="Calculation 2 24 2" xfId="2860"/>
    <cellStyle name="Calculation 2 24 2 2" xfId="19018"/>
    <cellStyle name="Calculation 2 24 2 2 2" xfId="39086"/>
    <cellStyle name="Calculation 2 24 2 3" xfId="24718"/>
    <cellStyle name="Calculation 2 24 3" xfId="16079"/>
    <cellStyle name="Calculation 2 24 3 2" xfId="36147"/>
    <cellStyle name="Calculation 2 24 4" xfId="24717"/>
    <cellStyle name="Calculation 2 25" xfId="2861"/>
    <cellStyle name="Calculation 2 25 2" xfId="2862"/>
    <cellStyle name="Calculation 2 25 2 2" xfId="19019"/>
    <cellStyle name="Calculation 2 25 2 2 2" xfId="39087"/>
    <cellStyle name="Calculation 2 25 2 3" xfId="24720"/>
    <cellStyle name="Calculation 2 25 3" xfId="15489"/>
    <cellStyle name="Calculation 2 25 3 2" xfId="35557"/>
    <cellStyle name="Calculation 2 25 4" xfId="24719"/>
    <cellStyle name="Calculation 2 26" xfId="2863"/>
    <cellStyle name="Calculation 2 26 2" xfId="2864"/>
    <cellStyle name="Calculation 2 26 2 2" xfId="19020"/>
    <cellStyle name="Calculation 2 26 2 2 2" xfId="39088"/>
    <cellStyle name="Calculation 2 26 2 3" xfId="24722"/>
    <cellStyle name="Calculation 2 26 3" xfId="16248"/>
    <cellStyle name="Calculation 2 26 3 2" xfId="36316"/>
    <cellStyle name="Calculation 2 26 4" xfId="24721"/>
    <cellStyle name="Calculation 2 27" xfId="2865"/>
    <cellStyle name="Calculation 2 27 2" xfId="2866"/>
    <cellStyle name="Calculation 2 27 2 2" xfId="19021"/>
    <cellStyle name="Calculation 2 27 2 2 2" xfId="39089"/>
    <cellStyle name="Calculation 2 27 2 3" xfId="24724"/>
    <cellStyle name="Calculation 2 27 3" xfId="15622"/>
    <cellStyle name="Calculation 2 27 3 2" xfId="35690"/>
    <cellStyle name="Calculation 2 27 4" xfId="24723"/>
    <cellStyle name="Calculation 2 28" xfId="2867"/>
    <cellStyle name="Calculation 2 28 2" xfId="2868"/>
    <cellStyle name="Calculation 2 28 2 2" xfId="19022"/>
    <cellStyle name="Calculation 2 28 2 2 2" xfId="39090"/>
    <cellStyle name="Calculation 2 28 2 3" xfId="24726"/>
    <cellStyle name="Calculation 2 28 3" xfId="15555"/>
    <cellStyle name="Calculation 2 28 3 2" xfId="35623"/>
    <cellStyle name="Calculation 2 28 4" xfId="24725"/>
    <cellStyle name="Calculation 2 29" xfId="2869"/>
    <cellStyle name="Calculation 2 29 2" xfId="2870"/>
    <cellStyle name="Calculation 2 29 2 2" xfId="19023"/>
    <cellStyle name="Calculation 2 29 2 2 2" xfId="39091"/>
    <cellStyle name="Calculation 2 29 2 3" xfId="24728"/>
    <cellStyle name="Calculation 2 29 3" xfId="15615"/>
    <cellStyle name="Calculation 2 29 3 2" xfId="35683"/>
    <cellStyle name="Calculation 2 29 4" xfId="24727"/>
    <cellStyle name="Calculation 2 3" xfId="2871"/>
    <cellStyle name="Calculation 2 3 10" xfId="2872"/>
    <cellStyle name="Calculation 2 3 10 2" xfId="2873"/>
    <cellStyle name="Calculation 2 3 10 2 2" xfId="19025"/>
    <cellStyle name="Calculation 2 3 10 2 2 2" xfId="39093"/>
    <cellStyle name="Calculation 2 3 10 2 3" xfId="24731"/>
    <cellStyle name="Calculation 2 3 10 3" xfId="16138"/>
    <cellStyle name="Calculation 2 3 10 3 2" xfId="36206"/>
    <cellStyle name="Calculation 2 3 10 4" xfId="24730"/>
    <cellStyle name="Calculation 2 3 11" xfId="2874"/>
    <cellStyle name="Calculation 2 3 11 2" xfId="2875"/>
    <cellStyle name="Calculation 2 3 11 2 2" xfId="19026"/>
    <cellStyle name="Calculation 2 3 11 2 2 2" xfId="39094"/>
    <cellStyle name="Calculation 2 3 11 2 3" xfId="24733"/>
    <cellStyle name="Calculation 2 3 11 3" xfId="15635"/>
    <cellStyle name="Calculation 2 3 11 3 2" xfId="35703"/>
    <cellStyle name="Calculation 2 3 11 4" xfId="24732"/>
    <cellStyle name="Calculation 2 3 12" xfId="2876"/>
    <cellStyle name="Calculation 2 3 12 2" xfId="2877"/>
    <cellStyle name="Calculation 2 3 12 2 2" xfId="19027"/>
    <cellStyle name="Calculation 2 3 12 2 2 2" xfId="39095"/>
    <cellStyle name="Calculation 2 3 12 2 3" xfId="24735"/>
    <cellStyle name="Calculation 2 3 12 3" xfId="15962"/>
    <cellStyle name="Calculation 2 3 12 3 2" xfId="36030"/>
    <cellStyle name="Calculation 2 3 12 4" xfId="24734"/>
    <cellStyle name="Calculation 2 3 13" xfId="2878"/>
    <cellStyle name="Calculation 2 3 13 2" xfId="2879"/>
    <cellStyle name="Calculation 2 3 13 2 2" xfId="19028"/>
    <cellStyle name="Calculation 2 3 13 2 2 2" xfId="39096"/>
    <cellStyle name="Calculation 2 3 13 2 3" xfId="24737"/>
    <cellStyle name="Calculation 2 3 13 3" xfId="15887"/>
    <cellStyle name="Calculation 2 3 13 3 2" xfId="35955"/>
    <cellStyle name="Calculation 2 3 13 4" xfId="24736"/>
    <cellStyle name="Calculation 2 3 14" xfId="2880"/>
    <cellStyle name="Calculation 2 3 14 2" xfId="2881"/>
    <cellStyle name="Calculation 2 3 14 2 2" xfId="19029"/>
    <cellStyle name="Calculation 2 3 14 2 2 2" xfId="39097"/>
    <cellStyle name="Calculation 2 3 14 2 3" xfId="24739"/>
    <cellStyle name="Calculation 2 3 14 3" xfId="15919"/>
    <cellStyle name="Calculation 2 3 14 3 2" xfId="35987"/>
    <cellStyle name="Calculation 2 3 14 4" xfId="24738"/>
    <cellStyle name="Calculation 2 3 15" xfId="2882"/>
    <cellStyle name="Calculation 2 3 15 2" xfId="2883"/>
    <cellStyle name="Calculation 2 3 15 2 2" xfId="19030"/>
    <cellStyle name="Calculation 2 3 15 2 2 2" xfId="39098"/>
    <cellStyle name="Calculation 2 3 15 2 3" xfId="24741"/>
    <cellStyle name="Calculation 2 3 15 3" xfId="15737"/>
    <cellStyle name="Calculation 2 3 15 3 2" xfId="35805"/>
    <cellStyle name="Calculation 2 3 15 4" xfId="24740"/>
    <cellStyle name="Calculation 2 3 16" xfId="2884"/>
    <cellStyle name="Calculation 2 3 16 2" xfId="2885"/>
    <cellStyle name="Calculation 2 3 16 2 2" xfId="19031"/>
    <cellStyle name="Calculation 2 3 16 2 2 2" xfId="39099"/>
    <cellStyle name="Calculation 2 3 16 2 3" xfId="24743"/>
    <cellStyle name="Calculation 2 3 16 3" xfId="15980"/>
    <cellStyle name="Calculation 2 3 16 3 2" xfId="36048"/>
    <cellStyle name="Calculation 2 3 16 4" xfId="24742"/>
    <cellStyle name="Calculation 2 3 17" xfId="2886"/>
    <cellStyle name="Calculation 2 3 17 2" xfId="2887"/>
    <cellStyle name="Calculation 2 3 17 2 2" xfId="19032"/>
    <cellStyle name="Calculation 2 3 17 2 2 2" xfId="39100"/>
    <cellStyle name="Calculation 2 3 17 2 3" xfId="24745"/>
    <cellStyle name="Calculation 2 3 17 3" xfId="15421"/>
    <cellStyle name="Calculation 2 3 17 3 2" xfId="35489"/>
    <cellStyle name="Calculation 2 3 17 4" xfId="24744"/>
    <cellStyle name="Calculation 2 3 18" xfId="2888"/>
    <cellStyle name="Calculation 2 3 18 2" xfId="2889"/>
    <cellStyle name="Calculation 2 3 18 2 2" xfId="19033"/>
    <cellStyle name="Calculation 2 3 18 2 2 2" xfId="39101"/>
    <cellStyle name="Calculation 2 3 18 2 3" xfId="24747"/>
    <cellStyle name="Calculation 2 3 18 3" xfId="15463"/>
    <cellStyle name="Calculation 2 3 18 3 2" xfId="35531"/>
    <cellStyle name="Calculation 2 3 18 4" xfId="24746"/>
    <cellStyle name="Calculation 2 3 19" xfId="2890"/>
    <cellStyle name="Calculation 2 3 19 2" xfId="2891"/>
    <cellStyle name="Calculation 2 3 19 2 2" xfId="19034"/>
    <cellStyle name="Calculation 2 3 19 2 2 2" xfId="39102"/>
    <cellStyle name="Calculation 2 3 19 2 3" xfId="24749"/>
    <cellStyle name="Calculation 2 3 19 3" xfId="17416"/>
    <cellStyle name="Calculation 2 3 19 3 2" xfId="37484"/>
    <cellStyle name="Calculation 2 3 19 4" xfId="24748"/>
    <cellStyle name="Calculation 2 3 2" xfId="2892"/>
    <cellStyle name="Calculation 2 3 2 10" xfId="2893"/>
    <cellStyle name="Calculation 2 3 2 10 2" xfId="2894"/>
    <cellStyle name="Calculation 2 3 2 10 2 2" xfId="19036"/>
    <cellStyle name="Calculation 2 3 2 10 2 2 2" xfId="39104"/>
    <cellStyle name="Calculation 2 3 2 10 2 3" xfId="24752"/>
    <cellStyle name="Calculation 2 3 2 10 3" xfId="16915"/>
    <cellStyle name="Calculation 2 3 2 10 3 2" xfId="36983"/>
    <cellStyle name="Calculation 2 3 2 10 4" xfId="24751"/>
    <cellStyle name="Calculation 2 3 2 11" xfId="2895"/>
    <cellStyle name="Calculation 2 3 2 11 2" xfId="2896"/>
    <cellStyle name="Calculation 2 3 2 11 2 2" xfId="19037"/>
    <cellStyle name="Calculation 2 3 2 11 2 2 2" xfId="39105"/>
    <cellStyle name="Calculation 2 3 2 11 2 3" xfId="24754"/>
    <cellStyle name="Calculation 2 3 2 11 3" xfId="17050"/>
    <cellStyle name="Calculation 2 3 2 11 3 2" xfId="37118"/>
    <cellStyle name="Calculation 2 3 2 11 4" xfId="24753"/>
    <cellStyle name="Calculation 2 3 2 12" xfId="2897"/>
    <cellStyle name="Calculation 2 3 2 12 2" xfId="2898"/>
    <cellStyle name="Calculation 2 3 2 12 2 2" xfId="19038"/>
    <cellStyle name="Calculation 2 3 2 12 2 2 2" xfId="39106"/>
    <cellStyle name="Calculation 2 3 2 12 2 3" xfId="24756"/>
    <cellStyle name="Calculation 2 3 2 12 3" xfId="17222"/>
    <cellStyle name="Calculation 2 3 2 12 3 2" xfId="37290"/>
    <cellStyle name="Calculation 2 3 2 12 4" xfId="24755"/>
    <cellStyle name="Calculation 2 3 2 13" xfId="2899"/>
    <cellStyle name="Calculation 2 3 2 13 2" xfId="2900"/>
    <cellStyle name="Calculation 2 3 2 13 2 2" xfId="19039"/>
    <cellStyle name="Calculation 2 3 2 13 2 2 2" xfId="39107"/>
    <cellStyle name="Calculation 2 3 2 13 2 3" xfId="24758"/>
    <cellStyle name="Calculation 2 3 2 13 3" xfId="17392"/>
    <cellStyle name="Calculation 2 3 2 13 3 2" xfId="37460"/>
    <cellStyle name="Calculation 2 3 2 13 4" xfId="24757"/>
    <cellStyle name="Calculation 2 3 2 14" xfId="2901"/>
    <cellStyle name="Calculation 2 3 2 14 2" xfId="2902"/>
    <cellStyle name="Calculation 2 3 2 14 2 2" xfId="19040"/>
    <cellStyle name="Calculation 2 3 2 14 2 2 2" xfId="39108"/>
    <cellStyle name="Calculation 2 3 2 14 2 3" xfId="24760"/>
    <cellStyle name="Calculation 2 3 2 14 3" xfId="17520"/>
    <cellStyle name="Calculation 2 3 2 14 3 2" xfId="37588"/>
    <cellStyle name="Calculation 2 3 2 14 4" xfId="24759"/>
    <cellStyle name="Calculation 2 3 2 15" xfId="2903"/>
    <cellStyle name="Calculation 2 3 2 15 2" xfId="2904"/>
    <cellStyle name="Calculation 2 3 2 15 2 2" xfId="19041"/>
    <cellStyle name="Calculation 2 3 2 15 2 2 2" xfId="39109"/>
    <cellStyle name="Calculation 2 3 2 15 2 3" xfId="24762"/>
    <cellStyle name="Calculation 2 3 2 15 3" xfId="17630"/>
    <cellStyle name="Calculation 2 3 2 15 3 2" xfId="37698"/>
    <cellStyle name="Calculation 2 3 2 15 4" xfId="24761"/>
    <cellStyle name="Calculation 2 3 2 16" xfId="2905"/>
    <cellStyle name="Calculation 2 3 2 16 2" xfId="2906"/>
    <cellStyle name="Calculation 2 3 2 16 2 2" xfId="19042"/>
    <cellStyle name="Calculation 2 3 2 16 2 2 2" xfId="39110"/>
    <cellStyle name="Calculation 2 3 2 16 2 3" xfId="24764"/>
    <cellStyle name="Calculation 2 3 2 16 3" xfId="17771"/>
    <cellStyle name="Calculation 2 3 2 16 3 2" xfId="37839"/>
    <cellStyle name="Calculation 2 3 2 16 4" xfId="24763"/>
    <cellStyle name="Calculation 2 3 2 17" xfId="2907"/>
    <cellStyle name="Calculation 2 3 2 17 2" xfId="2908"/>
    <cellStyle name="Calculation 2 3 2 17 2 2" xfId="19043"/>
    <cellStyle name="Calculation 2 3 2 17 2 2 2" xfId="39111"/>
    <cellStyle name="Calculation 2 3 2 17 2 3" xfId="24766"/>
    <cellStyle name="Calculation 2 3 2 17 3" xfId="17900"/>
    <cellStyle name="Calculation 2 3 2 17 3 2" xfId="37968"/>
    <cellStyle name="Calculation 2 3 2 17 4" xfId="24765"/>
    <cellStyle name="Calculation 2 3 2 18" xfId="2909"/>
    <cellStyle name="Calculation 2 3 2 18 2" xfId="2910"/>
    <cellStyle name="Calculation 2 3 2 18 2 2" xfId="19044"/>
    <cellStyle name="Calculation 2 3 2 18 2 2 2" xfId="39112"/>
    <cellStyle name="Calculation 2 3 2 18 2 3" xfId="24768"/>
    <cellStyle name="Calculation 2 3 2 18 3" xfId="18050"/>
    <cellStyle name="Calculation 2 3 2 18 3 2" xfId="38118"/>
    <cellStyle name="Calculation 2 3 2 18 4" xfId="24767"/>
    <cellStyle name="Calculation 2 3 2 19" xfId="2911"/>
    <cellStyle name="Calculation 2 3 2 19 2" xfId="2912"/>
    <cellStyle name="Calculation 2 3 2 19 2 2" xfId="19045"/>
    <cellStyle name="Calculation 2 3 2 19 2 2 2" xfId="39113"/>
    <cellStyle name="Calculation 2 3 2 19 2 3" xfId="24770"/>
    <cellStyle name="Calculation 2 3 2 19 3" xfId="18167"/>
    <cellStyle name="Calculation 2 3 2 19 3 2" xfId="38235"/>
    <cellStyle name="Calculation 2 3 2 19 4" xfId="24769"/>
    <cellStyle name="Calculation 2 3 2 2" xfId="2913"/>
    <cellStyle name="Calculation 2 3 2 2 2" xfId="2914"/>
    <cellStyle name="Calculation 2 3 2 2 2 2" xfId="19046"/>
    <cellStyle name="Calculation 2 3 2 2 2 2 2" xfId="39114"/>
    <cellStyle name="Calculation 2 3 2 2 2 3" xfId="24772"/>
    <cellStyle name="Calculation 2 3 2 2 3" xfId="14636"/>
    <cellStyle name="Calculation 2 3 2 2 3 2" xfId="34704"/>
    <cellStyle name="Calculation 2 3 2 2 4" xfId="24771"/>
    <cellStyle name="Calculation 2 3 2 20" xfId="2915"/>
    <cellStyle name="Calculation 2 3 2 20 2" xfId="2916"/>
    <cellStyle name="Calculation 2 3 2 20 2 2" xfId="19047"/>
    <cellStyle name="Calculation 2 3 2 20 2 2 2" xfId="39115"/>
    <cellStyle name="Calculation 2 3 2 20 2 3" xfId="24774"/>
    <cellStyle name="Calculation 2 3 2 20 3" xfId="16526"/>
    <cellStyle name="Calculation 2 3 2 20 3 2" xfId="36594"/>
    <cellStyle name="Calculation 2 3 2 20 4" xfId="24773"/>
    <cellStyle name="Calculation 2 3 2 21" xfId="2917"/>
    <cellStyle name="Calculation 2 3 2 21 2" xfId="2918"/>
    <cellStyle name="Calculation 2 3 2 21 2 2" xfId="19048"/>
    <cellStyle name="Calculation 2 3 2 21 2 2 2" xfId="39116"/>
    <cellStyle name="Calculation 2 3 2 21 2 3" xfId="24776"/>
    <cellStyle name="Calculation 2 3 2 21 3" xfId="18362"/>
    <cellStyle name="Calculation 2 3 2 21 3 2" xfId="38430"/>
    <cellStyle name="Calculation 2 3 2 21 4" xfId="24775"/>
    <cellStyle name="Calculation 2 3 2 22" xfId="2919"/>
    <cellStyle name="Calculation 2 3 2 22 2" xfId="2920"/>
    <cellStyle name="Calculation 2 3 2 22 2 2" xfId="19049"/>
    <cellStyle name="Calculation 2 3 2 22 2 2 2" xfId="39117"/>
    <cellStyle name="Calculation 2 3 2 22 2 3" xfId="24778"/>
    <cellStyle name="Calculation 2 3 2 22 3" xfId="18506"/>
    <cellStyle name="Calculation 2 3 2 22 3 2" xfId="38574"/>
    <cellStyle name="Calculation 2 3 2 22 4" xfId="24777"/>
    <cellStyle name="Calculation 2 3 2 23" xfId="2921"/>
    <cellStyle name="Calculation 2 3 2 23 2" xfId="2922"/>
    <cellStyle name="Calculation 2 3 2 23 2 2" xfId="19050"/>
    <cellStyle name="Calculation 2 3 2 23 2 2 2" xfId="39118"/>
    <cellStyle name="Calculation 2 3 2 23 2 3" xfId="24780"/>
    <cellStyle name="Calculation 2 3 2 23 3" xfId="18617"/>
    <cellStyle name="Calculation 2 3 2 23 3 2" xfId="38685"/>
    <cellStyle name="Calculation 2 3 2 23 4" xfId="24779"/>
    <cellStyle name="Calculation 2 3 2 24" xfId="2923"/>
    <cellStyle name="Calculation 2 3 2 24 2" xfId="2924"/>
    <cellStyle name="Calculation 2 3 2 24 2 2" xfId="19051"/>
    <cellStyle name="Calculation 2 3 2 24 2 2 2" xfId="39119"/>
    <cellStyle name="Calculation 2 3 2 24 2 3" xfId="24782"/>
    <cellStyle name="Calculation 2 3 2 24 3" xfId="18717"/>
    <cellStyle name="Calculation 2 3 2 24 3 2" xfId="38785"/>
    <cellStyle name="Calculation 2 3 2 24 4" xfId="24781"/>
    <cellStyle name="Calculation 2 3 2 25" xfId="2925"/>
    <cellStyle name="Calculation 2 3 2 25 2" xfId="2926"/>
    <cellStyle name="Calculation 2 3 2 25 2 2" xfId="19052"/>
    <cellStyle name="Calculation 2 3 2 25 2 2 2" xfId="39120"/>
    <cellStyle name="Calculation 2 3 2 25 2 3" xfId="24784"/>
    <cellStyle name="Calculation 2 3 2 25 3" xfId="18817"/>
    <cellStyle name="Calculation 2 3 2 25 3 2" xfId="38885"/>
    <cellStyle name="Calculation 2 3 2 25 4" xfId="24783"/>
    <cellStyle name="Calculation 2 3 2 26" xfId="2927"/>
    <cellStyle name="Calculation 2 3 2 26 2" xfId="19035"/>
    <cellStyle name="Calculation 2 3 2 26 2 2" xfId="39103"/>
    <cellStyle name="Calculation 2 3 2 26 3" xfId="24785"/>
    <cellStyle name="Calculation 2 3 2 27" xfId="14590"/>
    <cellStyle name="Calculation 2 3 2 27 2" xfId="34658"/>
    <cellStyle name="Calculation 2 3 2 28" xfId="24750"/>
    <cellStyle name="Calculation 2 3 2 3" xfId="2928"/>
    <cellStyle name="Calculation 2 3 2 3 2" xfId="2929"/>
    <cellStyle name="Calculation 2 3 2 3 2 2" xfId="19053"/>
    <cellStyle name="Calculation 2 3 2 3 2 2 2" xfId="39121"/>
    <cellStyle name="Calculation 2 3 2 3 2 3" xfId="24787"/>
    <cellStyle name="Calculation 2 3 2 3 3" xfId="14755"/>
    <cellStyle name="Calculation 2 3 2 3 3 2" xfId="34823"/>
    <cellStyle name="Calculation 2 3 2 3 4" xfId="24786"/>
    <cellStyle name="Calculation 2 3 2 4" xfId="2930"/>
    <cellStyle name="Calculation 2 3 2 4 2" xfId="2931"/>
    <cellStyle name="Calculation 2 3 2 4 2 2" xfId="19054"/>
    <cellStyle name="Calculation 2 3 2 4 2 2 2" xfId="39122"/>
    <cellStyle name="Calculation 2 3 2 4 2 3" xfId="24789"/>
    <cellStyle name="Calculation 2 3 2 4 3" xfId="14874"/>
    <cellStyle name="Calculation 2 3 2 4 3 2" xfId="34942"/>
    <cellStyle name="Calculation 2 3 2 4 4" xfId="24788"/>
    <cellStyle name="Calculation 2 3 2 5" xfId="2932"/>
    <cellStyle name="Calculation 2 3 2 5 2" xfId="2933"/>
    <cellStyle name="Calculation 2 3 2 5 2 2" xfId="19055"/>
    <cellStyle name="Calculation 2 3 2 5 2 2 2" xfId="39123"/>
    <cellStyle name="Calculation 2 3 2 5 2 3" xfId="24791"/>
    <cellStyle name="Calculation 2 3 2 5 3" xfId="15043"/>
    <cellStyle name="Calculation 2 3 2 5 3 2" xfId="35111"/>
    <cellStyle name="Calculation 2 3 2 5 4" xfId="24790"/>
    <cellStyle name="Calculation 2 3 2 6" xfId="2934"/>
    <cellStyle name="Calculation 2 3 2 6 2" xfId="2935"/>
    <cellStyle name="Calculation 2 3 2 6 2 2" xfId="19056"/>
    <cellStyle name="Calculation 2 3 2 6 2 2 2" xfId="39124"/>
    <cellStyle name="Calculation 2 3 2 6 2 3" xfId="24793"/>
    <cellStyle name="Calculation 2 3 2 6 3" xfId="14375"/>
    <cellStyle name="Calculation 2 3 2 6 3 2" xfId="34443"/>
    <cellStyle name="Calculation 2 3 2 6 4" xfId="24792"/>
    <cellStyle name="Calculation 2 3 2 7" xfId="2936"/>
    <cellStyle name="Calculation 2 3 2 7 2" xfId="2937"/>
    <cellStyle name="Calculation 2 3 2 7 2 2" xfId="19057"/>
    <cellStyle name="Calculation 2 3 2 7 2 2 2" xfId="39125"/>
    <cellStyle name="Calculation 2 3 2 7 2 3" xfId="24795"/>
    <cellStyle name="Calculation 2 3 2 7 3" xfId="15186"/>
    <cellStyle name="Calculation 2 3 2 7 3 2" xfId="35254"/>
    <cellStyle name="Calculation 2 3 2 7 4" xfId="24794"/>
    <cellStyle name="Calculation 2 3 2 8" xfId="2938"/>
    <cellStyle name="Calculation 2 3 2 8 2" xfId="2939"/>
    <cellStyle name="Calculation 2 3 2 8 2 2" xfId="19058"/>
    <cellStyle name="Calculation 2 3 2 8 2 2 2" xfId="39126"/>
    <cellStyle name="Calculation 2 3 2 8 2 3" xfId="24797"/>
    <cellStyle name="Calculation 2 3 2 8 3" xfId="16540"/>
    <cellStyle name="Calculation 2 3 2 8 3 2" xfId="36608"/>
    <cellStyle name="Calculation 2 3 2 8 4" xfId="24796"/>
    <cellStyle name="Calculation 2 3 2 9" xfId="2940"/>
    <cellStyle name="Calculation 2 3 2 9 2" xfId="2941"/>
    <cellStyle name="Calculation 2 3 2 9 2 2" xfId="19059"/>
    <cellStyle name="Calculation 2 3 2 9 2 2 2" xfId="39127"/>
    <cellStyle name="Calculation 2 3 2 9 2 3" xfId="24799"/>
    <cellStyle name="Calculation 2 3 2 9 3" xfId="16744"/>
    <cellStyle name="Calculation 2 3 2 9 3 2" xfId="36812"/>
    <cellStyle name="Calculation 2 3 2 9 4" xfId="24798"/>
    <cellStyle name="Calculation 2 3 20" xfId="2942"/>
    <cellStyle name="Calculation 2 3 20 2" xfId="2943"/>
    <cellStyle name="Calculation 2 3 20 2 2" xfId="19060"/>
    <cellStyle name="Calculation 2 3 20 2 2 2" xfId="39128"/>
    <cellStyle name="Calculation 2 3 20 2 3" xfId="24801"/>
    <cellStyle name="Calculation 2 3 20 3" xfId="16348"/>
    <cellStyle name="Calculation 2 3 20 3 2" xfId="36416"/>
    <cellStyle name="Calculation 2 3 20 4" xfId="24800"/>
    <cellStyle name="Calculation 2 3 21" xfId="2944"/>
    <cellStyle name="Calculation 2 3 21 2" xfId="2945"/>
    <cellStyle name="Calculation 2 3 21 2 2" xfId="19061"/>
    <cellStyle name="Calculation 2 3 21 2 2 2" xfId="39129"/>
    <cellStyle name="Calculation 2 3 21 2 3" xfId="24803"/>
    <cellStyle name="Calculation 2 3 21 3" xfId="16037"/>
    <cellStyle name="Calculation 2 3 21 3 2" xfId="36105"/>
    <cellStyle name="Calculation 2 3 21 4" xfId="24802"/>
    <cellStyle name="Calculation 2 3 22" xfId="2946"/>
    <cellStyle name="Calculation 2 3 22 2" xfId="2947"/>
    <cellStyle name="Calculation 2 3 22 2 2" xfId="19062"/>
    <cellStyle name="Calculation 2 3 22 2 2 2" xfId="39130"/>
    <cellStyle name="Calculation 2 3 22 2 3" xfId="24805"/>
    <cellStyle name="Calculation 2 3 22 3" xfId="17751"/>
    <cellStyle name="Calculation 2 3 22 3 2" xfId="37819"/>
    <cellStyle name="Calculation 2 3 22 4" xfId="24804"/>
    <cellStyle name="Calculation 2 3 23" xfId="2948"/>
    <cellStyle name="Calculation 2 3 23 2" xfId="2949"/>
    <cellStyle name="Calculation 2 3 23 2 2" xfId="19063"/>
    <cellStyle name="Calculation 2 3 23 2 2 2" xfId="39131"/>
    <cellStyle name="Calculation 2 3 23 2 3" xfId="24807"/>
    <cellStyle name="Calculation 2 3 23 3" xfId="15669"/>
    <cellStyle name="Calculation 2 3 23 3 2" xfId="35737"/>
    <cellStyle name="Calculation 2 3 23 4" xfId="24806"/>
    <cellStyle name="Calculation 2 3 24" xfId="2950"/>
    <cellStyle name="Calculation 2 3 24 2" xfId="2951"/>
    <cellStyle name="Calculation 2 3 24 2 2" xfId="19064"/>
    <cellStyle name="Calculation 2 3 24 2 2 2" xfId="39132"/>
    <cellStyle name="Calculation 2 3 24 2 3" xfId="24809"/>
    <cellStyle name="Calculation 2 3 24 3" xfId="17733"/>
    <cellStyle name="Calculation 2 3 24 3 2" xfId="37801"/>
    <cellStyle name="Calculation 2 3 24 4" xfId="24808"/>
    <cellStyle name="Calculation 2 3 25" xfId="2952"/>
    <cellStyle name="Calculation 2 3 25 2" xfId="2953"/>
    <cellStyle name="Calculation 2 3 25 2 2" xfId="19065"/>
    <cellStyle name="Calculation 2 3 25 2 2 2" xfId="39133"/>
    <cellStyle name="Calculation 2 3 25 2 3" xfId="24811"/>
    <cellStyle name="Calculation 2 3 25 3" xfId="15441"/>
    <cellStyle name="Calculation 2 3 25 3 2" xfId="35509"/>
    <cellStyle name="Calculation 2 3 25 4" xfId="24810"/>
    <cellStyle name="Calculation 2 3 26" xfId="2954"/>
    <cellStyle name="Calculation 2 3 26 2" xfId="2955"/>
    <cellStyle name="Calculation 2 3 26 2 2" xfId="19066"/>
    <cellStyle name="Calculation 2 3 26 2 2 2" xfId="39134"/>
    <cellStyle name="Calculation 2 3 26 2 3" xfId="24813"/>
    <cellStyle name="Calculation 2 3 26 3" xfId="15605"/>
    <cellStyle name="Calculation 2 3 26 3 2" xfId="35673"/>
    <cellStyle name="Calculation 2 3 26 4" xfId="24812"/>
    <cellStyle name="Calculation 2 3 27" xfId="2956"/>
    <cellStyle name="Calculation 2 3 27 2" xfId="2957"/>
    <cellStyle name="Calculation 2 3 27 2 2" xfId="19067"/>
    <cellStyle name="Calculation 2 3 27 2 2 2" xfId="39135"/>
    <cellStyle name="Calculation 2 3 27 2 3" xfId="24815"/>
    <cellStyle name="Calculation 2 3 27 3" xfId="16723"/>
    <cellStyle name="Calculation 2 3 27 3 2" xfId="36791"/>
    <cellStyle name="Calculation 2 3 27 4" xfId="24814"/>
    <cellStyle name="Calculation 2 3 28" xfId="2958"/>
    <cellStyle name="Calculation 2 3 28 2" xfId="19024"/>
    <cellStyle name="Calculation 2 3 28 2 2" xfId="39092"/>
    <cellStyle name="Calculation 2 3 28 3" xfId="24816"/>
    <cellStyle name="Calculation 2 3 29" xfId="13853"/>
    <cellStyle name="Calculation 2 3 29 2" xfId="33921"/>
    <cellStyle name="Calculation 2 3 3" xfId="2959"/>
    <cellStyle name="Calculation 2 3 3 2" xfId="2960"/>
    <cellStyle name="Calculation 2 3 3 2 2" xfId="19068"/>
    <cellStyle name="Calculation 2 3 3 2 2 2" xfId="39136"/>
    <cellStyle name="Calculation 2 3 3 2 3" xfId="24818"/>
    <cellStyle name="Calculation 2 3 3 3" xfId="14568"/>
    <cellStyle name="Calculation 2 3 3 3 2" xfId="34636"/>
    <cellStyle name="Calculation 2 3 3 4" xfId="24817"/>
    <cellStyle name="Calculation 2 3 30" xfId="24729"/>
    <cellStyle name="Calculation 2 3 4" xfId="2961"/>
    <cellStyle name="Calculation 2 3 4 2" xfId="2962"/>
    <cellStyle name="Calculation 2 3 4 2 2" xfId="19069"/>
    <cellStyle name="Calculation 2 3 4 2 2 2" xfId="39137"/>
    <cellStyle name="Calculation 2 3 4 2 3" xfId="24820"/>
    <cellStyle name="Calculation 2 3 4 3" xfId="14518"/>
    <cellStyle name="Calculation 2 3 4 3 2" xfId="34586"/>
    <cellStyle name="Calculation 2 3 4 4" xfId="24819"/>
    <cellStyle name="Calculation 2 3 5" xfId="2963"/>
    <cellStyle name="Calculation 2 3 5 2" xfId="2964"/>
    <cellStyle name="Calculation 2 3 5 2 2" xfId="19070"/>
    <cellStyle name="Calculation 2 3 5 2 2 2" xfId="39138"/>
    <cellStyle name="Calculation 2 3 5 2 3" xfId="24822"/>
    <cellStyle name="Calculation 2 3 5 3" xfId="14049"/>
    <cellStyle name="Calculation 2 3 5 3 2" xfId="34117"/>
    <cellStyle name="Calculation 2 3 5 4" xfId="24821"/>
    <cellStyle name="Calculation 2 3 6" xfId="2965"/>
    <cellStyle name="Calculation 2 3 6 2" xfId="2966"/>
    <cellStyle name="Calculation 2 3 6 2 2" xfId="19071"/>
    <cellStyle name="Calculation 2 3 6 2 2 2" xfId="39139"/>
    <cellStyle name="Calculation 2 3 6 2 3" xfId="24824"/>
    <cellStyle name="Calculation 2 3 6 3" xfId="14124"/>
    <cellStyle name="Calculation 2 3 6 3 2" xfId="34192"/>
    <cellStyle name="Calculation 2 3 6 4" xfId="24823"/>
    <cellStyle name="Calculation 2 3 7" xfId="2967"/>
    <cellStyle name="Calculation 2 3 7 2" xfId="2968"/>
    <cellStyle name="Calculation 2 3 7 2 2" xfId="19072"/>
    <cellStyle name="Calculation 2 3 7 2 2 2" xfId="39140"/>
    <cellStyle name="Calculation 2 3 7 2 3" xfId="24826"/>
    <cellStyle name="Calculation 2 3 7 3" xfId="14433"/>
    <cellStyle name="Calculation 2 3 7 3 2" xfId="34501"/>
    <cellStyle name="Calculation 2 3 7 4" xfId="24825"/>
    <cellStyle name="Calculation 2 3 8" xfId="2969"/>
    <cellStyle name="Calculation 2 3 8 2" xfId="2970"/>
    <cellStyle name="Calculation 2 3 8 2 2" xfId="19073"/>
    <cellStyle name="Calculation 2 3 8 2 2 2" xfId="39141"/>
    <cellStyle name="Calculation 2 3 8 2 3" xfId="24828"/>
    <cellStyle name="Calculation 2 3 8 3" xfId="14005"/>
    <cellStyle name="Calculation 2 3 8 3 2" xfId="34073"/>
    <cellStyle name="Calculation 2 3 8 4" xfId="24827"/>
    <cellStyle name="Calculation 2 3 9" xfId="2971"/>
    <cellStyle name="Calculation 2 3 9 2" xfId="2972"/>
    <cellStyle name="Calculation 2 3 9 2 2" xfId="19074"/>
    <cellStyle name="Calculation 2 3 9 2 2 2" xfId="39142"/>
    <cellStyle name="Calculation 2 3 9 2 3" xfId="24830"/>
    <cellStyle name="Calculation 2 3 9 3" xfId="14588"/>
    <cellStyle name="Calculation 2 3 9 3 2" xfId="34656"/>
    <cellStyle name="Calculation 2 3 9 4" xfId="24829"/>
    <cellStyle name="Calculation 2 30" xfId="2973"/>
    <cellStyle name="Calculation 2 30 2" xfId="2974"/>
    <cellStyle name="Calculation 2 30 2 2" xfId="19075"/>
    <cellStyle name="Calculation 2 30 2 2 2" xfId="39143"/>
    <cellStyle name="Calculation 2 30 2 3" xfId="24832"/>
    <cellStyle name="Calculation 2 30 3" xfId="16246"/>
    <cellStyle name="Calculation 2 30 3 2" xfId="36314"/>
    <cellStyle name="Calculation 2 30 4" xfId="24831"/>
    <cellStyle name="Calculation 2 31" xfId="2975"/>
    <cellStyle name="Calculation 2 31 2" xfId="2976"/>
    <cellStyle name="Calculation 2 31 2 2" xfId="19076"/>
    <cellStyle name="Calculation 2 31 2 2 2" xfId="39144"/>
    <cellStyle name="Calculation 2 31 2 3" xfId="24834"/>
    <cellStyle name="Calculation 2 31 3" xfId="18273"/>
    <cellStyle name="Calculation 2 31 3 2" xfId="38341"/>
    <cellStyle name="Calculation 2 31 4" xfId="24833"/>
    <cellStyle name="Calculation 2 32" xfId="2977"/>
    <cellStyle name="Calculation 2 32 2" xfId="18952"/>
    <cellStyle name="Calculation 2 32 2 2" xfId="39020"/>
    <cellStyle name="Calculation 2 32 3" xfId="24835"/>
    <cellStyle name="Calculation 2 33" xfId="13851"/>
    <cellStyle name="Calculation 2 33 2" xfId="33919"/>
    <cellStyle name="Calculation 2 34" xfId="24586"/>
    <cellStyle name="Calculation 2 4" xfId="2978"/>
    <cellStyle name="Calculation 2 4 10" xfId="2979"/>
    <cellStyle name="Calculation 2 4 10 2" xfId="2980"/>
    <cellStyle name="Calculation 2 4 10 2 2" xfId="19078"/>
    <cellStyle name="Calculation 2 4 10 2 2 2" xfId="39146"/>
    <cellStyle name="Calculation 2 4 10 2 3" xfId="24838"/>
    <cellStyle name="Calculation 2 4 10 3" xfId="16139"/>
    <cellStyle name="Calculation 2 4 10 3 2" xfId="36207"/>
    <cellStyle name="Calculation 2 4 10 4" xfId="24837"/>
    <cellStyle name="Calculation 2 4 11" xfId="2981"/>
    <cellStyle name="Calculation 2 4 11 2" xfId="2982"/>
    <cellStyle name="Calculation 2 4 11 2 2" xfId="19079"/>
    <cellStyle name="Calculation 2 4 11 2 2 2" xfId="39147"/>
    <cellStyle name="Calculation 2 4 11 2 3" xfId="24840"/>
    <cellStyle name="Calculation 2 4 11 3" xfId="15903"/>
    <cellStyle name="Calculation 2 4 11 3 2" xfId="35971"/>
    <cellStyle name="Calculation 2 4 11 4" xfId="24839"/>
    <cellStyle name="Calculation 2 4 12" xfId="2983"/>
    <cellStyle name="Calculation 2 4 12 2" xfId="2984"/>
    <cellStyle name="Calculation 2 4 12 2 2" xfId="19080"/>
    <cellStyle name="Calculation 2 4 12 2 2 2" xfId="39148"/>
    <cellStyle name="Calculation 2 4 12 2 3" xfId="24842"/>
    <cellStyle name="Calculation 2 4 12 3" xfId="16204"/>
    <cellStyle name="Calculation 2 4 12 3 2" xfId="36272"/>
    <cellStyle name="Calculation 2 4 12 4" xfId="24841"/>
    <cellStyle name="Calculation 2 4 13" xfId="2985"/>
    <cellStyle name="Calculation 2 4 13 2" xfId="2986"/>
    <cellStyle name="Calculation 2 4 13 2 2" xfId="19081"/>
    <cellStyle name="Calculation 2 4 13 2 2 2" xfId="39149"/>
    <cellStyle name="Calculation 2 4 13 2 3" xfId="24844"/>
    <cellStyle name="Calculation 2 4 13 3" xfId="16733"/>
    <cellStyle name="Calculation 2 4 13 3 2" xfId="36801"/>
    <cellStyle name="Calculation 2 4 13 4" xfId="24843"/>
    <cellStyle name="Calculation 2 4 14" xfId="2987"/>
    <cellStyle name="Calculation 2 4 14 2" xfId="2988"/>
    <cellStyle name="Calculation 2 4 14 2 2" xfId="19082"/>
    <cellStyle name="Calculation 2 4 14 2 2 2" xfId="39150"/>
    <cellStyle name="Calculation 2 4 14 2 3" xfId="24846"/>
    <cellStyle name="Calculation 2 4 14 3" xfId="15549"/>
    <cellStyle name="Calculation 2 4 14 3 2" xfId="35617"/>
    <cellStyle name="Calculation 2 4 14 4" xfId="24845"/>
    <cellStyle name="Calculation 2 4 15" xfId="2989"/>
    <cellStyle name="Calculation 2 4 15 2" xfId="2990"/>
    <cellStyle name="Calculation 2 4 15 2 2" xfId="19083"/>
    <cellStyle name="Calculation 2 4 15 2 2 2" xfId="39151"/>
    <cellStyle name="Calculation 2 4 15 2 3" xfId="24848"/>
    <cellStyle name="Calculation 2 4 15 3" xfId="16634"/>
    <cellStyle name="Calculation 2 4 15 3 2" xfId="36702"/>
    <cellStyle name="Calculation 2 4 15 4" xfId="24847"/>
    <cellStyle name="Calculation 2 4 16" xfId="2991"/>
    <cellStyle name="Calculation 2 4 16 2" xfId="2992"/>
    <cellStyle name="Calculation 2 4 16 2 2" xfId="19084"/>
    <cellStyle name="Calculation 2 4 16 2 2 2" xfId="39152"/>
    <cellStyle name="Calculation 2 4 16 2 3" xfId="24850"/>
    <cellStyle name="Calculation 2 4 16 3" xfId="15796"/>
    <cellStyle name="Calculation 2 4 16 3 2" xfId="35864"/>
    <cellStyle name="Calculation 2 4 16 4" xfId="24849"/>
    <cellStyle name="Calculation 2 4 17" xfId="2993"/>
    <cellStyle name="Calculation 2 4 17 2" xfId="2994"/>
    <cellStyle name="Calculation 2 4 17 2 2" xfId="19085"/>
    <cellStyle name="Calculation 2 4 17 2 2 2" xfId="39153"/>
    <cellStyle name="Calculation 2 4 17 2 3" xfId="24852"/>
    <cellStyle name="Calculation 2 4 17 3" xfId="16230"/>
    <cellStyle name="Calculation 2 4 17 3 2" xfId="36298"/>
    <cellStyle name="Calculation 2 4 17 4" xfId="24851"/>
    <cellStyle name="Calculation 2 4 18" xfId="2995"/>
    <cellStyle name="Calculation 2 4 18 2" xfId="2996"/>
    <cellStyle name="Calculation 2 4 18 2 2" xfId="19086"/>
    <cellStyle name="Calculation 2 4 18 2 2 2" xfId="39154"/>
    <cellStyle name="Calculation 2 4 18 2 3" xfId="24854"/>
    <cellStyle name="Calculation 2 4 18 3" xfId="17347"/>
    <cellStyle name="Calculation 2 4 18 3 2" xfId="37415"/>
    <cellStyle name="Calculation 2 4 18 4" xfId="24853"/>
    <cellStyle name="Calculation 2 4 19" xfId="2997"/>
    <cellStyle name="Calculation 2 4 19 2" xfId="2998"/>
    <cellStyle name="Calculation 2 4 19 2 2" xfId="19087"/>
    <cellStyle name="Calculation 2 4 19 2 2 2" xfId="39155"/>
    <cellStyle name="Calculation 2 4 19 2 3" xfId="24856"/>
    <cellStyle name="Calculation 2 4 19 3" xfId="15423"/>
    <cellStyle name="Calculation 2 4 19 3 2" xfId="35491"/>
    <cellStyle name="Calculation 2 4 19 4" xfId="24855"/>
    <cellStyle name="Calculation 2 4 2" xfId="2999"/>
    <cellStyle name="Calculation 2 4 2 10" xfId="3000"/>
    <cellStyle name="Calculation 2 4 2 10 2" xfId="3001"/>
    <cellStyle name="Calculation 2 4 2 10 2 2" xfId="19089"/>
    <cellStyle name="Calculation 2 4 2 10 2 2 2" xfId="39157"/>
    <cellStyle name="Calculation 2 4 2 10 2 3" xfId="24859"/>
    <cellStyle name="Calculation 2 4 2 10 3" xfId="16916"/>
    <cellStyle name="Calculation 2 4 2 10 3 2" xfId="36984"/>
    <cellStyle name="Calculation 2 4 2 10 4" xfId="24858"/>
    <cellStyle name="Calculation 2 4 2 11" xfId="3002"/>
    <cellStyle name="Calculation 2 4 2 11 2" xfId="3003"/>
    <cellStyle name="Calculation 2 4 2 11 2 2" xfId="19090"/>
    <cellStyle name="Calculation 2 4 2 11 2 2 2" xfId="39158"/>
    <cellStyle name="Calculation 2 4 2 11 2 3" xfId="24861"/>
    <cellStyle name="Calculation 2 4 2 11 3" xfId="17051"/>
    <cellStyle name="Calculation 2 4 2 11 3 2" xfId="37119"/>
    <cellStyle name="Calculation 2 4 2 11 4" xfId="24860"/>
    <cellStyle name="Calculation 2 4 2 12" xfId="3004"/>
    <cellStyle name="Calculation 2 4 2 12 2" xfId="3005"/>
    <cellStyle name="Calculation 2 4 2 12 2 2" xfId="19091"/>
    <cellStyle name="Calculation 2 4 2 12 2 2 2" xfId="39159"/>
    <cellStyle name="Calculation 2 4 2 12 2 3" xfId="24863"/>
    <cellStyle name="Calculation 2 4 2 12 3" xfId="17223"/>
    <cellStyle name="Calculation 2 4 2 12 3 2" xfId="37291"/>
    <cellStyle name="Calculation 2 4 2 12 4" xfId="24862"/>
    <cellStyle name="Calculation 2 4 2 13" xfId="3006"/>
    <cellStyle name="Calculation 2 4 2 13 2" xfId="3007"/>
    <cellStyle name="Calculation 2 4 2 13 2 2" xfId="19092"/>
    <cellStyle name="Calculation 2 4 2 13 2 2 2" xfId="39160"/>
    <cellStyle name="Calculation 2 4 2 13 2 3" xfId="24865"/>
    <cellStyle name="Calculation 2 4 2 13 3" xfId="17393"/>
    <cellStyle name="Calculation 2 4 2 13 3 2" xfId="37461"/>
    <cellStyle name="Calculation 2 4 2 13 4" xfId="24864"/>
    <cellStyle name="Calculation 2 4 2 14" xfId="3008"/>
    <cellStyle name="Calculation 2 4 2 14 2" xfId="3009"/>
    <cellStyle name="Calculation 2 4 2 14 2 2" xfId="19093"/>
    <cellStyle name="Calculation 2 4 2 14 2 2 2" xfId="39161"/>
    <cellStyle name="Calculation 2 4 2 14 2 3" xfId="24867"/>
    <cellStyle name="Calculation 2 4 2 14 3" xfId="17521"/>
    <cellStyle name="Calculation 2 4 2 14 3 2" xfId="37589"/>
    <cellStyle name="Calculation 2 4 2 14 4" xfId="24866"/>
    <cellStyle name="Calculation 2 4 2 15" xfId="3010"/>
    <cellStyle name="Calculation 2 4 2 15 2" xfId="3011"/>
    <cellStyle name="Calculation 2 4 2 15 2 2" xfId="19094"/>
    <cellStyle name="Calculation 2 4 2 15 2 2 2" xfId="39162"/>
    <cellStyle name="Calculation 2 4 2 15 2 3" xfId="24869"/>
    <cellStyle name="Calculation 2 4 2 15 3" xfId="15733"/>
    <cellStyle name="Calculation 2 4 2 15 3 2" xfId="35801"/>
    <cellStyle name="Calculation 2 4 2 15 4" xfId="24868"/>
    <cellStyle name="Calculation 2 4 2 16" xfId="3012"/>
    <cellStyle name="Calculation 2 4 2 16 2" xfId="3013"/>
    <cellStyle name="Calculation 2 4 2 16 2 2" xfId="19095"/>
    <cellStyle name="Calculation 2 4 2 16 2 2 2" xfId="39163"/>
    <cellStyle name="Calculation 2 4 2 16 2 3" xfId="24871"/>
    <cellStyle name="Calculation 2 4 2 16 3" xfId="17772"/>
    <cellStyle name="Calculation 2 4 2 16 3 2" xfId="37840"/>
    <cellStyle name="Calculation 2 4 2 16 4" xfId="24870"/>
    <cellStyle name="Calculation 2 4 2 17" xfId="3014"/>
    <cellStyle name="Calculation 2 4 2 17 2" xfId="3015"/>
    <cellStyle name="Calculation 2 4 2 17 2 2" xfId="19096"/>
    <cellStyle name="Calculation 2 4 2 17 2 2 2" xfId="39164"/>
    <cellStyle name="Calculation 2 4 2 17 2 3" xfId="24873"/>
    <cellStyle name="Calculation 2 4 2 17 3" xfId="17901"/>
    <cellStyle name="Calculation 2 4 2 17 3 2" xfId="37969"/>
    <cellStyle name="Calculation 2 4 2 17 4" xfId="24872"/>
    <cellStyle name="Calculation 2 4 2 18" xfId="3016"/>
    <cellStyle name="Calculation 2 4 2 18 2" xfId="3017"/>
    <cellStyle name="Calculation 2 4 2 18 2 2" xfId="19097"/>
    <cellStyle name="Calculation 2 4 2 18 2 2 2" xfId="39165"/>
    <cellStyle name="Calculation 2 4 2 18 2 3" xfId="24875"/>
    <cellStyle name="Calculation 2 4 2 18 3" xfId="18051"/>
    <cellStyle name="Calculation 2 4 2 18 3 2" xfId="38119"/>
    <cellStyle name="Calculation 2 4 2 18 4" xfId="24874"/>
    <cellStyle name="Calculation 2 4 2 19" xfId="3018"/>
    <cellStyle name="Calculation 2 4 2 19 2" xfId="3019"/>
    <cellStyle name="Calculation 2 4 2 19 2 2" xfId="19098"/>
    <cellStyle name="Calculation 2 4 2 19 2 2 2" xfId="39166"/>
    <cellStyle name="Calculation 2 4 2 19 2 3" xfId="24877"/>
    <cellStyle name="Calculation 2 4 2 19 3" xfId="18168"/>
    <cellStyle name="Calculation 2 4 2 19 3 2" xfId="38236"/>
    <cellStyle name="Calculation 2 4 2 19 4" xfId="24876"/>
    <cellStyle name="Calculation 2 4 2 2" xfId="3020"/>
    <cellStyle name="Calculation 2 4 2 2 2" xfId="3021"/>
    <cellStyle name="Calculation 2 4 2 2 2 2" xfId="19099"/>
    <cellStyle name="Calculation 2 4 2 2 2 2 2" xfId="39167"/>
    <cellStyle name="Calculation 2 4 2 2 2 3" xfId="24879"/>
    <cellStyle name="Calculation 2 4 2 2 3" xfId="14637"/>
    <cellStyle name="Calculation 2 4 2 2 3 2" xfId="34705"/>
    <cellStyle name="Calculation 2 4 2 2 4" xfId="24878"/>
    <cellStyle name="Calculation 2 4 2 20" xfId="3022"/>
    <cellStyle name="Calculation 2 4 2 20 2" xfId="3023"/>
    <cellStyle name="Calculation 2 4 2 20 2 2" xfId="19100"/>
    <cellStyle name="Calculation 2 4 2 20 2 2 2" xfId="39168"/>
    <cellStyle name="Calculation 2 4 2 20 2 3" xfId="24881"/>
    <cellStyle name="Calculation 2 4 2 20 3" xfId="15529"/>
    <cellStyle name="Calculation 2 4 2 20 3 2" xfId="35597"/>
    <cellStyle name="Calculation 2 4 2 20 4" xfId="24880"/>
    <cellStyle name="Calculation 2 4 2 21" xfId="3024"/>
    <cellStyle name="Calculation 2 4 2 21 2" xfId="3025"/>
    <cellStyle name="Calculation 2 4 2 21 2 2" xfId="19101"/>
    <cellStyle name="Calculation 2 4 2 21 2 2 2" xfId="39169"/>
    <cellStyle name="Calculation 2 4 2 21 2 3" xfId="24883"/>
    <cellStyle name="Calculation 2 4 2 21 3" xfId="18363"/>
    <cellStyle name="Calculation 2 4 2 21 3 2" xfId="38431"/>
    <cellStyle name="Calculation 2 4 2 21 4" xfId="24882"/>
    <cellStyle name="Calculation 2 4 2 22" xfId="3026"/>
    <cellStyle name="Calculation 2 4 2 22 2" xfId="3027"/>
    <cellStyle name="Calculation 2 4 2 22 2 2" xfId="19102"/>
    <cellStyle name="Calculation 2 4 2 22 2 2 2" xfId="39170"/>
    <cellStyle name="Calculation 2 4 2 22 2 3" xfId="24885"/>
    <cellStyle name="Calculation 2 4 2 22 3" xfId="18507"/>
    <cellStyle name="Calculation 2 4 2 22 3 2" xfId="38575"/>
    <cellStyle name="Calculation 2 4 2 22 4" xfId="24884"/>
    <cellStyle name="Calculation 2 4 2 23" xfId="3028"/>
    <cellStyle name="Calculation 2 4 2 23 2" xfId="3029"/>
    <cellStyle name="Calculation 2 4 2 23 2 2" xfId="19103"/>
    <cellStyle name="Calculation 2 4 2 23 2 2 2" xfId="39171"/>
    <cellStyle name="Calculation 2 4 2 23 2 3" xfId="24887"/>
    <cellStyle name="Calculation 2 4 2 23 3" xfId="18618"/>
    <cellStyle name="Calculation 2 4 2 23 3 2" xfId="38686"/>
    <cellStyle name="Calculation 2 4 2 23 4" xfId="24886"/>
    <cellStyle name="Calculation 2 4 2 24" xfId="3030"/>
    <cellStyle name="Calculation 2 4 2 24 2" xfId="3031"/>
    <cellStyle name="Calculation 2 4 2 24 2 2" xfId="19104"/>
    <cellStyle name="Calculation 2 4 2 24 2 2 2" xfId="39172"/>
    <cellStyle name="Calculation 2 4 2 24 2 3" xfId="24889"/>
    <cellStyle name="Calculation 2 4 2 24 3" xfId="18718"/>
    <cellStyle name="Calculation 2 4 2 24 3 2" xfId="38786"/>
    <cellStyle name="Calculation 2 4 2 24 4" xfId="24888"/>
    <cellStyle name="Calculation 2 4 2 25" xfId="3032"/>
    <cellStyle name="Calculation 2 4 2 25 2" xfId="3033"/>
    <cellStyle name="Calculation 2 4 2 25 2 2" xfId="19105"/>
    <cellStyle name="Calculation 2 4 2 25 2 2 2" xfId="39173"/>
    <cellStyle name="Calculation 2 4 2 25 2 3" xfId="24891"/>
    <cellStyle name="Calculation 2 4 2 25 3" xfId="18818"/>
    <cellStyle name="Calculation 2 4 2 25 3 2" xfId="38886"/>
    <cellStyle name="Calculation 2 4 2 25 4" xfId="24890"/>
    <cellStyle name="Calculation 2 4 2 26" xfId="3034"/>
    <cellStyle name="Calculation 2 4 2 26 2" xfId="19088"/>
    <cellStyle name="Calculation 2 4 2 26 2 2" xfId="39156"/>
    <cellStyle name="Calculation 2 4 2 26 3" xfId="24892"/>
    <cellStyle name="Calculation 2 4 2 27" xfId="14090"/>
    <cellStyle name="Calculation 2 4 2 27 2" xfId="34158"/>
    <cellStyle name="Calculation 2 4 2 28" xfId="24857"/>
    <cellStyle name="Calculation 2 4 2 3" xfId="3035"/>
    <cellStyle name="Calculation 2 4 2 3 2" xfId="3036"/>
    <cellStyle name="Calculation 2 4 2 3 2 2" xfId="19106"/>
    <cellStyle name="Calculation 2 4 2 3 2 2 2" xfId="39174"/>
    <cellStyle name="Calculation 2 4 2 3 2 3" xfId="24894"/>
    <cellStyle name="Calculation 2 4 2 3 3" xfId="14756"/>
    <cellStyle name="Calculation 2 4 2 3 3 2" xfId="34824"/>
    <cellStyle name="Calculation 2 4 2 3 4" xfId="24893"/>
    <cellStyle name="Calculation 2 4 2 4" xfId="3037"/>
    <cellStyle name="Calculation 2 4 2 4 2" xfId="3038"/>
    <cellStyle name="Calculation 2 4 2 4 2 2" xfId="19107"/>
    <cellStyle name="Calculation 2 4 2 4 2 2 2" xfId="39175"/>
    <cellStyle name="Calculation 2 4 2 4 2 3" xfId="24896"/>
    <cellStyle name="Calculation 2 4 2 4 3" xfId="14875"/>
    <cellStyle name="Calculation 2 4 2 4 3 2" xfId="34943"/>
    <cellStyle name="Calculation 2 4 2 4 4" xfId="24895"/>
    <cellStyle name="Calculation 2 4 2 5" xfId="3039"/>
    <cellStyle name="Calculation 2 4 2 5 2" xfId="3040"/>
    <cellStyle name="Calculation 2 4 2 5 2 2" xfId="19108"/>
    <cellStyle name="Calculation 2 4 2 5 2 2 2" xfId="39176"/>
    <cellStyle name="Calculation 2 4 2 5 2 3" xfId="24898"/>
    <cellStyle name="Calculation 2 4 2 5 3" xfId="15044"/>
    <cellStyle name="Calculation 2 4 2 5 3 2" xfId="35112"/>
    <cellStyle name="Calculation 2 4 2 5 4" xfId="24897"/>
    <cellStyle name="Calculation 2 4 2 6" xfId="3041"/>
    <cellStyle name="Calculation 2 4 2 6 2" xfId="3042"/>
    <cellStyle name="Calculation 2 4 2 6 2 2" xfId="19109"/>
    <cellStyle name="Calculation 2 4 2 6 2 2 2" xfId="39177"/>
    <cellStyle name="Calculation 2 4 2 6 2 3" xfId="24900"/>
    <cellStyle name="Calculation 2 4 2 6 3" xfId="15002"/>
    <cellStyle name="Calculation 2 4 2 6 3 2" xfId="35070"/>
    <cellStyle name="Calculation 2 4 2 6 4" xfId="24899"/>
    <cellStyle name="Calculation 2 4 2 7" xfId="3043"/>
    <cellStyle name="Calculation 2 4 2 7 2" xfId="3044"/>
    <cellStyle name="Calculation 2 4 2 7 2 2" xfId="19110"/>
    <cellStyle name="Calculation 2 4 2 7 2 2 2" xfId="39178"/>
    <cellStyle name="Calculation 2 4 2 7 2 3" xfId="24902"/>
    <cellStyle name="Calculation 2 4 2 7 3" xfId="15187"/>
    <cellStyle name="Calculation 2 4 2 7 3 2" xfId="35255"/>
    <cellStyle name="Calculation 2 4 2 7 4" xfId="24901"/>
    <cellStyle name="Calculation 2 4 2 8" xfId="3045"/>
    <cellStyle name="Calculation 2 4 2 8 2" xfId="3046"/>
    <cellStyle name="Calculation 2 4 2 8 2 2" xfId="19111"/>
    <cellStyle name="Calculation 2 4 2 8 2 2 2" xfId="39179"/>
    <cellStyle name="Calculation 2 4 2 8 2 3" xfId="24904"/>
    <cellStyle name="Calculation 2 4 2 8 3" xfId="16541"/>
    <cellStyle name="Calculation 2 4 2 8 3 2" xfId="36609"/>
    <cellStyle name="Calculation 2 4 2 8 4" xfId="24903"/>
    <cellStyle name="Calculation 2 4 2 9" xfId="3047"/>
    <cellStyle name="Calculation 2 4 2 9 2" xfId="3048"/>
    <cellStyle name="Calculation 2 4 2 9 2 2" xfId="19112"/>
    <cellStyle name="Calculation 2 4 2 9 2 2 2" xfId="39180"/>
    <cellStyle name="Calculation 2 4 2 9 2 3" xfId="24906"/>
    <cellStyle name="Calculation 2 4 2 9 3" xfId="16745"/>
    <cellStyle name="Calculation 2 4 2 9 3 2" xfId="36813"/>
    <cellStyle name="Calculation 2 4 2 9 4" xfId="24905"/>
    <cellStyle name="Calculation 2 4 20" xfId="3049"/>
    <cellStyle name="Calculation 2 4 20 2" xfId="3050"/>
    <cellStyle name="Calculation 2 4 20 2 2" xfId="19113"/>
    <cellStyle name="Calculation 2 4 20 2 2 2" xfId="39181"/>
    <cellStyle name="Calculation 2 4 20 2 3" xfId="24908"/>
    <cellStyle name="Calculation 2 4 20 3" xfId="16701"/>
    <cellStyle name="Calculation 2 4 20 3 2" xfId="36769"/>
    <cellStyle name="Calculation 2 4 20 4" xfId="24907"/>
    <cellStyle name="Calculation 2 4 21" xfId="3051"/>
    <cellStyle name="Calculation 2 4 21 2" xfId="3052"/>
    <cellStyle name="Calculation 2 4 21 2 2" xfId="19114"/>
    <cellStyle name="Calculation 2 4 21 2 2 2" xfId="39182"/>
    <cellStyle name="Calculation 2 4 21 2 3" xfId="24910"/>
    <cellStyle name="Calculation 2 4 21 3" xfId="17889"/>
    <cellStyle name="Calculation 2 4 21 3 2" xfId="37957"/>
    <cellStyle name="Calculation 2 4 21 4" xfId="24909"/>
    <cellStyle name="Calculation 2 4 22" xfId="3053"/>
    <cellStyle name="Calculation 2 4 22 2" xfId="3054"/>
    <cellStyle name="Calculation 2 4 22 2 2" xfId="19115"/>
    <cellStyle name="Calculation 2 4 22 2 2 2" xfId="39183"/>
    <cellStyle name="Calculation 2 4 22 2 3" xfId="24912"/>
    <cellStyle name="Calculation 2 4 22 3" xfId="15461"/>
    <cellStyle name="Calculation 2 4 22 3 2" xfId="35529"/>
    <cellStyle name="Calculation 2 4 22 4" xfId="24911"/>
    <cellStyle name="Calculation 2 4 23" xfId="3055"/>
    <cellStyle name="Calculation 2 4 23 2" xfId="3056"/>
    <cellStyle name="Calculation 2 4 23 2 2" xfId="19116"/>
    <cellStyle name="Calculation 2 4 23 2 2 2" xfId="39184"/>
    <cellStyle name="Calculation 2 4 23 2 3" xfId="24914"/>
    <cellStyle name="Calculation 2 4 23 3" xfId="15767"/>
    <cellStyle name="Calculation 2 4 23 3 2" xfId="35835"/>
    <cellStyle name="Calculation 2 4 23 4" xfId="24913"/>
    <cellStyle name="Calculation 2 4 24" xfId="3057"/>
    <cellStyle name="Calculation 2 4 24 2" xfId="3058"/>
    <cellStyle name="Calculation 2 4 24 2 2" xfId="19117"/>
    <cellStyle name="Calculation 2 4 24 2 2 2" xfId="39185"/>
    <cellStyle name="Calculation 2 4 24 2 3" xfId="24916"/>
    <cellStyle name="Calculation 2 4 24 3" xfId="15730"/>
    <cellStyle name="Calculation 2 4 24 3 2" xfId="35798"/>
    <cellStyle name="Calculation 2 4 24 4" xfId="24915"/>
    <cellStyle name="Calculation 2 4 25" xfId="3059"/>
    <cellStyle name="Calculation 2 4 25 2" xfId="3060"/>
    <cellStyle name="Calculation 2 4 25 2 2" xfId="19118"/>
    <cellStyle name="Calculation 2 4 25 2 2 2" xfId="39186"/>
    <cellStyle name="Calculation 2 4 25 2 3" xfId="24918"/>
    <cellStyle name="Calculation 2 4 25 3" xfId="18188"/>
    <cellStyle name="Calculation 2 4 25 3 2" xfId="38256"/>
    <cellStyle name="Calculation 2 4 25 4" xfId="24917"/>
    <cellStyle name="Calculation 2 4 26" xfId="3061"/>
    <cellStyle name="Calculation 2 4 26 2" xfId="3062"/>
    <cellStyle name="Calculation 2 4 26 2 2" xfId="19119"/>
    <cellStyle name="Calculation 2 4 26 2 2 2" xfId="39187"/>
    <cellStyle name="Calculation 2 4 26 2 3" xfId="24920"/>
    <cellStyle name="Calculation 2 4 26 3" xfId="16245"/>
    <cellStyle name="Calculation 2 4 26 3 2" xfId="36313"/>
    <cellStyle name="Calculation 2 4 26 4" xfId="24919"/>
    <cellStyle name="Calculation 2 4 27" xfId="3063"/>
    <cellStyle name="Calculation 2 4 27 2" xfId="3064"/>
    <cellStyle name="Calculation 2 4 27 2 2" xfId="19120"/>
    <cellStyle name="Calculation 2 4 27 2 2 2" xfId="39188"/>
    <cellStyle name="Calculation 2 4 27 2 3" xfId="24922"/>
    <cellStyle name="Calculation 2 4 27 3" xfId="15464"/>
    <cellStyle name="Calculation 2 4 27 3 2" xfId="35532"/>
    <cellStyle name="Calculation 2 4 27 4" xfId="24921"/>
    <cellStyle name="Calculation 2 4 28" xfId="3065"/>
    <cellStyle name="Calculation 2 4 28 2" xfId="19077"/>
    <cellStyle name="Calculation 2 4 28 2 2" xfId="39145"/>
    <cellStyle name="Calculation 2 4 28 3" xfId="24923"/>
    <cellStyle name="Calculation 2 4 29" xfId="13854"/>
    <cellStyle name="Calculation 2 4 29 2" xfId="33922"/>
    <cellStyle name="Calculation 2 4 3" xfId="3066"/>
    <cellStyle name="Calculation 2 4 3 2" xfId="3067"/>
    <cellStyle name="Calculation 2 4 3 2 2" xfId="19121"/>
    <cellStyle name="Calculation 2 4 3 2 2 2" xfId="39189"/>
    <cellStyle name="Calculation 2 4 3 2 3" xfId="24925"/>
    <cellStyle name="Calculation 2 4 3 3" xfId="14458"/>
    <cellStyle name="Calculation 2 4 3 3 2" xfId="34526"/>
    <cellStyle name="Calculation 2 4 3 4" xfId="24924"/>
    <cellStyle name="Calculation 2 4 30" xfId="24836"/>
    <cellStyle name="Calculation 2 4 4" xfId="3068"/>
    <cellStyle name="Calculation 2 4 4 2" xfId="3069"/>
    <cellStyle name="Calculation 2 4 4 2 2" xfId="19122"/>
    <cellStyle name="Calculation 2 4 4 2 2 2" xfId="39190"/>
    <cellStyle name="Calculation 2 4 4 2 3" xfId="24927"/>
    <cellStyle name="Calculation 2 4 4 3" xfId="14020"/>
    <cellStyle name="Calculation 2 4 4 3 2" xfId="34088"/>
    <cellStyle name="Calculation 2 4 4 4" xfId="24926"/>
    <cellStyle name="Calculation 2 4 5" xfId="3070"/>
    <cellStyle name="Calculation 2 4 5 2" xfId="3071"/>
    <cellStyle name="Calculation 2 4 5 2 2" xfId="19123"/>
    <cellStyle name="Calculation 2 4 5 2 2 2" xfId="39191"/>
    <cellStyle name="Calculation 2 4 5 2 3" xfId="24929"/>
    <cellStyle name="Calculation 2 4 5 3" xfId="14046"/>
    <cellStyle name="Calculation 2 4 5 3 2" xfId="34114"/>
    <cellStyle name="Calculation 2 4 5 4" xfId="24928"/>
    <cellStyle name="Calculation 2 4 6" xfId="3072"/>
    <cellStyle name="Calculation 2 4 6 2" xfId="3073"/>
    <cellStyle name="Calculation 2 4 6 2 2" xfId="19124"/>
    <cellStyle name="Calculation 2 4 6 2 2 2" xfId="39192"/>
    <cellStyle name="Calculation 2 4 6 2 3" xfId="24931"/>
    <cellStyle name="Calculation 2 4 6 3" xfId="13983"/>
    <cellStyle name="Calculation 2 4 6 3 2" xfId="34051"/>
    <cellStyle name="Calculation 2 4 6 4" xfId="24930"/>
    <cellStyle name="Calculation 2 4 7" xfId="3074"/>
    <cellStyle name="Calculation 2 4 7 2" xfId="3075"/>
    <cellStyle name="Calculation 2 4 7 2 2" xfId="19125"/>
    <cellStyle name="Calculation 2 4 7 2 2 2" xfId="39193"/>
    <cellStyle name="Calculation 2 4 7 2 3" xfId="24933"/>
    <cellStyle name="Calculation 2 4 7 3" xfId="14446"/>
    <cellStyle name="Calculation 2 4 7 3 2" xfId="34514"/>
    <cellStyle name="Calculation 2 4 7 4" xfId="24932"/>
    <cellStyle name="Calculation 2 4 8" xfId="3076"/>
    <cellStyle name="Calculation 2 4 8 2" xfId="3077"/>
    <cellStyle name="Calculation 2 4 8 2 2" xfId="19126"/>
    <cellStyle name="Calculation 2 4 8 2 2 2" xfId="39194"/>
    <cellStyle name="Calculation 2 4 8 2 3" xfId="24935"/>
    <cellStyle name="Calculation 2 4 8 3" xfId="14860"/>
    <cellStyle name="Calculation 2 4 8 3 2" xfId="34928"/>
    <cellStyle name="Calculation 2 4 8 4" xfId="24934"/>
    <cellStyle name="Calculation 2 4 9" xfId="3078"/>
    <cellStyle name="Calculation 2 4 9 2" xfId="3079"/>
    <cellStyle name="Calculation 2 4 9 2 2" xfId="19127"/>
    <cellStyle name="Calculation 2 4 9 2 2 2" xfId="39195"/>
    <cellStyle name="Calculation 2 4 9 2 3" xfId="24937"/>
    <cellStyle name="Calculation 2 4 9 3" xfId="14777"/>
    <cellStyle name="Calculation 2 4 9 3 2" xfId="34845"/>
    <cellStyle name="Calculation 2 4 9 4" xfId="24936"/>
    <cellStyle name="Calculation 2 5" xfId="3080"/>
    <cellStyle name="Calculation 2 5 10" xfId="3081"/>
    <cellStyle name="Calculation 2 5 10 2" xfId="3082"/>
    <cellStyle name="Calculation 2 5 10 2 2" xfId="19129"/>
    <cellStyle name="Calculation 2 5 10 2 2 2" xfId="39197"/>
    <cellStyle name="Calculation 2 5 10 2 3" xfId="24940"/>
    <cellStyle name="Calculation 2 5 10 3" xfId="16140"/>
    <cellStyle name="Calculation 2 5 10 3 2" xfId="36208"/>
    <cellStyle name="Calculation 2 5 10 4" xfId="24939"/>
    <cellStyle name="Calculation 2 5 11" xfId="3083"/>
    <cellStyle name="Calculation 2 5 11 2" xfId="3084"/>
    <cellStyle name="Calculation 2 5 11 2 2" xfId="19130"/>
    <cellStyle name="Calculation 2 5 11 2 2 2" xfId="39198"/>
    <cellStyle name="Calculation 2 5 11 2 3" xfId="24942"/>
    <cellStyle name="Calculation 2 5 11 3" xfId="15634"/>
    <cellStyle name="Calculation 2 5 11 3 2" xfId="35702"/>
    <cellStyle name="Calculation 2 5 11 4" xfId="24941"/>
    <cellStyle name="Calculation 2 5 12" xfId="3085"/>
    <cellStyle name="Calculation 2 5 12 2" xfId="3086"/>
    <cellStyle name="Calculation 2 5 12 2 2" xfId="19131"/>
    <cellStyle name="Calculation 2 5 12 2 2 2" xfId="39199"/>
    <cellStyle name="Calculation 2 5 12 2 3" xfId="24944"/>
    <cellStyle name="Calculation 2 5 12 3" xfId="16205"/>
    <cellStyle name="Calculation 2 5 12 3 2" xfId="36273"/>
    <cellStyle name="Calculation 2 5 12 4" xfId="24943"/>
    <cellStyle name="Calculation 2 5 13" xfId="3087"/>
    <cellStyle name="Calculation 2 5 13 2" xfId="3088"/>
    <cellStyle name="Calculation 2 5 13 2 2" xfId="19132"/>
    <cellStyle name="Calculation 2 5 13 2 2 2" xfId="39200"/>
    <cellStyle name="Calculation 2 5 13 2 3" xfId="24946"/>
    <cellStyle name="Calculation 2 5 13 3" xfId="15886"/>
    <cellStyle name="Calculation 2 5 13 3 2" xfId="35954"/>
    <cellStyle name="Calculation 2 5 13 4" xfId="24945"/>
    <cellStyle name="Calculation 2 5 14" xfId="3089"/>
    <cellStyle name="Calculation 2 5 14 2" xfId="3090"/>
    <cellStyle name="Calculation 2 5 14 2 2" xfId="19133"/>
    <cellStyle name="Calculation 2 5 14 2 2 2" xfId="39201"/>
    <cellStyle name="Calculation 2 5 14 2 3" xfId="24948"/>
    <cellStyle name="Calculation 2 5 14 3" xfId="16390"/>
    <cellStyle name="Calculation 2 5 14 3 2" xfId="36458"/>
    <cellStyle name="Calculation 2 5 14 4" xfId="24947"/>
    <cellStyle name="Calculation 2 5 15" xfId="3091"/>
    <cellStyle name="Calculation 2 5 15 2" xfId="3092"/>
    <cellStyle name="Calculation 2 5 15 2 2" xfId="19134"/>
    <cellStyle name="Calculation 2 5 15 2 2 2" xfId="39202"/>
    <cellStyle name="Calculation 2 5 15 2 3" xfId="24950"/>
    <cellStyle name="Calculation 2 5 15 3" xfId="16057"/>
    <cellStyle name="Calculation 2 5 15 3 2" xfId="36125"/>
    <cellStyle name="Calculation 2 5 15 4" xfId="24949"/>
    <cellStyle name="Calculation 2 5 16" xfId="3093"/>
    <cellStyle name="Calculation 2 5 16 2" xfId="3094"/>
    <cellStyle name="Calculation 2 5 16 2 2" xfId="19135"/>
    <cellStyle name="Calculation 2 5 16 2 2 2" xfId="39203"/>
    <cellStyle name="Calculation 2 5 16 2 3" xfId="24952"/>
    <cellStyle name="Calculation 2 5 16 3" xfId="15676"/>
    <cellStyle name="Calculation 2 5 16 3 2" xfId="35744"/>
    <cellStyle name="Calculation 2 5 16 4" xfId="24951"/>
    <cellStyle name="Calculation 2 5 17" xfId="3095"/>
    <cellStyle name="Calculation 2 5 17 2" xfId="3096"/>
    <cellStyle name="Calculation 2 5 17 2 2" xfId="19136"/>
    <cellStyle name="Calculation 2 5 17 2 2 2" xfId="39204"/>
    <cellStyle name="Calculation 2 5 17 2 3" xfId="24954"/>
    <cellStyle name="Calculation 2 5 17 3" xfId="15965"/>
    <cellStyle name="Calculation 2 5 17 3 2" xfId="36033"/>
    <cellStyle name="Calculation 2 5 17 4" xfId="24953"/>
    <cellStyle name="Calculation 2 5 18" xfId="3097"/>
    <cellStyle name="Calculation 2 5 18 2" xfId="3098"/>
    <cellStyle name="Calculation 2 5 18 2 2" xfId="19137"/>
    <cellStyle name="Calculation 2 5 18 2 2 2" xfId="39205"/>
    <cellStyle name="Calculation 2 5 18 2 3" xfId="24956"/>
    <cellStyle name="Calculation 2 5 18 3" xfId="15426"/>
    <cellStyle name="Calculation 2 5 18 3 2" xfId="35494"/>
    <cellStyle name="Calculation 2 5 18 4" xfId="24955"/>
    <cellStyle name="Calculation 2 5 19" xfId="3099"/>
    <cellStyle name="Calculation 2 5 19 2" xfId="3100"/>
    <cellStyle name="Calculation 2 5 19 2 2" xfId="19138"/>
    <cellStyle name="Calculation 2 5 19 2 2 2" xfId="39206"/>
    <cellStyle name="Calculation 2 5 19 2 3" xfId="24958"/>
    <cellStyle name="Calculation 2 5 19 3" xfId="16243"/>
    <cellStyle name="Calculation 2 5 19 3 2" xfId="36311"/>
    <cellStyle name="Calculation 2 5 19 4" xfId="24957"/>
    <cellStyle name="Calculation 2 5 2" xfId="3101"/>
    <cellStyle name="Calculation 2 5 2 10" xfId="3102"/>
    <cellStyle name="Calculation 2 5 2 10 2" xfId="3103"/>
    <cellStyle name="Calculation 2 5 2 10 2 2" xfId="19140"/>
    <cellStyle name="Calculation 2 5 2 10 2 2 2" xfId="39208"/>
    <cellStyle name="Calculation 2 5 2 10 2 3" xfId="24961"/>
    <cellStyle name="Calculation 2 5 2 10 3" xfId="16917"/>
    <cellStyle name="Calculation 2 5 2 10 3 2" xfId="36985"/>
    <cellStyle name="Calculation 2 5 2 10 4" xfId="24960"/>
    <cellStyle name="Calculation 2 5 2 11" xfId="3104"/>
    <cellStyle name="Calculation 2 5 2 11 2" xfId="3105"/>
    <cellStyle name="Calculation 2 5 2 11 2 2" xfId="19141"/>
    <cellStyle name="Calculation 2 5 2 11 2 2 2" xfId="39209"/>
    <cellStyle name="Calculation 2 5 2 11 2 3" xfId="24963"/>
    <cellStyle name="Calculation 2 5 2 11 3" xfId="17052"/>
    <cellStyle name="Calculation 2 5 2 11 3 2" xfId="37120"/>
    <cellStyle name="Calculation 2 5 2 11 4" xfId="24962"/>
    <cellStyle name="Calculation 2 5 2 12" xfId="3106"/>
    <cellStyle name="Calculation 2 5 2 12 2" xfId="3107"/>
    <cellStyle name="Calculation 2 5 2 12 2 2" xfId="19142"/>
    <cellStyle name="Calculation 2 5 2 12 2 2 2" xfId="39210"/>
    <cellStyle name="Calculation 2 5 2 12 2 3" xfId="24965"/>
    <cellStyle name="Calculation 2 5 2 12 3" xfId="17224"/>
    <cellStyle name="Calculation 2 5 2 12 3 2" xfId="37292"/>
    <cellStyle name="Calculation 2 5 2 12 4" xfId="24964"/>
    <cellStyle name="Calculation 2 5 2 13" xfId="3108"/>
    <cellStyle name="Calculation 2 5 2 13 2" xfId="3109"/>
    <cellStyle name="Calculation 2 5 2 13 2 2" xfId="19143"/>
    <cellStyle name="Calculation 2 5 2 13 2 2 2" xfId="39211"/>
    <cellStyle name="Calculation 2 5 2 13 2 3" xfId="24967"/>
    <cellStyle name="Calculation 2 5 2 13 3" xfId="17394"/>
    <cellStyle name="Calculation 2 5 2 13 3 2" xfId="37462"/>
    <cellStyle name="Calculation 2 5 2 13 4" xfId="24966"/>
    <cellStyle name="Calculation 2 5 2 14" xfId="3110"/>
    <cellStyle name="Calculation 2 5 2 14 2" xfId="3111"/>
    <cellStyle name="Calculation 2 5 2 14 2 2" xfId="19144"/>
    <cellStyle name="Calculation 2 5 2 14 2 2 2" xfId="39212"/>
    <cellStyle name="Calculation 2 5 2 14 2 3" xfId="24969"/>
    <cellStyle name="Calculation 2 5 2 14 3" xfId="17522"/>
    <cellStyle name="Calculation 2 5 2 14 3 2" xfId="37590"/>
    <cellStyle name="Calculation 2 5 2 14 4" xfId="24968"/>
    <cellStyle name="Calculation 2 5 2 15" xfId="3112"/>
    <cellStyle name="Calculation 2 5 2 15 2" xfId="3113"/>
    <cellStyle name="Calculation 2 5 2 15 2 2" xfId="19145"/>
    <cellStyle name="Calculation 2 5 2 15 2 2 2" xfId="39213"/>
    <cellStyle name="Calculation 2 5 2 15 2 3" xfId="24971"/>
    <cellStyle name="Calculation 2 5 2 15 3" xfId="15823"/>
    <cellStyle name="Calculation 2 5 2 15 3 2" xfId="35891"/>
    <cellStyle name="Calculation 2 5 2 15 4" xfId="24970"/>
    <cellStyle name="Calculation 2 5 2 16" xfId="3114"/>
    <cellStyle name="Calculation 2 5 2 16 2" xfId="3115"/>
    <cellStyle name="Calculation 2 5 2 16 2 2" xfId="19146"/>
    <cellStyle name="Calculation 2 5 2 16 2 2 2" xfId="39214"/>
    <cellStyle name="Calculation 2 5 2 16 2 3" xfId="24973"/>
    <cellStyle name="Calculation 2 5 2 16 3" xfId="17773"/>
    <cellStyle name="Calculation 2 5 2 16 3 2" xfId="37841"/>
    <cellStyle name="Calculation 2 5 2 16 4" xfId="24972"/>
    <cellStyle name="Calculation 2 5 2 17" xfId="3116"/>
    <cellStyle name="Calculation 2 5 2 17 2" xfId="3117"/>
    <cellStyle name="Calculation 2 5 2 17 2 2" xfId="19147"/>
    <cellStyle name="Calculation 2 5 2 17 2 2 2" xfId="39215"/>
    <cellStyle name="Calculation 2 5 2 17 2 3" xfId="24975"/>
    <cellStyle name="Calculation 2 5 2 17 3" xfId="17902"/>
    <cellStyle name="Calculation 2 5 2 17 3 2" xfId="37970"/>
    <cellStyle name="Calculation 2 5 2 17 4" xfId="24974"/>
    <cellStyle name="Calculation 2 5 2 18" xfId="3118"/>
    <cellStyle name="Calculation 2 5 2 18 2" xfId="3119"/>
    <cellStyle name="Calculation 2 5 2 18 2 2" xfId="19148"/>
    <cellStyle name="Calculation 2 5 2 18 2 2 2" xfId="39216"/>
    <cellStyle name="Calculation 2 5 2 18 2 3" xfId="24977"/>
    <cellStyle name="Calculation 2 5 2 18 3" xfId="18052"/>
    <cellStyle name="Calculation 2 5 2 18 3 2" xfId="38120"/>
    <cellStyle name="Calculation 2 5 2 18 4" xfId="24976"/>
    <cellStyle name="Calculation 2 5 2 19" xfId="3120"/>
    <cellStyle name="Calculation 2 5 2 19 2" xfId="3121"/>
    <cellStyle name="Calculation 2 5 2 19 2 2" xfId="19149"/>
    <cellStyle name="Calculation 2 5 2 19 2 2 2" xfId="39217"/>
    <cellStyle name="Calculation 2 5 2 19 2 3" xfId="24979"/>
    <cellStyle name="Calculation 2 5 2 19 3" xfId="18169"/>
    <cellStyle name="Calculation 2 5 2 19 3 2" xfId="38237"/>
    <cellStyle name="Calculation 2 5 2 19 4" xfId="24978"/>
    <cellStyle name="Calculation 2 5 2 2" xfId="3122"/>
    <cellStyle name="Calculation 2 5 2 2 2" xfId="3123"/>
    <cellStyle name="Calculation 2 5 2 2 2 2" xfId="19150"/>
    <cellStyle name="Calculation 2 5 2 2 2 2 2" xfId="39218"/>
    <cellStyle name="Calculation 2 5 2 2 2 3" xfId="24981"/>
    <cellStyle name="Calculation 2 5 2 2 3" xfId="14638"/>
    <cellStyle name="Calculation 2 5 2 2 3 2" xfId="34706"/>
    <cellStyle name="Calculation 2 5 2 2 4" xfId="24980"/>
    <cellStyle name="Calculation 2 5 2 20" xfId="3124"/>
    <cellStyle name="Calculation 2 5 2 20 2" xfId="3125"/>
    <cellStyle name="Calculation 2 5 2 20 2 2" xfId="19151"/>
    <cellStyle name="Calculation 2 5 2 20 2 2 2" xfId="39219"/>
    <cellStyle name="Calculation 2 5 2 20 2 3" xfId="24983"/>
    <cellStyle name="Calculation 2 5 2 20 3" xfId="15994"/>
    <cellStyle name="Calculation 2 5 2 20 3 2" xfId="36062"/>
    <cellStyle name="Calculation 2 5 2 20 4" xfId="24982"/>
    <cellStyle name="Calculation 2 5 2 21" xfId="3126"/>
    <cellStyle name="Calculation 2 5 2 21 2" xfId="3127"/>
    <cellStyle name="Calculation 2 5 2 21 2 2" xfId="19152"/>
    <cellStyle name="Calculation 2 5 2 21 2 2 2" xfId="39220"/>
    <cellStyle name="Calculation 2 5 2 21 2 3" xfId="24985"/>
    <cellStyle name="Calculation 2 5 2 21 3" xfId="18364"/>
    <cellStyle name="Calculation 2 5 2 21 3 2" xfId="38432"/>
    <cellStyle name="Calculation 2 5 2 21 4" xfId="24984"/>
    <cellStyle name="Calculation 2 5 2 22" xfId="3128"/>
    <cellStyle name="Calculation 2 5 2 22 2" xfId="3129"/>
    <cellStyle name="Calculation 2 5 2 22 2 2" xfId="19153"/>
    <cellStyle name="Calculation 2 5 2 22 2 2 2" xfId="39221"/>
    <cellStyle name="Calculation 2 5 2 22 2 3" xfId="24987"/>
    <cellStyle name="Calculation 2 5 2 22 3" xfId="18508"/>
    <cellStyle name="Calculation 2 5 2 22 3 2" xfId="38576"/>
    <cellStyle name="Calculation 2 5 2 22 4" xfId="24986"/>
    <cellStyle name="Calculation 2 5 2 23" xfId="3130"/>
    <cellStyle name="Calculation 2 5 2 23 2" xfId="3131"/>
    <cellStyle name="Calculation 2 5 2 23 2 2" xfId="19154"/>
    <cellStyle name="Calculation 2 5 2 23 2 2 2" xfId="39222"/>
    <cellStyle name="Calculation 2 5 2 23 2 3" xfId="24989"/>
    <cellStyle name="Calculation 2 5 2 23 3" xfId="18619"/>
    <cellStyle name="Calculation 2 5 2 23 3 2" xfId="38687"/>
    <cellStyle name="Calculation 2 5 2 23 4" xfId="24988"/>
    <cellStyle name="Calculation 2 5 2 24" xfId="3132"/>
    <cellStyle name="Calculation 2 5 2 24 2" xfId="3133"/>
    <cellStyle name="Calculation 2 5 2 24 2 2" xfId="19155"/>
    <cellStyle name="Calculation 2 5 2 24 2 2 2" xfId="39223"/>
    <cellStyle name="Calculation 2 5 2 24 2 3" xfId="24991"/>
    <cellStyle name="Calculation 2 5 2 24 3" xfId="18719"/>
    <cellStyle name="Calculation 2 5 2 24 3 2" xfId="38787"/>
    <cellStyle name="Calculation 2 5 2 24 4" xfId="24990"/>
    <cellStyle name="Calculation 2 5 2 25" xfId="3134"/>
    <cellStyle name="Calculation 2 5 2 25 2" xfId="3135"/>
    <cellStyle name="Calculation 2 5 2 25 2 2" xfId="19156"/>
    <cellStyle name="Calculation 2 5 2 25 2 2 2" xfId="39224"/>
    <cellStyle name="Calculation 2 5 2 25 2 3" xfId="24993"/>
    <cellStyle name="Calculation 2 5 2 25 3" xfId="18819"/>
    <cellStyle name="Calculation 2 5 2 25 3 2" xfId="38887"/>
    <cellStyle name="Calculation 2 5 2 25 4" xfId="24992"/>
    <cellStyle name="Calculation 2 5 2 26" xfId="3136"/>
    <cellStyle name="Calculation 2 5 2 26 2" xfId="19139"/>
    <cellStyle name="Calculation 2 5 2 26 2 2" xfId="39207"/>
    <cellStyle name="Calculation 2 5 2 26 3" xfId="24994"/>
    <cellStyle name="Calculation 2 5 2 27" xfId="14000"/>
    <cellStyle name="Calculation 2 5 2 27 2" xfId="34068"/>
    <cellStyle name="Calculation 2 5 2 28" xfId="24959"/>
    <cellStyle name="Calculation 2 5 2 3" xfId="3137"/>
    <cellStyle name="Calculation 2 5 2 3 2" xfId="3138"/>
    <cellStyle name="Calculation 2 5 2 3 2 2" xfId="19157"/>
    <cellStyle name="Calculation 2 5 2 3 2 2 2" xfId="39225"/>
    <cellStyle name="Calculation 2 5 2 3 2 3" xfId="24996"/>
    <cellStyle name="Calculation 2 5 2 3 3" xfId="14757"/>
    <cellStyle name="Calculation 2 5 2 3 3 2" xfId="34825"/>
    <cellStyle name="Calculation 2 5 2 3 4" xfId="24995"/>
    <cellStyle name="Calculation 2 5 2 4" xfId="3139"/>
    <cellStyle name="Calculation 2 5 2 4 2" xfId="3140"/>
    <cellStyle name="Calculation 2 5 2 4 2 2" xfId="19158"/>
    <cellStyle name="Calculation 2 5 2 4 2 2 2" xfId="39226"/>
    <cellStyle name="Calculation 2 5 2 4 2 3" xfId="24998"/>
    <cellStyle name="Calculation 2 5 2 4 3" xfId="14876"/>
    <cellStyle name="Calculation 2 5 2 4 3 2" xfId="34944"/>
    <cellStyle name="Calculation 2 5 2 4 4" xfId="24997"/>
    <cellStyle name="Calculation 2 5 2 5" xfId="3141"/>
    <cellStyle name="Calculation 2 5 2 5 2" xfId="3142"/>
    <cellStyle name="Calculation 2 5 2 5 2 2" xfId="19159"/>
    <cellStyle name="Calculation 2 5 2 5 2 2 2" xfId="39227"/>
    <cellStyle name="Calculation 2 5 2 5 2 3" xfId="25000"/>
    <cellStyle name="Calculation 2 5 2 5 3" xfId="15045"/>
    <cellStyle name="Calculation 2 5 2 5 3 2" xfId="35113"/>
    <cellStyle name="Calculation 2 5 2 5 4" xfId="24999"/>
    <cellStyle name="Calculation 2 5 2 6" xfId="3143"/>
    <cellStyle name="Calculation 2 5 2 6 2" xfId="3144"/>
    <cellStyle name="Calculation 2 5 2 6 2 2" xfId="19160"/>
    <cellStyle name="Calculation 2 5 2 6 2 2 2" xfId="39228"/>
    <cellStyle name="Calculation 2 5 2 6 2 3" xfId="25002"/>
    <cellStyle name="Calculation 2 5 2 6 3" xfId="14050"/>
    <cellStyle name="Calculation 2 5 2 6 3 2" xfId="34118"/>
    <cellStyle name="Calculation 2 5 2 6 4" xfId="25001"/>
    <cellStyle name="Calculation 2 5 2 7" xfId="3145"/>
    <cellStyle name="Calculation 2 5 2 7 2" xfId="3146"/>
    <cellStyle name="Calculation 2 5 2 7 2 2" xfId="19161"/>
    <cellStyle name="Calculation 2 5 2 7 2 2 2" xfId="39229"/>
    <cellStyle name="Calculation 2 5 2 7 2 3" xfId="25004"/>
    <cellStyle name="Calculation 2 5 2 7 3" xfId="15188"/>
    <cellStyle name="Calculation 2 5 2 7 3 2" xfId="35256"/>
    <cellStyle name="Calculation 2 5 2 7 4" xfId="25003"/>
    <cellStyle name="Calculation 2 5 2 8" xfId="3147"/>
    <cellStyle name="Calculation 2 5 2 8 2" xfId="3148"/>
    <cellStyle name="Calculation 2 5 2 8 2 2" xfId="19162"/>
    <cellStyle name="Calculation 2 5 2 8 2 2 2" xfId="39230"/>
    <cellStyle name="Calculation 2 5 2 8 2 3" xfId="25006"/>
    <cellStyle name="Calculation 2 5 2 8 3" xfId="16542"/>
    <cellStyle name="Calculation 2 5 2 8 3 2" xfId="36610"/>
    <cellStyle name="Calculation 2 5 2 8 4" xfId="25005"/>
    <cellStyle name="Calculation 2 5 2 9" xfId="3149"/>
    <cellStyle name="Calculation 2 5 2 9 2" xfId="3150"/>
    <cellStyle name="Calculation 2 5 2 9 2 2" xfId="19163"/>
    <cellStyle name="Calculation 2 5 2 9 2 2 2" xfId="39231"/>
    <cellStyle name="Calculation 2 5 2 9 2 3" xfId="25008"/>
    <cellStyle name="Calculation 2 5 2 9 3" xfId="16746"/>
    <cellStyle name="Calculation 2 5 2 9 3 2" xfId="36814"/>
    <cellStyle name="Calculation 2 5 2 9 4" xfId="25007"/>
    <cellStyle name="Calculation 2 5 20" xfId="3151"/>
    <cellStyle name="Calculation 2 5 20 2" xfId="3152"/>
    <cellStyle name="Calculation 2 5 20 2 2" xfId="19164"/>
    <cellStyle name="Calculation 2 5 20 2 2 2" xfId="39232"/>
    <cellStyle name="Calculation 2 5 20 2 3" xfId="25010"/>
    <cellStyle name="Calculation 2 5 20 3" xfId="16177"/>
    <cellStyle name="Calculation 2 5 20 3 2" xfId="36245"/>
    <cellStyle name="Calculation 2 5 20 4" xfId="25009"/>
    <cellStyle name="Calculation 2 5 21" xfId="3153"/>
    <cellStyle name="Calculation 2 5 21 2" xfId="3154"/>
    <cellStyle name="Calculation 2 5 21 2 2" xfId="19165"/>
    <cellStyle name="Calculation 2 5 21 2 2 2" xfId="39233"/>
    <cellStyle name="Calculation 2 5 21 2 3" xfId="25012"/>
    <cellStyle name="Calculation 2 5 21 3" xfId="15899"/>
    <cellStyle name="Calculation 2 5 21 3 2" xfId="35967"/>
    <cellStyle name="Calculation 2 5 21 4" xfId="25011"/>
    <cellStyle name="Calculation 2 5 22" xfId="3155"/>
    <cellStyle name="Calculation 2 5 22 2" xfId="3156"/>
    <cellStyle name="Calculation 2 5 22 2 2" xfId="19166"/>
    <cellStyle name="Calculation 2 5 22 2 2 2" xfId="39234"/>
    <cellStyle name="Calculation 2 5 22 2 3" xfId="25014"/>
    <cellStyle name="Calculation 2 5 22 3" xfId="15611"/>
    <cellStyle name="Calculation 2 5 22 3 2" xfId="35679"/>
    <cellStyle name="Calculation 2 5 22 4" xfId="25013"/>
    <cellStyle name="Calculation 2 5 23" xfId="3157"/>
    <cellStyle name="Calculation 2 5 23 2" xfId="3158"/>
    <cellStyle name="Calculation 2 5 23 2 2" xfId="19167"/>
    <cellStyle name="Calculation 2 5 23 2 2 2" xfId="39235"/>
    <cellStyle name="Calculation 2 5 23 2 3" xfId="25016"/>
    <cellStyle name="Calculation 2 5 23 3" xfId="15420"/>
    <cellStyle name="Calculation 2 5 23 3 2" xfId="35488"/>
    <cellStyle name="Calculation 2 5 23 4" xfId="25015"/>
    <cellStyle name="Calculation 2 5 24" xfId="3159"/>
    <cellStyle name="Calculation 2 5 24 2" xfId="3160"/>
    <cellStyle name="Calculation 2 5 24 2 2" xfId="19168"/>
    <cellStyle name="Calculation 2 5 24 2 2 2" xfId="39236"/>
    <cellStyle name="Calculation 2 5 24 2 3" xfId="25018"/>
    <cellStyle name="Calculation 2 5 24 3" xfId="15616"/>
    <cellStyle name="Calculation 2 5 24 3 2" xfId="35684"/>
    <cellStyle name="Calculation 2 5 24 4" xfId="25017"/>
    <cellStyle name="Calculation 2 5 25" xfId="3161"/>
    <cellStyle name="Calculation 2 5 25 2" xfId="3162"/>
    <cellStyle name="Calculation 2 5 25 2 2" xfId="19169"/>
    <cellStyle name="Calculation 2 5 25 2 2 2" xfId="39237"/>
    <cellStyle name="Calculation 2 5 25 2 3" xfId="25020"/>
    <cellStyle name="Calculation 2 5 25 3" xfId="16059"/>
    <cellStyle name="Calculation 2 5 25 3 2" xfId="36127"/>
    <cellStyle name="Calculation 2 5 25 4" xfId="25019"/>
    <cellStyle name="Calculation 2 5 26" xfId="3163"/>
    <cellStyle name="Calculation 2 5 26 2" xfId="3164"/>
    <cellStyle name="Calculation 2 5 26 2 2" xfId="19170"/>
    <cellStyle name="Calculation 2 5 26 2 2 2" xfId="39238"/>
    <cellStyle name="Calculation 2 5 26 2 3" xfId="25022"/>
    <cellStyle name="Calculation 2 5 26 3" xfId="15488"/>
    <cellStyle name="Calculation 2 5 26 3 2" xfId="35556"/>
    <cellStyle name="Calculation 2 5 26 4" xfId="25021"/>
    <cellStyle name="Calculation 2 5 27" xfId="3165"/>
    <cellStyle name="Calculation 2 5 27 2" xfId="3166"/>
    <cellStyle name="Calculation 2 5 27 2 2" xfId="19171"/>
    <cellStyle name="Calculation 2 5 27 2 2 2" xfId="39239"/>
    <cellStyle name="Calculation 2 5 27 2 3" xfId="25024"/>
    <cellStyle name="Calculation 2 5 27 3" xfId="16091"/>
    <cellStyle name="Calculation 2 5 27 3 2" xfId="36159"/>
    <cellStyle name="Calculation 2 5 27 4" xfId="25023"/>
    <cellStyle name="Calculation 2 5 28" xfId="3167"/>
    <cellStyle name="Calculation 2 5 28 2" xfId="19128"/>
    <cellStyle name="Calculation 2 5 28 2 2" xfId="39196"/>
    <cellStyle name="Calculation 2 5 28 3" xfId="25025"/>
    <cellStyle name="Calculation 2 5 29" xfId="13855"/>
    <cellStyle name="Calculation 2 5 29 2" xfId="33923"/>
    <cellStyle name="Calculation 2 5 3" xfId="3168"/>
    <cellStyle name="Calculation 2 5 3 2" xfId="3169"/>
    <cellStyle name="Calculation 2 5 3 2 2" xfId="19172"/>
    <cellStyle name="Calculation 2 5 3 2 2 2" xfId="39240"/>
    <cellStyle name="Calculation 2 5 3 2 3" xfId="25027"/>
    <cellStyle name="Calculation 2 5 3 3" xfId="14492"/>
    <cellStyle name="Calculation 2 5 3 3 2" xfId="34560"/>
    <cellStyle name="Calculation 2 5 3 4" xfId="25026"/>
    <cellStyle name="Calculation 2 5 30" xfId="24938"/>
    <cellStyle name="Calculation 2 5 4" xfId="3170"/>
    <cellStyle name="Calculation 2 5 4 2" xfId="3171"/>
    <cellStyle name="Calculation 2 5 4 2 2" xfId="19173"/>
    <cellStyle name="Calculation 2 5 4 2 2 2" xfId="39241"/>
    <cellStyle name="Calculation 2 5 4 2 3" xfId="25029"/>
    <cellStyle name="Calculation 2 5 4 3" xfId="14601"/>
    <cellStyle name="Calculation 2 5 4 3 2" xfId="34669"/>
    <cellStyle name="Calculation 2 5 4 4" xfId="25028"/>
    <cellStyle name="Calculation 2 5 5" xfId="3172"/>
    <cellStyle name="Calculation 2 5 5 2" xfId="3173"/>
    <cellStyle name="Calculation 2 5 5 2 2" xfId="19174"/>
    <cellStyle name="Calculation 2 5 5 2 2 2" xfId="39242"/>
    <cellStyle name="Calculation 2 5 5 2 3" xfId="25031"/>
    <cellStyle name="Calculation 2 5 5 3" xfId="14415"/>
    <cellStyle name="Calculation 2 5 5 3 2" xfId="34483"/>
    <cellStyle name="Calculation 2 5 5 4" xfId="25030"/>
    <cellStyle name="Calculation 2 5 6" xfId="3174"/>
    <cellStyle name="Calculation 2 5 6 2" xfId="3175"/>
    <cellStyle name="Calculation 2 5 6 2 2" xfId="19175"/>
    <cellStyle name="Calculation 2 5 6 2 2 2" xfId="39243"/>
    <cellStyle name="Calculation 2 5 6 2 3" xfId="25033"/>
    <cellStyle name="Calculation 2 5 6 3" xfId="14264"/>
    <cellStyle name="Calculation 2 5 6 3 2" xfId="34332"/>
    <cellStyle name="Calculation 2 5 6 4" xfId="25032"/>
    <cellStyle name="Calculation 2 5 7" xfId="3176"/>
    <cellStyle name="Calculation 2 5 7 2" xfId="3177"/>
    <cellStyle name="Calculation 2 5 7 2 2" xfId="19176"/>
    <cellStyle name="Calculation 2 5 7 2 2 2" xfId="39244"/>
    <cellStyle name="Calculation 2 5 7 2 3" xfId="25035"/>
    <cellStyle name="Calculation 2 5 7 3" xfId="14596"/>
    <cellStyle name="Calculation 2 5 7 3 2" xfId="34664"/>
    <cellStyle name="Calculation 2 5 7 4" xfId="25034"/>
    <cellStyle name="Calculation 2 5 8" xfId="3178"/>
    <cellStyle name="Calculation 2 5 8 2" xfId="3179"/>
    <cellStyle name="Calculation 2 5 8 2 2" xfId="19177"/>
    <cellStyle name="Calculation 2 5 8 2 2 2" xfId="39245"/>
    <cellStyle name="Calculation 2 5 8 2 3" xfId="25037"/>
    <cellStyle name="Calculation 2 5 8 3" xfId="14159"/>
    <cellStyle name="Calculation 2 5 8 3 2" xfId="34227"/>
    <cellStyle name="Calculation 2 5 8 4" xfId="25036"/>
    <cellStyle name="Calculation 2 5 9" xfId="3180"/>
    <cellStyle name="Calculation 2 5 9 2" xfId="3181"/>
    <cellStyle name="Calculation 2 5 9 2 2" xfId="19178"/>
    <cellStyle name="Calculation 2 5 9 2 2 2" xfId="39246"/>
    <cellStyle name="Calculation 2 5 9 2 3" xfId="25039"/>
    <cellStyle name="Calculation 2 5 9 3" xfId="14439"/>
    <cellStyle name="Calculation 2 5 9 3 2" xfId="34507"/>
    <cellStyle name="Calculation 2 5 9 4" xfId="25038"/>
    <cellStyle name="Calculation 2 6" xfId="3182"/>
    <cellStyle name="Calculation 2 6 10" xfId="3183"/>
    <cellStyle name="Calculation 2 6 10 2" xfId="3184"/>
    <cellStyle name="Calculation 2 6 10 2 2" xfId="19180"/>
    <cellStyle name="Calculation 2 6 10 2 2 2" xfId="39248"/>
    <cellStyle name="Calculation 2 6 10 2 3" xfId="25042"/>
    <cellStyle name="Calculation 2 6 10 3" xfId="16913"/>
    <cellStyle name="Calculation 2 6 10 3 2" xfId="36981"/>
    <cellStyle name="Calculation 2 6 10 4" xfId="25041"/>
    <cellStyle name="Calculation 2 6 11" xfId="3185"/>
    <cellStyle name="Calculation 2 6 11 2" xfId="3186"/>
    <cellStyle name="Calculation 2 6 11 2 2" xfId="19181"/>
    <cellStyle name="Calculation 2 6 11 2 2 2" xfId="39249"/>
    <cellStyle name="Calculation 2 6 11 2 3" xfId="25044"/>
    <cellStyle name="Calculation 2 6 11 3" xfId="17048"/>
    <cellStyle name="Calculation 2 6 11 3 2" xfId="37116"/>
    <cellStyle name="Calculation 2 6 11 4" xfId="25043"/>
    <cellStyle name="Calculation 2 6 12" xfId="3187"/>
    <cellStyle name="Calculation 2 6 12 2" xfId="3188"/>
    <cellStyle name="Calculation 2 6 12 2 2" xfId="19182"/>
    <cellStyle name="Calculation 2 6 12 2 2 2" xfId="39250"/>
    <cellStyle name="Calculation 2 6 12 2 3" xfId="25046"/>
    <cellStyle name="Calculation 2 6 12 3" xfId="17220"/>
    <cellStyle name="Calculation 2 6 12 3 2" xfId="37288"/>
    <cellStyle name="Calculation 2 6 12 4" xfId="25045"/>
    <cellStyle name="Calculation 2 6 13" xfId="3189"/>
    <cellStyle name="Calculation 2 6 13 2" xfId="3190"/>
    <cellStyle name="Calculation 2 6 13 2 2" xfId="19183"/>
    <cellStyle name="Calculation 2 6 13 2 2 2" xfId="39251"/>
    <cellStyle name="Calculation 2 6 13 2 3" xfId="25048"/>
    <cellStyle name="Calculation 2 6 13 3" xfId="17390"/>
    <cellStyle name="Calculation 2 6 13 3 2" xfId="37458"/>
    <cellStyle name="Calculation 2 6 13 4" xfId="25047"/>
    <cellStyle name="Calculation 2 6 14" xfId="3191"/>
    <cellStyle name="Calculation 2 6 14 2" xfId="3192"/>
    <cellStyle name="Calculation 2 6 14 2 2" xfId="19184"/>
    <cellStyle name="Calculation 2 6 14 2 2 2" xfId="39252"/>
    <cellStyle name="Calculation 2 6 14 2 3" xfId="25050"/>
    <cellStyle name="Calculation 2 6 14 3" xfId="17518"/>
    <cellStyle name="Calculation 2 6 14 3 2" xfId="37586"/>
    <cellStyle name="Calculation 2 6 14 4" xfId="25049"/>
    <cellStyle name="Calculation 2 6 15" xfId="3193"/>
    <cellStyle name="Calculation 2 6 15 2" xfId="3194"/>
    <cellStyle name="Calculation 2 6 15 2 2" xfId="19185"/>
    <cellStyle name="Calculation 2 6 15 2 2 2" xfId="39253"/>
    <cellStyle name="Calculation 2 6 15 2 3" xfId="25052"/>
    <cellStyle name="Calculation 2 6 15 3" xfId="15446"/>
    <cellStyle name="Calculation 2 6 15 3 2" xfId="35514"/>
    <cellStyle name="Calculation 2 6 15 4" xfId="25051"/>
    <cellStyle name="Calculation 2 6 16" xfId="3195"/>
    <cellStyle name="Calculation 2 6 16 2" xfId="3196"/>
    <cellStyle name="Calculation 2 6 16 2 2" xfId="19186"/>
    <cellStyle name="Calculation 2 6 16 2 2 2" xfId="39254"/>
    <cellStyle name="Calculation 2 6 16 2 3" xfId="25054"/>
    <cellStyle name="Calculation 2 6 16 3" xfId="17769"/>
    <cellStyle name="Calculation 2 6 16 3 2" xfId="37837"/>
    <cellStyle name="Calculation 2 6 16 4" xfId="25053"/>
    <cellStyle name="Calculation 2 6 17" xfId="3197"/>
    <cellStyle name="Calculation 2 6 17 2" xfId="3198"/>
    <cellStyle name="Calculation 2 6 17 2 2" xfId="19187"/>
    <cellStyle name="Calculation 2 6 17 2 2 2" xfId="39255"/>
    <cellStyle name="Calculation 2 6 17 2 3" xfId="25056"/>
    <cellStyle name="Calculation 2 6 17 3" xfId="17898"/>
    <cellStyle name="Calculation 2 6 17 3 2" xfId="37966"/>
    <cellStyle name="Calculation 2 6 17 4" xfId="25055"/>
    <cellStyle name="Calculation 2 6 18" xfId="3199"/>
    <cellStyle name="Calculation 2 6 18 2" xfId="3200"/>
    <cellStyle name="Calculation 2 6 18 2 2" xfId="19188"/>
    <cellStyle name="Calculation 2 6 18 2 2 2" xfId="39256"/>
    <cellStyle name="Calculation 2 6 18 2 3" xfId="25058"/>
    <cellStyle name="Calculation 2 6 18 3" xfId="18048"/>
    <cellStyle name="Calculation 2 6 18 3 2" xfId="38116"/>
    <cellStyle name="Calculation 2 6 18 4" xfId="25057"/>
    <cellStyle name="Calculation 2 6 19" xfId="3201"/>
    <cellStyle name="Calculation 2 6 19 2" xfId="3202"/>
    <cellStyle name="Calculation 2 6 19 2 2" xfId="19189"/>
    <cellStyle name="Calculation 2 6 19 2 2 2" xfId="39257"/>
    <cellStyle name="Calculation 2 6 19 2 3" xfId="25060"/>
    <cellStyle name="Calculation 2 6 19 3" xfId="18165"/>
    <cellStyle name="Calculation 2 6 19 3 2" xfId="38233"/>
    <cellStyle name="Calculation 2 6 19 4" xfId="25059"/>
    <cellStyle name="Calculation 2 6 2" xfId="3203"/>
    <cellStyle name="Calculation 2 6 2 2" xfId="3204"/>
    <cellStyle name="Calculation 2 6 2 2 2" xfId="19190"/>
    <cellStyle name="Calculation 2 6 2 2 2 2" xfId="39258"/>
    <cellStyle name="Calculation 2 6 2 2 3" xfId="25062"/>
    <cellStyle name="Calculation 2 6 2 3" xfId="14634"/>
    <cellStyle name="Calculation 2 6 2 3 2" xfId="34702"/>
    <cellStyle name="Calculation 2 6 2 4" xfId="25061"/>
    <cellStyle name="Calculation 2 6 20" xfId="3205"/>
    <cellStyle name="Calculation 2 6 20 2" xfId="3206"/>
    <cellStyle name="Calculation 2 6 20 2 2" xfId="19191"/>
    <cellStyle name="Calculation 2 6 20 2 2 2" xfId="39259"/>
    <cellStyle name="Calculation 2 6 20 2 3" xfId="25064"/>
    <cellStyle name="Calculation 2 6 20 3" xfId="16505"/>
    <cellStyle name="Calculation 2 6 20 3 2" xfId="36573"/>
    <cellStyle name="Calculation 2 6 20 4" xfId="25063"/>
    <cellStyle name="Calculation 2 6 21" xfId="3207"/>
    <cellStyle name="Calculation 2 6 21 2" xfId="3208"/>
    <cellStyle name="Calculation 2 6 21 2 2" xfId="19192"/>
    <cellStyle name="Calculation 2 6 21 2 2 2" xfId="39260"/>
    <cellStyle name="Calculation 2 6 21 2 3" xfId="25066"/>
    <cellStyle name="Calculation 2 6 21 3" xfId="18360"/>
    <cellStyle name="Calculation 2 6 21 3 2" xfId="38428"/>
    <cellStyle name="Calculation 2 6 21 4" xfId="25065"/>
    <cellStyle name="Calculation 2 6 22" xfId="3209"/>
    <cellStyle name="Calculation 2 6 22 2" xfId="3210"/>
    <cellStyle name="Calculation 2 6 22 2 2" xfId="19193"/>
    <cellStyle name="Calculation 2 6 22 2 2 2" xfId="39261"/>
    <cellStyle name="Calculation 2 6 22 2 3" xfId="25068"/>
    <cellStyle name="Calculation 2 6 22 3" xfId="18504"/>
    <cellStyle name="Calculation 2 6 22 3 2" xfId="38572"/>
    <cellStyle name="Calculation 2 6 22 4" xfId="25067"/>
    <cellStyle name="Calculation 2 6 23" xfId="3211"/>
    <cellStyle name="Calculation 2 6 23 2" xfId="3212"/>
    <cellStyle name="Calculation 2 6 23 2 2" xfId="19194"/>
    <cellStyle name="Calculation 2 6 23 2 2 2" xfId="39262"/>
    <cellStyle name="Calculation 2 6 23 2 3" xfId="25070"/>
    <cellStyle name="Calculation 2 6 23 3" xfId="18615"/>
    <cellStyle name="Calculation 2 6 23 3 2" xfId="38683"/>
    <cellStyle name="Calculation 2 6 23 4" xfId="25069"/>
    <cellStyle name="Calculation 2 6 24" xfId="3213"/>
    <cellStyle name="Calculation 2 6 24 2" xfId="3214"/>
    <cellStyle name="Calculation 2 6 24 2 2" xfId="19195"/>
    <cellStyle name="Calculation 2 6 24 2 2 2" xfId="39263"/>
    <cellStyle name="Calculation 2 6 24 2 3" xfId="25072"/>
    <cellStyle name="Calculation 2 6 24 3" xfId="18715"/>
    <cellStyle name="Calculation 2 6 24 3 2" xfId="38783"/>
    <cellStyle name="Calculation 2 6 24 4" xfId="25071"/>
    <cellStyle name="Calculation 2 6 25" xfId="3215"/>
    <cellStyle name="Calculation 2 6 25 2" xfId="3216"/>
    <cellStyle name="Calculation 2 6 25 2 2" xfId="19196"/>
    <cellStyle name="Calculation 2 6 25 2 2 2" xfId="39264"/>
    <cellStyle name="Calculation 2 6 25 2 3" xfId="25074"/>
    <cellStyle name="Calculation 2 6 25 3" xfId="18815"/>
    <cellStyle name="Calculation 2 6 25 3 2" xfId="38883"/>
    <cellStyle name="Calculation 2 6 25 4" xfId="25073"/>
    <cellStyle name="Calculation 2 6 26" xfId="3217"/>
    <cellStyle name="Calculation 2 6 26 2" xfId="19179"/>
    <cellStyle name="Calculation 2 6 26 2 2" xfId="39247"/>
    <cellStyle name="Calculation 2 6 26 3" xfId="25075"/>
    <cellStyle name="Calculation 2 6 27" xfId="14364"/>
    <cellStyle name="Calculation 2 6 27 2" xfId="34432"/>
    <cellStyle name="Calculation 2 6 28" xfId="25040"/>
    <cellStyle name="Calculation 2 6 3" xfId="3218"/>
    <cellStyle name="Calculation 2 6 3 2" xfId="3219"/>
    <cellStyle name="Calculation 2 6 3 2 2" xfId="19197"/>
    <cellStyle name="Calculation 2 6 3 2 2 2" xfId="39265"/>
    <cellStyle name="Calculation 2 6 3 2 3" xfId="25077"/>
    <cellStyle name="Calculation 2 6 3 3" xfId="14753"/>
    <cellStyle name="Calculation 2 6 3 3 2" xfId="34821"/>
    <cellStyle name="Calculation 2 6 3 4" xfId="25076"/>
    <cellStyle name="Calculation 2 6 4" xfId="3220"/>
    <cellStyle name="Calculation 2 6 4 2" xfId="3221"/>
    <cellStyle name="Calculation 2 6 4 2 2" xfId="19198"/>
    <cellStyle name="Calculation 2 6 4 2 2 2" xfId="39266"/>
    <cellStyle name="Calculation 2 6 4 2 3" xfId="25079"/>
    <cellStyle name="Calculation 2 6 4 3" xfId="14872"/>
    <cellStyle name="Calculation 2 6 4 3 2" xfId="34940"/>
    <cellStyle name="Calculation 2 6 4 4" xfId="25078"/>
    <cellStyle name="Calculation 2 6 5" xfId="3222"/>
    <cellStyle name="Calculation 2 6 5 2" xfId="3223"/>
    <cellStyle name="Calculation 2 6 5 2 2" xfId="19199"/>
    <cellStyle name="Calculation 2 6 5 2 2 2" xfId="39267"/>
    <cellStyle name="Calculation 2 6 5 2 3" xfId="25081"/>
    <cellStyle name="Calculation 2 6 5 3" xfId="15041"/>
    <cellStyle name="Calculation 2 6 5 3 2" xfId="35109"/>
    <cellStyle name="Calculation 2 6 5 4" xfId="25080"/>
    <cellStyle name="Calculation 2 6 6" xfId="3224"/>
    <cellStyle name="Calculation 2 6 6 2" xfId="3225"/>
    <cellStyle name="Calculation 2 6 6 2 2" xfId="19200"/>
    <cellStyle name="Calculation 2 6 6 2 2 2" xfId="39268"/>
    <cellStyle name="Calculation 2 6 6 2 3" xfId="25083"/>
    <cellStyle name="Calculation 2 6 6 3" xfId="13987"/>
    <cellStyle name="Calculation 2 6 6 3 2" xfId="34055"/>
    <cellStyle name="Calculation 2 6 6 4" xfId="25082"/>
    <cellStyle name="Calculation 2 6 7" xfId="3226"/>
    <cellStyle name="Calculation 2 6 7 2" xfId="3227"/>
    <cellStyle name="Calculation 2 6 7 2 2" xfId="19201"/>
    <cellStyle name="Calculation 2 6 7 2 2 2" xfId="39269"/>
    <cellStyle name="Calculation 2 6 7 2 3" xfId="25085"/>
    <cellStyle name="Calculation 2 6 7 3" xfId="15184"/>
    <cellStyle name="Calculation 2 6 7 3 2" xfId="35252"/>
    <cellStyle name="Calculation 2 6 7 4" xfId="25084"/>
    <cellStyle name="Calculation 2 6 8" xfId="3228"/>
    <cellStyle name="Calculation 2 6 8 2" xfId="3229"/>
    <cellStyle name="Calculation 2 6 8 2 2" xfId="19202"/>
    <cellStyle name="Calculation 2 6 8 2 2 2" xfId="39270"/>
    <cellStyle name="Calculation 2 6 8 2 3" xfId="25087"/>
    <cellStyle name="Calculation 2 6 8 3" xfId="16538"/>
    <cellStyle name="Calculation 2 6 8 3 2" xfId="36606"/>
    <cellStyle name="Calculation 2 6 8 4" xfId="25086"/>
    <cellStyle name="Calculation 2 6 9" xfId="3230"/>
    <cellStyle name="Calculation 2 6 9 2" xfId="3231"/>
    <cellStyle name="Calculation 2 6 9 2 2" xfId="19203"/>
    <cellStyle name="Calculation 2 6 9 2 2 2" xfId="39271"/>
    <cellStyle name="Calculation 2 6 9 2 3" xfId="25089"/>
    <cellStyle name="Calculation 2 6 9 3" xfId="16742"/>
    <cellStyle name="Calculation 2 6 9 3 2" xfId="36810"/>
    <cellStyle name="Calculation 2 6 9 4" xfId="25088"/>
    <cellStyle name="Calculation 2 7" xfId="3232"/>
    <cellStyle name="Calculation 2 7 2" xfId="3233"/>
    <cellStyle name="Calculation 2 7 2 2" xfId="19204"/>
    <cellStyle name="Calculation 2 7 2 2 2" xfId="39272"/>
    <cellStyle name="Calculation 2 7 2 3" xfId="25091"/>
    <cellStyle name="Calculation 2 7 3" xfId="14457"/>
    <cellStyle name="Calculation 2 7 3 2" xfId="34525"/>
    <cellStyle name="Calculation 2 7 4" xfId="25090"/>
    <cellStyle name="Calculation 2 8" xfId="3234"/>
    <cellStyle name="Calculation 2 8 2" xfId="3235"/>
    <cellStyle name="Calculation 2 8 2 2" xfId="19205"/>
    <cellStyle name="Calculation 2 8 2 2 2" xfId="39273"/>
    <cellStyle name="Calculation 2 8 2 3" xfId="25093"/>
    <cellStyle name="Calculation 2 8 3" xfId="14395"/>
    <cellStyle name="Calculation 2 8 3 2" xfId="34463"/>
    <cellStyle name="Calculation 2 8 4" xfId="25092"/>
    <cellStyle name="Calculation 2 9" xfId="3236"/>
    <cellStyle name="Calculation 2 9 2" xfId="3237"/>
    <cellStyle name="Calculation 2 9 2 2" xfId="19206"/>
    <cellStyle name="Calculation 2 9 2 2 2" xfId="39274"/>
    <cellStyle name="Calculation 2 9 2 3" xfId="25095"/>
    <cellStyle name="Calculation 2 9 3" xfId="14128"/>
    <cellStyle name="Calculation 2 9 3 2" xfId="34196"/>
    <cellStyle name="Calculation 2 9 4" xfId="25094"/>
    <cellStyle name="Calculation 2_2011-2012" xfId="3238"/>
    <cellStyle name="Calculation 3" xfId="3239"/>
    <cellStyle name="Calculation 3 10" xfId="3240"/>
    <cellStyle name="Calculation 3 10 2" xfId="3241"/>
    <cellStyle name="Calculation 3 10 2 2" xfId="19208"/>
    <cellStyle name="Calculation 3 10 2 2 2" xfId="39276"/>
    <cellStyle name="Calculation 3 10 2 3" xfId="25098"/>
    <cellStyle name="Calculation 3 10 3" xfId="14536"/>
    <cellStyle name="Calculation 3 10 3 2" xfId="34604"/>
    <cellStyle name="Calculation 3 10 4" xfId="25097"/>
    <cellStyle name="Calculation 3 11" xfId="3242"/>
    <cellStyle name="Calculation 3 11 2" xfId="3243"/>
    <cellStyle name="Calculation 3 11 2 2" xfId="19209"/>
    <cellStyle name="Calculation 3 11 2 2 2" xfId="39277"/>
    <cellStyle name="Calculation 3 11 2 3" xfId="25100"/>
    <cellStyle name="Calculation 3 11 3" xfId="14778"/>
    <cellStyle name="Calculation 3 11 3 2" xfId="34846"/>
    <cellStyle name="Calculation 3 11 4" xfId="25099"/>
    <cellStyle name="Calculation 3 12" xfId="3244"/>
    <cellStyle name="Calculation 3 12 2" xfId="3245"/>
    <cellStyle name="Calculation 3 12 2 2" xfId="19210"/>
    <cellStyle name="Calculation 3 12 2 2 2" xfId="39278"/>
    <cellStyle name="Calculation 3 12 2 3" xfId="25102"/>
    <cellStyle name="Calculation 3 12 3" xfId="16141"/>
    <cellStyle name="Calculation 3 12 3 2" xfId="36209"/>
    <cellStyle name="Calculation 3 12 4" xfId="25101"/>
    <cellStyle name="Calculation 3 13" xfId="3246"/>
    <cellStyle name="Calculation 3 13 2" xfId="3247"/>
    <cellStyle name="Calculation 3 13 2 2" xfId="19211"/>
    <cellStyle name="Calculation 3 13 2 2 2" xfId="39279"/>
    <cellStyle name="Calculation 3 13 2 3" xfId="25104"/>
    <cellStyle name="Calculation 3 13 3" xfId="15633"/>
    <cellStyle name="Calculation 3 13 3 2" xfId="35701"/>
    <cellStyle name="Calculation 3 13 4" xfId="25103"/>
    <cellStyle name="Calculation 3 14" xfId="3248"/>
    <cellStyle name="Calculation 3 14 2" xfId="3249"/>
    <cellStyle name="Calculation 3 14 2 2" xfId="19212"/>
    <cellStyle name="Calculation 3 14 2 2 2" xfId="39280"/>
    <cellStyle name="Calculation 3 14 2 3" xfId="25106"/>
    <cellStyle name="Calculation 3 14 3" xfId="16206"/>
    <cellStyle name="Calculation 3 14 3 2" xfId="36274"/>
    <cellStyle name="Calculation 3 14 4" xfId="25105"/>
    <cellStyle name="Calculation 3 15" xfId="3250"/>
    <cellStyle name="Calculation 3 15 2" xfId="3251"/>
    <cellStyle name="Calculation 3 15 2 2" xfId="19213"/>
    <cellStyle name="Calculation 3 15 2 2 2" xfId="39281"/>
    <cellStyle name="Calculation 3 15 2 3" xfId="25108"/>
    <cellStyle name="Calculation 3 15 3" xfId="15469"/>
    <cellStyle name="Calculation 3 15 3 2" xfId="35537"/>
    <cellStyle name="Calculation 3 15 4" xfId="25107"/>
    <cellStyle name="Calculation 3 16" xfId="3252"/>
    <cellStyle name="Calculation 3 16 2" xfId="3253"/>
    <cellStyle name="Calculation 3 16 2 2" xfId="19214"/>
    <cellStyle name="Calculation 3 16 2 2 2" xfId="39282"/>
    <cellStyle name="Calculation 3 16 2 3" xfId="25110"/>
    <cellStyle name="Calculation 3 16 3" xfId="16391"/>
    <cellStyle name="Calculation 3 16 3 2" xfId="36459"/>
    <cellStyle name="Calculation 3 16 4" xfId="25109"/>
    <cellStyle name="Calculation 3 17" xfId="3254"/>
    <cellStyle name="Calculation 3 17 2" xfId="3255"/>
    <cellStyle name="Calculation 3 17 2 2" xfId="19215"/>
    <cellStyle name="Calculation 3 17 2 2 2" xfId="39283"/>
    <cellStyle name="Calculation 3 17 2 3" xfId="25112"/>
    <cellStyle name="Calculation 3 17 3" xfId="16056"/>
    <cellStyle name="Calculation 3 17 3 2" xfId="36124"/>
    <cellStyle name="Calculation 3 17 4" xfId="25111"/>
    <cellStyle name="Calculation 3 18" xfId="3256"/>
    <cellStyle name="Calculation 3 18 2" xfId="3257"/>
    <cellStyle name="Calculation 3 18 2 2" xfId="19216"/>
    <cellStyle name="Calculation 3 18 2 2 2" xfId="39284"/>
    <cellStyle name="Calculation 3 18 2 3" xfId="25114"/>
    <cellStyle name="Calculation 3 18 3" xfId="15677"/>
    <cellStyle name="Calculation 3 18 3 2" xfId="35745"/>
    <cellStyle name="Calculation 3 18 4" xfId="25113"/>
    <cellStyle name="Calculation 3 19" xfId="3258"/>
    <cellStyle name="Calculation 3 19 2" xfId="3259"/>
    <cellStyle name="Calculation 3 19 2 2" xfId="19217"/>
    <cellStyle name="Calculation 3 19 2 2 2" xfId="39285"/>
    <cellStyle name="Calculation 3 19 2 3" xfId="25116"/>
    <cellStyle name="Calculation 3 19 3" xfId="16356"/>
    <cellStyle name="Calculation 3 19 3 2" xfId="36424"/>
    <cellStyle name="Calculation 3 19 4" xfId="25115"/>
    <cellStyle name="Calculation 3 2" xfId="3260"/>
    <cellStyle name="Calculation 3 2 10" xfId="3261"/>
    <cellStyle name="Calculation 3 2 10 2" xfId="3262"/>
    <cellStyle name="Calculation 3 2 10 2 2" xfId="19219"/>
    <cellStyle name="Calculation 3 2 10 2 2 2" xfId="39287"/>
    <cellStyle name="Calculation 3 2 10 2 3" xfId="25119"/>
    <cellStyle name="Calculation 3 2 10 3" xfId="16142"/>
    <cellStyle name="Calculation 3 2 10 3 2" xfId="36210"/>
    <cellStyle name="Calculation 3 2 10 4" xfId="25118"/>
    <cellStyle name="Calculation 3 2 11" xfId="3263"/>
    <cellStyle name="Calculation 3 2 11 2" xfId="3264"/>
    <cellStyle name="Calculation 3 2 11 2 2" xfId="19220"/>
    <cellStyle name="Calculation 3 2 11 2 2 2" xfId="39288"/>
    <cellStyle name="Calculation 3 2 11 2 3" xfId="25121"/>
    <cellStyle name="Calculation 3 2 11 3" xfId="15632"/>
    <cellStyle name="Calculation 3 2 11 3 2" xfId="35700"/>
    <cellStyle name="Calculation 3 2 11 4" xfId="25120"/>
    <cellStyle name="Calculation 3 2 12" xfId="3265"/>
    <cellStyle name="Calculation 3 2 12 2" xfId="3266"/>
    <cellStyle name="Calculation 3 2 12 2 2" xfId="19221"/>
    <cellStyle name="Calculation 3 2 12 2 2 2" xfId="39289"/>
    <cellStyle name="Calculation 3 2 12 2 3" xfId="25123"/>
    <cellStyle name="Calculation 3 2 12 3" xfId="16207"/>
    <cellStyle name="Calculation 3 2 12 3 2" xfId="36275"/>
    <cellStyle name="Calculation 3 2 12 4" xfId="25122"/>
    <cellStyle name="Calculation 3 2 13" xfId="3267"/>
    <cellStyle name="Calculation 3 2 13 2" xfId="3268"/>
    <cellStyle name="Calculation 3 2 13 2 2" xfId="19222"/>
    <cellStyle name="Calculation 3 2 13 2 2 2" xfId="39290"/>
    <cellStyle name="Calculation 3 2 13 2 3" xfId="25125"/>
    <cellStyle name="Calculation 3 2 13 3" xfId="15468"/>
    <cellStyle name="Calculation 3 2 13 3 2" xfId="35536"/>
    <cellStyle name="Calculation 3 2 13 4" xfId="25124"/>
    <cellStyle name="Calculation 3 2 14" xfId="3269"/>
    <cellStyle name="Calculation 3 2 14 2" xfId="3270"/>
    <cellStyle name="Calculation 3 2 14 2 2" xfId="19223"/>
    <cellStyle name="Calculation 3 2 14 2 2 2" xfId="39291"/>
    <cellStyle name="Calculation 3 2 14 2 3" xfId="25127"/>
    <cellStyle name="Calculation 3 2 14 3" xfId="16392"/>
    <cellStyle name="Calculation 3 2 14 3 2" xfId="36460"/>
    <cellStyle name="Calculation 3 2 14 4" xfId="25126"/>
    <cellStyle name="Calculation 3 2 15" xfId="3271"/>
    <cellStyle name="Calculation 3 2 15 2" xfId="3272"/>
    <cellStyle name="Calculation 3 2 15 2 2" xfId="19224"/>
    <cellStyle name="Calculation 3 2 15 2 2 2" xfId="39292"/>
    <cellStyle name="Calculation 3 2 15 2 3" xfId="25129"/>
    <cellStyle name="Calculation 3 2 15 3" xfId="16055"/>
    <cellStyle name="Calculation 3 2 15 3 2" xfId="36123"/>
    <cellStyle name="Calculation 3 2 15 4" xfId="25128"/>
    <cellStyle name="Calculation 3 2 16" xfId="3273"/>
    <cellStyle name="Calculation 3 2 16 2" xfId="3274"/>
    <cellStyle name="Calculation 3 2 16 2 2" xfId="19225"/>
    <cellStyle name="Calculation 3 2 16 2 2 2" xfId="39293"/>
    <cellStyle name="Calculation 3 2 16 2 3" xfId="25131"/>
    <cellStyle name="Calculation 3 2 16 3" xfId="15753"/>
    <cellStyle name="Calculation 3 2 16 3 2" xfId="35821"/>
    <cellStyle name="Calculation 3 2 16 4" xfId="25130"/>
    <cellStyle name="Calculation 3 2 17" xfId="3275"/>
    <cellStyle name="Calculation 3 2 17 2" xfId="3276"/>
    <cellStyle name="Calculation 3 2 17 2 2" xfId="19226"/>
    <cellStyle name="Calculation 3 2 17 2 2 2" xfId="39294"/>
    <cellStyle name="Calculation 3 2 17 2 3" xfId="25133"/>
    <cellStyle name="Calculation 3 2 17 3" xfId="16229"/>
    <cellStyle name="Calculation 3 2 17 3 2" xfId="36297"/>
    <cellStyle name="Calculation 3 2 17 4" xfId="25132"/>
    <cellStyle name="Calculation 3 2 18" xfId="3277"/>
    <cellStyle name="Calculation 3 2 18 2" xfId="3278"/>
    <cellStyle name="Calculation 3 2 18 2 2" xfId="19227"/>
    <cellStyle name="Calculation 3 2 18 2 2 2" xfId="39295"/>
    <cellStyle name="Calculation 3 2 18 2 3" xfId="25135"/>
    <cellStyle name="Calculation 3 2 18 3" xfId="17346"/>
    <cellStyle name="Calculation 3 2 18 3 2" xfId="37414"/>
    <cellStyle name="Calculation 3 2 18 4" xfId="25134"/>
    <cellStyle name="Calculation 3 2 19" xfId="3279"/>
    <cellStyle name="Calculation 3 2 19 2" xfId="3280"/>
    <cellStyle name="Calculation 3 2 19 2 2" xfId="19228"/>
    <cellStyle name="Calculation 3 2 19 2 2 2" xfId="39296"/>
    <cellStyle name="Calculation 3 2 19 2 3" xfId="25137"/>
    <cellStyle name="Calculation 3 2 19 3" xfId="17417"/>
    <cellStyle name="Calculation 3 2 19 3 2" xfId="37485"/>
    <cellStyle name="Calculation 3 2 19 4" xfId="25136"/>
    <cellStyle name="Calculation 3 2 2" xfId="3281"/>
    <cellStyle name="Calculation 3 2 2 10" xfId="3282"/>
    <cellStyle name="Calculation 3 2 2 10 2" xfId="3283"/>
    <cellStyle name="Calculation 3 2 2 10 2 2" xfId="19230"/>
    <cellStyle name="Calculation 3 2 2 10 2 2 2" xfId="39298"/>
    <cellStyle name="Calculation 3 2 2 10 2 3" xfId="25140"/>
    <cellStyle name="Calculation 3 2 2 10 3" xfId="16919"/>
    <cellStyle name="Calculation 3 2 2 10 3 2" xfId="36987"/>
    <cellStyle name="Calculation 3 2 2 10 4" xfId="25139"/>
    <cellStyle name="Calculation 3 2 2 11" xfId="3284"/>
    <cellStyle name="Calculation 3 2 2 11 2" xfId="3285"/>
    <cellStyle name="Calculation 3 2 2 11 2 2" xfId="19231"/>
    <cellStyle name="Calculation 3 2 2 11 2 2 2" xfId="39299"/>
    <cellStyle name="Calculation 3 2 2 11 2 3" xfId="25142"/>
    <cellStyle name="Calculation 3 2 2 11 3" xfId="17054"/>
    <cellStyle name="Calculation 3 2 2 11 3 2" xfId="37122"/>
    <cellStyle name="Calculation 3 2 2 11 4" xfId="25141"/>
    <cellStyle name="Calculation 3 2 2 12" xfId="3286"/>
    <cellStyle name="Calculation 3 2 2 12 2" xfId="3287"/>
    <cellStyle name="Calculation 3 2 2 12 2 2" xfId="19232"/>
    <cellStyle name="Calculation 3 2 2 12 2 2 2" xfId="39300"/>
    <cellStyle name="Calculation 3 2 2 12 2 3" xfId="25144"/>
    <cellStyle name="Calculation 3 2 2 12 3" xfId="17226"/>
    <cellStyle name="Calculation 3 2 2 12 3 2" xfId="37294"/>
    <cellStyle name="Calculation 3 2 2 12 4" xfId="25143"/>
    <cellStyle name="Calculation 3 2 2 13" xfId="3288"/>
    <cellStyle name="Calculation 3 2 2 13 2" xfId="3289"/>
    <cellStyle name="Calculation 3 2 2 13 2 2" xfId="19233"/>
    <cellStyle name="Calculation 3 2 2 13 2 2 2" xfId="39301"/>
    <cellStyle name="Calculation 3 2 2 13 2 3" xfId="25146"/>
    <cellStyle name="Calculation 3 2 2 13 3" xfId="17396"/>
    <cellStyle name="Calculation 3 2 2 13 3 2" xfId="37464"/>
    <cellStyle name="Calculation 3 2 2 13 4" xfId="25145"/>
    <cellStyle name="Calculation 3 2 2 14" xfId="3290"/>
    <cellStyle name="Calculation 3 2 2 14 2" xfId="3291"/>
    <cellStyle name="Calculation 3 2 2 14 2 2" xfId="19234"/>
    <cellStyle name="Calculation 3 2 2 14 2 2 2" xfId="39302"/>
    <cellStyle name="Calculation 3 2 2 14 2 3" xfId="25148"/>
    <cellStyle name="Calculation 3 2 2 14 3" xfId="17524"/>
    <cellStyle name="Calculation 3 2 2 14 3 2" xfId="37592"/>
    <cellStyle name="Calculation 3 2 2 14 4" xfId="25147"/>
    <cellStyle name="Calculation 3 2 2 15" xfId="3292"/>
    <cellStyle name="Calculation 3 2 2 15 2" xfId="3293"/>
    <cellStyle name="Calculation 3 2 2 15 2 2" xfId="19235"/>
    <cellStyle name="Calculation 3 2 2 15 2 2 2" xfId="39303"/>
    <cellStyle name="Calculation 3 2 2 15 2 3" xfId="25150"/>
    <cellStyle name="Calculation 3 2 2 15 3" xfId="16041"/>
    <cellStyle name="Calculation 3 2 2 15 3 2" xfId="36109"/>
    <cellStyle name="Calculation 3 2 2 15 4" xfId="25149"/>
    <cellStyle name="Calculation 3 2 2 16" xfId="3294"/>
    <cellStyle name="Calculation 3 2 2 16 2" xfId="3295"/>
    <cellStyle name="Calculation 3 2 2 16 2 2" xfId="19236"/>
    <cellStyle name="Calculation 3 2 2 16 2 2 2" xfId="39304"/>
    <cellStyle name="Calculation 3 2 2 16 2 3" xfId="25152"/>
    <cellStyle name="Calculation 3 2 2 16 3" xfId="17775"/>
    <cellStyle name="Calculation 3 2 2 16 3 2" xfId="37843"/>
    <cellStyle name="Calculation 3 2 2 16 4" xfId="25151"/>
    <cellStyle name="Calculation 3 2 2 17" xfId="3296"/>
    <cellStyle name="Calculation 3 2 2 17 2" xfId="3297"/>
    <cellStyle name="Calculation 3 2 2 17 2 2" xfId="19237"/>
    <cellStyle name="Calculation 3 2 2 17 2 2 2" xfId="39305"/>
    <cellStyle name="Calculation 3 2 2 17 2 3" xfId="25154"/>
    <cellStyle name="Calculation 3 2 2 17 3" xfId="17904"/>
    <cellStyle name="Calculation 3 2 2 17 3 2" xfId="37972"/>
    <cellStyle name="Calculation 3 2 2 17 4" xfId="25153"/>
    <cellStyle name="Calculation 3 2 2 18" xfId="3298"/>
    <cellStyle name="Calculation 3 2 2 18 2" xfId="3299"/>
    <cellStyle name="Calculation 3 2 2 18 2 2" xfId="19238"/>
    <cellStyle name="Calculation 3 2 2 18 2 2 2" xfId="39306"/>
    <cellStyle name="Calculation 3 2 2 18 2 3" xfId="25156"/>
    <cellStyle name="Calculation 3 2 2 18 3" xfId="18054"/>
    <cellStyle name="Calculation 3 2 2 18 3 2" xfId="38122"/>
    <cellStyle name="Calculation 3 2 2 18 4" xfId="25155"/>
    <cellStyle name="Calculation 3 2 2 19" xfId="3300"/>
    <cellStyle name="Calculation 3 2 2 19 2" xfId="3301"/>
    <cellStyle name="Calculation 3 2 2 19 2 2" xfId="19239"/>
    <cellStyle name="Calculation 3 2 2 19 2 2 2" xfId="39307"/>
    <cellStyle name="Calculation 3 2 2 19 2 3" xfId="25158"/>
    <cellStyle name="Calculation 3 2 2 19 3" xfId="18171"/>
    <cellStyle name="Calculation 3 2 2 19 3 2" xfId="38239"/>
    <cellStyle name="Calculation 3 2 2 19 4" xfId="25157"/>
    <cellStyle name="Calculation 3 2 2 2" xfId="3302"/>
    <cellStyle name="Calculation 3 2 2 2 2" xfId="3303"/>
    <cellStyle name="Calculation 3 2 2 2 2 2" xfId="19240"/>
    <cellStyle name="Calculation 3 2 2 2 2 2 2" xfId="39308"/>
    <cellStyle name="Calculation 3 2 2 2 2 3" xfId="25160"/>
    <cellStyle name="Calculation 3 2 2 2 3" xfId="14640"/>
    <cellStyle name="Calculation 3 2 2 2 3 2" xfId="34708"/>
    <cellStyle name="Calculation 3 2 2 2 4" xfId="25159"/>
    <cellStyle name="Calculation 3 2 2 20" xfId="3304"/>
    <cellStyle name="Calculation 3 2 2 20 2" xfId="3305"/>
    <cellStyle name="Calculation 3 2 2 20 2 2" xfId="19241"/>
    <cellStyle name="Calculation 3 2 2 20 2 2 2" xfId="39309"/>
    <cellStyle name="Calculation 3 2 2 20 2 3" xfId="25162"/>
    <cellStyle name="Calculation 3 2 2 20 3" xfId="17483"/>
    <cellStyle name="Calculation 3 2 2 20 3 2" xfId="37551"/>
    <cellStyle name="Calculation 3 2 2 20 4" xfId="25161"/>
    <cellStyle name="Calculation 3 2 2 21" xfId="3306"/>
    <cellStyle name="Calculation 3 2 2 21 2" xfId="3307"/>
    <cellStyle name="Calculation 3 2 2 21 2 2" xfId="19242"/>
    <cellStyle name="Calculation 3 2 2 21 2 2 2" xfId="39310"/>
    <cellStyle name="Calculation 3 2 2 21 2 3" xfId="25164"/>
    <cellStyle name="Calculation 3 2 2 21 3" xfId="18366"/>
    <cellStyle name="Calculation 3 2 2 21 3 2" xfId="38434"/>
    <cellStyle name="Calculation 3 2 2 21 4" xfId="25163"/>
    <cellStyle name="Calculation 3 2 2 22" xfId="3308"/>
    <cellStyle name="Calculation 3 2 2 22 2" xfId="3309"/>
    <cellStyle name="Calculation 3 2 2 22 2 2" xfId="19243"/>
    <cellStyle name="Calculation 3 2 2 22 2 2 2" xfId="39311"/>
    <cellStyle name="Calculation 3 2 2 22 2 3" xfId="25166"/>
    <cellStyle name="Calculation 3 2 2 22 3" xfId="18510"/>
    <cellStyle name="Calculation 3 2 2 22 3 2" xfId="38578"/>
    <cellStyle name="Calculation 3 2 2 22 4" xfId="25165"/>
    <cellStyle name="Calculation 3 2 2 23" xfId="3310"/>
    <cellStyle name="Calculation 3 2 2 23 2" xfId="3311"/>
    <cellStyle name="Calculation 3 2 2 23 2 2" xfId="19244"/>
    <cellStyle name="Calculation 3 2 2 23 2 2 2" xfId="39312"/>
    <cellStyle name="Calculation 3 2 2 23 2 3" xfId="25168"/>
    <cellStyle name="Calculation 3 2 2 23 3" xfId="18621"/>
    <cellStyle name="Calculation 3 2 2 23 3 2" xfId="38689"/>
    <cellStyle name="Calculation 3 2 2 23 4" xfId="25167"/>
    <cellStyle name="Calculation 3 2 2 24" xfId="3312"/>
    <cellStyle name="Calculation 3 2 2 24 2" xfId="3313"/>
    <cellStyle name="Calculation 3 2 2 24 2 2" xfId="19245"/>
    <cellStyle name="Calculation 3 2 2 24 2 2 2" xfId="39313"/>
    <cellStyle name="Calculation 3 2 2 24 2 3" xfId="25170"/>
    <cellStyle name="Calculation 3 2 2 24 3" xfId="18721"/>
    <cellStyle name="Calculation 3 2 2 24 3 2" xfId="38789"/>
    <cellStyle name="Calculation 3 2 2 24 4" xfId="25169"/>
    <cellStyle name="Calculation 3 2 2 25" xfId="3314"/>
    <cellStyle name="Calculation 3 2 2 25 2" xfId="3315"/>
    <cellStyle name="Calculation 3 2 2 25 2 2" xfId="19246"/>
    <cellStyle name="Calculation 3 2 2 25 2 2 2" xfId="39314"/>
    <cellStyle name="Calculation 3 2 2 25 2 3" xfId="25172"/>
    <cellStyle name="Calculation 3 2 2 25 3" xfId="18821"/>
    <cellStyle name="Calculation 3 2 2 25 3 2" xfId="38889"/>
    <cellStyle name="Calculation 3 2 2 25 4" xfId="25171"/>
    <cellStyle name="Calculation 3 2 2 26" xfId="3316"/>
    <cellStyle name="Calculation 3 2 2 26 2" xfId="19229"/>
    <cellStyle name="Calculation 3 2 2 26 2 2" xfId="39297"/>
    <cellStyle name="Calculation 3 2 2 26 3" xfId="25173"/>
    <cellStyle name="Calculation 3 2 2 27" xfId="14540"/>
    <cellStyle name="Calculation 3 2 2 27 2" xfId="34608"/>
    <cellStyle name="Calculation 3 2 2 28" xfId="25138"/>
    <cellStyle name="Calculation 3 2 2 3" xfId="3317"/>
    <cellStyle name="Calculation 3 2 2 3 2" xfId="3318"/>
    <cellStyle name="Calculation 3 2 2 3 2 2" xfId="19247"/>
    <cellStyle name="Calculation 3 2 2 3 2 2 2" xfId="39315"/>
    <cellStyle name="Calculation 3 2 2 3 2 3" xfId="25175"/>
    <cellStyle name="Calculation 3 2 2 3 3" xfId="14759"/>
    <cellStyle name="Calculation 3 2 2 3 3 2" xfId="34827"/>
    <cellStyle name="Calculation 3 2 2 3 4" xfId="25174"/>
    <cellStyle name="Calculation 3 2 2 4" xfId="3319"/>
    <cellStyle name="Calculation 3 2 2 4 2" xfId="3320"/>
    <cellStyle name="Calculation 3 2 2 4 2 2" xfId="19248"/>
    <cellStyle name="Calculation 3 2 2 4 2 2 2" xfId="39316"/>
    <cellStyle name="Calculation 3 2 2 4 2 3" xfId="25177"/>
    <cellStyle name="Calculation 3 2 2 4 3" xfId="14878"/>
    <cellStyle name="Calculation 3 2 2 4 3 2" xfId="34946"/>
    <cellStyle name="Calculation 3 2 2 4 4" xfId="25176"/>
    <cellStyle name="Calculation 3 2 2 5" xfId="3321"/>
    <cellStyle name="Calculation 3 2 2 5 2" xfId="3322"/>
    <cellStyle name="Calculation 3 2 2 5 2 2" xfId="19249"/>
    <cellStyle name="Calculation 3 2 2 5 2 2 2" xfId="39317"/>
    <cellStyle name="Calculation 3 2 2 5 2 3" xfId="25179"/>
    <cellStyle name="Calculation 3 2 2 5 3" xfId="15047"/>
    <cellStyle name="Calculation 3 2 2 5 3 2" xfId="35115"/>
    <cellStyle name="Calculation 3 2 2 5 4" xfId="25178"/>
    <cellStyle name="Calculation 3 2 2 6" xfId="3323"/>
    <cellStyle name="Calculation 3 2 2 6 2" xfId="3324"/>
    <cellStyle name="Calculation 3 2 2 6 2 2" xfId="19250"/>
    <cellStyle name="Calculation 3 2 2 6 2 2 2" xfId="39318"/>
    <cellStyle name="Calculation 3 2 2 6 2 3" xfId="25181"/>
    <cellStyle name="Calculation 3 2 2 6 3" xfId="15003"/>
    <cellStyle name="Calculation 3 2 2 6 3 2" xfId="35071"/>
    <cellStyle name="Calculation 3 2 2 6 4" xfId="25180"/>
    <cellStyle name="Calculation 3 2 2 7" xfId="3325"/>
    <cellStyle name="Calculation 3 2 2 7 2" xfId="3326"/>
    <cellStyle name="Calculation 3 2 2 7 2 2" xfId="19251"/>
    <cellStyle name="Calculation 3 2 2 7 2 2 2" xfId="39319"/>
    <cellStyle name="Calculation 3 2 2 7 2 3" xfId="25183"/>
    <cellStyle name="Calculation 3 2 2 7 3" xfId="15190"/>
    <cellStyle name="Calculation 3 2 2 7 3 2" xfId="35258"/>
    <cellStyle name="Calculation 3 2 2 7 4" xfId="25182"/>
    <cellStyle name="Calculation 3 2 2 8" xfId="3327"/>
    <cellStyle name="Calculation 3 2 2 8 2" xfId="3328"/>
    <cellStyle name="Calculation 3 2 2 8 2 2" xfId="19252"/>
    <cellStyle name="Calculation 3 2 2 8 2 2 2" xfId="39320"/>
    <cellStyle name="Calculation 3 2 2 8 2 3" xfId="25185"/>
    <cellStyle name="Calculation 3 2 2 8 3" xfId="16544"/>
    <cellStyle name="Calculation 3 2 2 8 3 2" xfId="36612"/>
    <cellStyle name="Calculation 3 2 2 8 4" xfId="25184"/>
    <cellStyle name="Calculation 3 2 2 9" xfId="3329"/>
    <cellStyle name="Calculation 3 2 2 9 2" xfId="3330"/>
    <cellStyle name="Calculation 3 2 2 9 2 2" xfId="19253"/>
    <cellStyle name="Calculation 3 2 2 9 2 2 2" xfId="39321"/>
    <cellStyle name="Calculation 3 2 2 9 2 3" xfId="25187"/>
    <cellStyle name="Calculation 3 2 2 9 3" xfId="16748"/>
    <cellStyle name="Calculation 3 2 2 9 3 2" xfId="36816"/>
    <cellStyle name="Calculation 3 2 2 9 4" xfId="25186"/>
    <cellStyle name="Calculation 3 2 20" xfId="3331"/>
    <cellStyle name="Calculation 3 2 20 2" xfId="3332"/>
    <cellStyle name="Calculation 3 2 20 2 2" xfId="19254"/>
    <cellStyle name="Calculation 3 2 20 2 2 2" xfId="39322"/>
    <cellStyle name="Calculation 3 2 20 2 3" xfId="25189"/>
    <cellStyle name="Calculation 3 2 20 3" xfId="16257"/>
    <cellStyle name="Calculation 3 2 20 3 2" xfId="36325"/>
    <cellStyle name="Calculation 3 2 20 4" xfId="25188"/>
    <cellStyle name="Calculation 3 2 21" xfId="3333"/>
    <cellStyle name="Calculation 3 2 21 2" xfId="3334"/>
    <cellStyle name="Calculation 3 2 21 2 2" xfId="19255"/>
    <cellStyle name="Calculation 3 2 21 2 2 2" xfId="39323"/>
    <cellStyle name="Calculation 3 2 21 2 3" xfId="25191"/>
    <cellStyle name="Calculation 3 2 21 3" xfId="15608"/>
    <cellStyle name="Calculation 3 2 21 3 2" xfId="35676"/>
    <cellStyle name="Calculation 3 2 21 4" xfId="25190"/>
    <cellStyle name="Calculation 3 2 22" xfId="3335"/>
    <cellStyle name="Calculation 3 2 22 2" xfId="3336"/>
    <cellStyle name="Calculation 3 2 22 2 2" xfId="19256"/>
    <cellStyle name="Calculation 3 2 22 2 2 2" xfId="39324"/>
    <cellStyle name="Calculation 3 2 22 2 3" xfId="25193"/>
    <cellStyle name="Calculation 3 2 22 3" xfId="15392"/>
    <cellStyle name="Calculation 3 2 22 3 2" xfId="35460"/>
    <cellStyle name="Calculation 3 2 22 4" xfId="25192"/>
    <cellStyle name="Calculation 3 2 23" xfId="3337"/>
    <cellStyle name="Calculation 3 2 23 2" xfId="3338"/>
    <cellStyle name="Calculation 3 2 23 2 2" xfId="19257"/>
    <cellStyle name="Calculation 3 2 23 2 2 2" xfId="39325"/>
    <cellStyle name="Calculation 3 2 23 2 3" xfId="25195"/>
    <cellStyle name="Calculation 3 2 23 3" xfId="16282"/>
    <cellStyle name="Calculation 3 2 23 3 2" xfId="36350"/>
    <cellStyle name="Calculation 3 2 23 4" xfId="25194"/>
    <cellStyle name="Calculation 3 2 24" xfId="3339"/>
    <cellStyle name="Calculation 3 2 24 2" xfId="3340"/>
    <cellStyle name="Calculation 3 2 24 2 2" xfId="19258"/>
    <cellStyle name="Calculation 3 2 24 2 2 2" xfId="39326"/>
    <cellStyle name="Calculation 3 2 24 2 3" xfId="25197"/>
    <cellStyle name="Calculation 3 2 24 3" xfId="17018"/>
    <cellStyle name="Calculation 3 2 24 3 2" xfId="37086"/>
    <cellStyle name="Calculation 3 2 24 4" xfId="25196"/>
    <cellStyle name="Calculation 3 2 25" xfId="3341"/>
    <cellStyle name="Calculation 3 2 25 2" xfId="3342"/>
    <cellStyle name="Calculation 3 2 25 2 2" xfId="19259"/>
    <cellStyle name="Calculation 3 2 25 2 2 2" xfId="39327"/>
    <cellStyle name="Calculation 3 2 25 2 3" xfId="25199"/>
    <cellStyle name="Calculation 3 2 25 3" xfId="16432"/>
    <cellStyle name="Calculation 3 2 25 3 2" xfId="36500"/>
    <cellStyle name="Calculation 3 2 25 4" xfId="25198"/>
    <cellStyle name="Calculation 3 2 26" xfId="3343"/>
    <cellStyle name="Calculation 3 2 26 2" xfId="3344"/>
    <cellStyle name="Calculation 3 2 26 2 2" xfId="19260"/>
    <cellStyle name="Calculation 3 2 26 2 2 2" xfId="39328"/>
    <cellStyle name="Calculation 3 2 26 2 3" xfId="25201"/>
    <cellStyle name="Calculation 3 2 26 3" xfId="15723"/>
    <cellStyle name="Calculation 3 2 26 3 2" xfId="35791"/>
    <cellStyle name="Calculation 3 2 26 4" xfId="25200"/>
    <cellStyle name="Calculation 3 2 27" xfId="3345"/>
    <cellStyle name="Calculation 3 2 27 2" xfId="3346"/>
    <cellStyle name="Calculation 3 2 27 2 2" xfId="19261"/>
    <cellStyle name="Calculation 3 2 27 2 2 2" xfId="39329"/>
    <cellStyle name="Calculation 3 2 27 2 3" xfId="25203"/>
    <cellStyle name="Calculation 3 2 27 3" xfId="16092"/>
    <cellStyle name="Calculation 3 2 27 3 2" xfId="36160"/>
    <cellStyle name="Calculation 3 2 27 4" xfId="25202"/>
    <cellStyle name="Calculation 3 2 28" xfId="3347"/>
    <cellStyle name="Calculation 3 2 28 2" xfId="19218"/>
    <cellStyle name="Calculation 3 2 28 2 2" xfId="39286"/>
    <cellStyle name="Calculation 3 2 28 3" xfId="25204"/>
    <cellStyle name="Calculation 3 2 29" xfId="13857"/>
    <cellStyle name="Calculation 3 2 29 2" xfId="33925"/>
    <cellStyle name="Calculation 3 2 3" xfId="3348"/>
    <cellStyle name="Calculation 3 2 3 2" xfId="3349"/>
    <cellStyle name="Calculation 3 2 3 2 2" xfId="19262"/>
    <cellStyle name="Calculation 3 2 3 2 2 2" xfId="39330"/>
    <cellStyle name="Calculation 3 2 3 2 3" xfId="25206"/>
    <cellStyle name="Calculation 3 2 3 3" xfId="14245"/>
    <cellStyle name="Calculation 3 2 3 3 2" xfId="34313"/>
    <cellStyle name="Calculation 3 2 3 4" xfId="25205"/>
    <cellStyle name="Calculation 3 2 30" xfId="25117"/>
    <cellStyle name="Calculation 3 2 4" xfId="3350"/>
    <cellStyle name="Calculation 3 2 4 2" xfId="3351"/>
    <cellStyle name="Calculation 3 2 4 2 2" xfId="19263"/>
    <cellStyle name="Calculation 3 2 4 2 2 2" xfId="39331"/>
    <cellStyle name="Calculation 3 2 4 2 3" xfId="25208"/>
    <cellStyle name="Calculation 3 2 4 3" xfId="14575"/>
    <cellStyle name="Calculation 3 2 4 3 2" xfId="34643"/>
    <cellStyle name="Calculation 3 2 4 4" xfId="25207"/>
    <cellStyle name="Calculation 3 2 5" xfId="3352"/>
    <cellStyle name="Calculation 3 2 5 2" xfId="3353"/>
    <cellStyle name="Calculation 3 2 5 2 2" xfId="19264"/>
    <cellStyle name="Calculation 3 2 5 2 2 2" xfId="39332"/>
    <cellStyle name="Calculation 3 2 5 2 3" xfId="25210"/>
    <cellStyle name="Calculation 3 2 5 3" xfId="14462"/>
    <cellStyle name="Calculation 3 2 5 3 2" xfId="34530"/>
    <cellStyle name="Calculation 3 2 5 4" xfId="25209"/>
    <cellStyle name="Calculation 3 2 6" xfId="3354"/>
    <cellStyle name="Calculation 3 2 6 2" xfId="3355"/>
    <cellStyle name="Calculation 3 2 6 2 2" xfId="19265"/>
    <cellStyle name="Calculation 3 2 6 2 2 2" xfId="39333"/>
    <cellStyle name="Calculation 3 2 6 2 3" xfId="25212"/>
    <cellStyle name="Calculation 3 2 6 3" xfId="14327"/>
    <cellStyle name="Calculation 3 2 6 3 2" xfId="34395"/>
    <cellStyle name="Calculation 3 2 6 4" xfId="25211"/>
    <cellStyle name="Calculation 3 2 7" xfId="3356"/>
    <cellStyle name="Calculation 3 2 7 2" xfId="3357"/>
    <cellStyle name="Calculation 3 2 7 2 2" xfId="19266"/>
    <cellStyle name="Calculation 3 2 7 2 2 2" xfId="39334"/>
    <cellStyle name="Calculation 3 2 7 2 3" xfId="25214"/>
    <cellStyle name="Calculation 3 2 7 3" xfId="14115"/>
    <cellStyle name="Calculation 3 2 7 3 2" xfId="34183"/>
    <cellStyle name="Calculation 3 2 7 4" xfId="25213"/>
    <cellStyle name="Calculation 3 2 8" xfId="3358"/>
    <cellStyle name="Calculation 3 2 8 2" xfId="3359"/>
    <cellStyle name="Calculation 3 2 8 2 2" xfId="19267"/>
    <cellStyle name="Calculation 3 2 8 2 2 2" xfId="39335"/>
    <cellStyle name="Calculation 3 2 8 2 3" xfId="25216"/>
    <cellStyle name="Calculation 3 2 8 3" xfId="14251"/>
    <cellStyle name="Calculation 3 2 8 3 2" xfId="34319"/>
    <cellStyle name="Calculation 3 2 8 4" xfId="25215"/>
    <cellStyle name="Calculation 3 2 9" xfId="3360"/>
    <cellStyle name="Calculation 3 2 9 2" xfId="3361"/>
    <cellStyle name="Calculation 3 2 9 2 2" xfId="19268"/>
    <cellStyle name="Calculation 3 2 9 2 2 2" xfId="39336"/>
    <cellStyle name="Calculation 3 2 9 2 3" xfId="25218"/>
    <cellStyle name="Calculation 3 2 9 3" xfId="14117"/>
    <cellStyle name="Calculation 3 2 9 3 2" xfId="34185"/>
    <cellStyle name="Calculation 3 2 9 4" xfId="25217"/>
    <cellStyle name="Calculation 3 20" xfId="3362"/>
    <cellStyle name="Calculation 3 20 2" xfId="3363"/>
    <cellStyle name="Calculation 3 20 2 2" xfId="19269"/>
    <cellStyle name="Calculation 3 20 2 2 2" xfId="39337"/>
    <cellStyle name="Calculation 3 20 2 3" xfId="25220"/>
    <cellStyle name="Calculation 3 20 3" xfId="15851"/>
    <cellStyle name="Calculation 3 20 3 2" xfId="35919"/>
    <cellStyle name="Calculation 3 20 4" xfId="25219"/>
    <cellStyle name="Calculation 3 21" xfId="3364"/>
    <cellStyle name="Calculation 3 21 2" xfId="3365"/>
    <cellStyle name="Calculation 3 21 2 2" xfId="19270"/>
    <cellStyle name="Calculation 3 21 2 2 2" xfId="39338"/>
    <cellStyle name="Calculation 3 21 2 3" xfId="25222"/>
    <cellStyle name="Calculation 3 21 3" xfId="15653"/>
    <cellStyle name="Calculation 3 21 3 2" xfId="35721"/>
    <cellStyle name="Calculation 3 21 4" xfId="25221"/>
    <cellStyle name="Calculation 3 22" xfId="3366"/>
    <cellStyle name="Calculation 3 22 2" xfId="3367"/>
    <cellStyle name="Calculation 3 22 2 2" xfId="19271"/>
    <cellStyle name="Calculation 3 22 2 2 2" xfId="39339"/>
    <cellStyle name="Calculation 3 22 2 3" xfId="25224"/>
    <cellStyle name="Calculation 3 22 3" xfId="17495"/>
    <cellStyle name="Calculation 3 22 3 2" xfId="37563"/>
    <cellStyle name="Calculation 3 22 4" xfId="25223"/>
    <cellStyle name="Calculation 3 23" xfId="3368"/>
    <cellStyle name="Calculation 3 23 2" xfId="3369"/>
    <cellStyle name="Calculation 3 23 2 2" xfId="19272"/>
    <cellStyle name="Calculation 3 23 2 2 2" xfId="39340"/>
    <cellStyle name="Calculation 3 23 2 3" xfId="25226"/>
    <cellStyle name="Calculation 3 23 3" xfId="15430"/>
    <cellStyle name="Calculation 3 23 3 2" xfId="35498"/>
    <cellStyle name="Calculation 3 23 4" xfId="25225"/>
    <cellStyle name="Calculation 3 24" xfId="3370"/>
    <cellStyle name="Calculation 3 24 2" xfId="3371"/>
    <cellStyle name="Calculation 3 24 2 2" xfId="19273"/>
    <cellStyle name="Calculation 3 24 2 2 2" xfId="39341"/>
    <cellStyle name="Calculation 3 24 2 3" xfId="25228"/>
    <cellStyle name="Calculation 3 24 3" xfId="15769"/>
    <cellStyle name="Calculation 3 24 3 2" xfId="35837"/>
    <cellStyle name="Calculation 3 24 4" xfId="25227"/>
    <cellStyle name="Calculation 3 25" xfId="3372"/>
    <cellStyle name="Calculation 3 25 2" xfId="3373"/>
    <cellStyle name="Calculation 3 25 2 2" xfId="19274"/>
    <cellStyle name="Calculation 3 25 2 2 2" xfId="39342"/>
    <cellStyle name="Calculation 3 25 2 3" xfId="25230"/>
    <cellStyle name="Calculation 3 25 3" xfId="17695"/>
    <cellStyle name="Calculation 3 25 3 2" xfId="37763"/>
    <cellStyle name="Calculation 3 25 4" xfId="25229"/>
    <cellStyle name="Calculation 3 26" xfId="3374"/>
    <cellStyle name="Calculation 3 26 2" xfId="3375"/>
    <cellStyle name="Calculation 3 26 2 2" xfId="19275"/>
    <cellStyle name="Calculation 3 26 2 2 2" xfId="39343"/>
    <cellStyle name="Calculation 3 26 2 3" xfId="25232"/>
    <cellStyle name="Calculation 3 26 3" xfId="16271"/>
    <cellStyle name="Calculation 3 26 3 2" xfId="36339"/>
    <cellStyle name="Calculation 3 26 4" xfId="25231"/>
    <cellStyle name="Calculation 3 27" xfId="3376"/>
    <cellStyle name="Calculation 3 27 2" xfId="3377"/>
    <cellStyle name="Calculation 3 27 2 2" xfId="19276"/>
    <cellStyle name="Calculation 3 27 2 2 2" xfId="39344"/>
    <cellStyle name="Calculation 3 27 2 3" xfId="25234"/>
    <cellStyle name="Calculation 3 27 3" xfId="15896"/>
    <cellStyle name="Calculation 3 27 3 2" xfId="35964"/>
    <cellStyle name="Calculation 3 27 4" xfId="25233"/>
    <cellStyle name="Calculation 3 28" xfId="3378"/>
    <cellStyle name="Calculation 3 28 2" xfId="3379"/>
    <cellStyle name="Calculation 3 28 2 2" xfId="19277"/>
    <cellStyle name="Calculation 3 28 2 2 2" xfId="39345"/>
    <cellStyle name="Calculation 3 28 2 3" xfId="25236"/>
    <cellStyle name="Calculation 3 28 3" xfId="18289"/>
    <cellStyle name="Calculation 3 28 3 2" xfId="38357"/>
    <cellStyle name="Calculation 3 28 4" xfId="25235"/>
    <cellStyle name="Calculation 3 29" xfId="3380"/>
    <cellStyle name="Calculation 3 29 2" xfId="3381"/>
    <cellStyle name="Calculation 3 29 2 2" xfId="19278"/>
    <cellStyle name="Calculation 3 29 2 2 2" xfId="39346"/>
    <cellStyle name="Calculation 3 29 2 3" xfId="25238"/>
    <cellStyle name="Calculation 3 29 3" xfId="18313"/>
    <cellStyle name="Calculation 3 29 3 2" xfId="38381"/>
    <cellStyle name="Calculation 3 29 4" xfId="25237"/>
    <cellStyle name="Calculation 3 3" xfId="3382"/>
    <cellStyle name="Calculation 3 3 10" xfId="3383"/>
    <cellStyle name="Calculation 3 3 10 2" xfId="3384"/>
    <cellStyle name="Calculation 3 3 10 2 2" xfId="19280"/>
    <cellStyle name="Calculation 3 3 10 2 2 2" xfId="39348"/>
    <cellStyle name="Calculation 3 3 10 2 3" xfId="25241"/>
    <cellStyle name="Calculation 3 3 10 3" xfId="16143"/>
    <cellStyle name="Calculation 3 3 10 3 2" xfId="36211"/>
    <cellStyle name="Calculation 3 3 10 4" xfId="25240"/>
    <cellStyle name="Calculation 3 3 11" xfId="3385"/>
    <cellStyle name="Calculation 3 3 11 2" xfId="3386"/>
    <cellStyle name="Calculation 3 3 11 2 2" xfId="19281"/>
    <cellStyle name="Calculation 3 3 11 2 2 2" xfId="39349"/>
    <cellStyle name="Calculation 3 3 11 2 3" xfId="25243"/>
    <cellStyle name="Calculation 3 3 11 3" xfId="15902"/>
    <cellStyle name="Calculation 3 3 11 3 2" xfId="35970"/>
    <cellStyle name="Calculation 3 3 11 4" xfId="25242"/>
    <cellStyle name="Calculation 3 3 12" xfId="3387"/>
    <cellStyle name="Calculation 3 3 12 2" xfId="3388"/>
    <cellStyle name="Calculation 3 3 12 2 2" xfId="19282"/>
    <cellStyle name="Calculation 3 3 12 2 2 2" xfId="39350"/>
    <cellStyle name="Calculation 3 3 12 2 3" xfId="25245"/>
    <cellStyle name="Calculation 3 3 12 3" xfId="15963"/>
    <cellStyle name="Calculation 3 3 12 3 2" xfId="36031"/>
    <cellStyle name="Calculation 3 3 12 4" xfId="25244"/>
    <cellStyle name="Calculation 3 3 13" xfId="3389"/>
    <cellStyle name="Calculation 3 3 13 2" xfId="3390"/>
    <cellStyle name="Calculation 3 3 13 2 2" xfId="19283"/>
    <cellStyle name="Calculation 3 3 13 2 2 2" xfId="39351"/>
    <cellStyle name="Calculation 3 3 13 2 3" xfId="25247"/>
    <cellStyle name="Calculation 3 3 13 3" xfId="15602"/>
    <cellStyle name="Calculation 3 3 13 3 2" xfId="35670"/>
    <cellStyle name="Calculation 3 3 13 4" xfId="25246"/>
    <cellStyle name="Calculation 3 3 14" xfId="3391"/>
    <cellStyle name="Calculation 3 3 14 2" xfId="3392"/>
    <cellStyle name="Calculation 3 3 14 2 2" xfId="19284"/>
    <cellStyle name="Calculation 3 3 14 2 2 2" xfId="39352"/>
    <cellStyle name="Calculation 3 3 14 2 3" xfId="25249"/>
    <cellStyle name="Calculation 3 3 14 3" xfId="15673"/>
    <cellStyle name="Calculation 3 3 14 3 2" xfId="35741"/>
    <cellStyle name="Calculation 3 3 14 4" xfId="25248"/>
    <cellStyle name="Calculation 3 3 15" xfId="3393"/>
    <cellStyle name="Calculation 3 3 15 2" xfId="3394"/>
    <cellStyle name="Calculation 3 3 15 2 2" xfId="19285"/>
    <cellStyle name="Calculation 3 3 15 2 2 2" xfId="39353"/>
    <cellStyle name="Calculation 3 3 15 2 3" xfId="25251"/>
    <cellStyle name="Calculation 3 3 15 3" xfId="16054"/>
    <cellStyle name="Calculation 3 3 15 3 2" xfId="36122"/>
    <cellStyle name="Calculation 3 3 15 4" xfId="25250"/>
    <cellStyle name="Calculation 3 3 16" xfId="3395"/>
    <cellStyle name="Calculation 3 3 16 2" xfId="3396"/>
    <cellStyle name="Calculation 3 3 16 2 2" xfId="19286"/>
    <cellStyle name="Calculation 3 3 16 2 2 2" xfId="39354"/>
    <cellStyle name="Calculation 3 3 16 2 3" xfId="25253"/>
    <cellStyle name="Calculation 3 3 16 3" xfId="15921"/>
    <cellStyle name="Calculation 3 3 16 3 2" xfId="35989"/>
    <cellStyle name="Calculation 3 3 16 4" xfId="25252"/>
    <cellStyle name="Calculation 3 3 17" xfId="3397"/>
    <cellStyle name="Calculation 3 3 17 2" xfId="3398"/>
    <cellStyle name="Calculation 3 3 17 2 2" xfId="19287"/>
    <cellStyle name="Calculation 3 3 17 2 2 2" xfId="39355"/>
    <cellStyle name="Calculation 3 3 17 2 3" xfId="25255"/>
    <cellStyle name="Calculation 3 3 17 3" xfId="15419"/>
    <cellStyle name="Calculation 3 3 17 3 2" xfId="35487"/>
    <cellStyle name="Calculation 3 3 17 4" xfId="25254"/>
    <cellStyle name="Calculation 3 3 18" xfId="3399"/>
    <cellStyle name="Calculation 3 3 18 2" xfId="3400"/>
    <cellStyle name="Calculation 3 3 18 2 2" xfId="19288"/>
    <cellStyle name="Calculation 3 3 18 2 2 2" xfId="39356"/>
    <cellStyle name="Calculation 3 3 18 2 3" xfId="25257"/>
    <cellStyle name="Calculation 3 3 18 3" xfId="15773"/>
    <cellStyle name="Calculation 3 3 18 3 2" xfId="35841"/>
    <cellStyle name="Calculation 3 3 18 4" xfId="25256"/>
    <cellStyle name="Calculation 3 3 19" xfId="3401"/>
    <cellStyle name="Calculation 3 3 19 2" xfId="3402"/>
    <cellStyle name="Calculation 3 3 19 2 2" xfId="19289"/>
    <cellStyle name="Calculation 3 3 19 2 2 2" xfId="39357"/>
    <cellStyle name="Calculation 3 3 19 2 3" xfId="25259"/>
    <cellStyle name="Calculation 3 3 19 3" xfId="17415"/>
    <cellStyle name="Calculation 3 3 19 3 2" xfId="37483"/>
    <cellStyle name="Calculation 3 3 19 4" xfId="25258"/>
    <cellStyle name="Calculation 3 3 2" xfId="3403"/>
    <cellStyle name="Calculation 3 3 2 10" xfId="3404"/>
    <cellStyle name="Calculation 3 3 2 10 2" xfId="3405"/>
    <cellStyle name="Calculation 3 3 2 10 2 2" xfId="19291"/>
    <cellStyle name="Calculation 3 3 2 10 2 2 2" xfId="39359"/>
    <cellStyle name="Calculation 3 3 2 10 2 3" xfId="25262"/>
    <cellStyle name="Calculation 3 3 2 10 3" xfId="16920"/>
    <cellStyle name="Calculation 3 3 2 10 3 2" xfId="36988"/>
    <cellStyle name="Calculation 3 3 2 10 4" xfId="25261"/>
    <cellStyle name="Calculation 3 3 2 11" xfId="3406"/>
    <cellStyle name="Calculation 3 3 2 11 2" xfId="3407"/>
    <cellStyle name="Calculation 3 3 2 11 2 2" xfId="19292"/>
    <cellStyle name="Calculation 3 3 2 11 2 2 2" xfId="39360"/>
    <cellStyle name="Calculation 3 3 2 11 2 3" xfId="25264"/>
    <cellStyle name="Calculation 3 3 2 11 3" xfId="17055"/>
    <cellStyle name="Calculation 3 3 2 11 3 2" xfId="37123"/>
    <cellStyle name="Calculation 3 3 2 11 4" xfId="25263"/>
    <cellStyle name="Calculation 3 3 2 12" xfId="3408"/>
    <cellStyle name="Calculation 3 3 2 12 2" xfId="3409"/>
    <cellStyle name="Calculation 3 3 2 12 2 2" xfId="19293"/>
    <cellStyle name="Calculation 3 3 2 12 2 2 2" xfId="39361"/>
    <cellStyle name="Calculation 3 3 2 12 2 3" xfId="25266"/>
    <cellStyle name="Calculation 3 3 2 12 3" xfId="17227"/>
    <cellStyle name="Calculation 3 3 2 12 3 2" xfId="37295"/>
    <cellStyle name="Calculation 3 3 2 12 4" xfId="25265"/>
    <cellStyle name="Calculation 3 3 2 13" xfId="3410"/>
    <cellStyle name="Calculation 3 3 2 13 2" xfId="3411"/>
    <cellStyle name="Calculation 3 3 2 13 2 2" xfId="19294"/>
    <cellStyle name="Calculation 3 3 2 13 2 2 2" xfId="39362"/>
    <cellStyle name="Calculation 3 3 2 13 2 3" xfId="25268"/>
    <cellStyle name="Calculation 3 3 2 13 3" xfId="17397"/>
    <cellStyle name="Calculation 3 3 2 13 3 2" xfId="37465"/>
    <cellStyle name="Calculation 3 3 2 13 4" xfId="25267"/>
    <cellStyle name="Calculation 3 3 2 14" xfId="3412"/>
    <cellStyle name="Calculation 3 3 2 14 2" xfId="3413"/>
    <cellStyle name="Calculation 3 3 2 14 2 2" xfId="19295"/>
    <cellStyle name="Calculation 3 3 2 14 2 2 2" xfId="39363"/>
    <cellStyle name="Calculation 3 3 2 14 2 3" xfId="25270"/>
    <cellStyle name="Calculation 3 3 2 14 3" xfId="17525"/>
    <cellStyle name="Calculation 3 3 2 14 3 2" xfId="37593"/>
    <cellStyle name="Calculation 3 3 2 14 4" xfId="25269"/>
    <cellStyle name="Calculation 3 3 2 15" xfId="3414"/>
    <cellStyle name="Calculation 3 3 2 15 2" xfId="3415"/>
    <cellStyle name="Calculation 3 3 2 15 2 2" xfId="19296"/>
    <cellStyle name="Calculation 3 3 2 15 2 2 2" xfId="39364"/>
    <cellStyle name="Calculation 3 3 2 15 2 3" xfId="25272"/>
    <cellStyle name="Calculation 3 3 2 15 3" xfId="17632"/>
    <cellStyle name="Calculation 3 3 2 15 3 2" xfId="37700"/>
    <cellStyle name="Calculation 3 3 2 15 4" xfId="25271"/>
    <cellStyle name="Calculation 3 3 2 16" xfId="3416"/>
    <cellStyle name="Calculation 3 3 2 16 2" xfId="3417"/>
    <cellStyle name="Calculation 3 3 2 16 2 2" xfId="19297"/>
    <cellStyle name="Calculation 3 3 2 16 2 2 2" xfId="39365"/>
    <cellStyle name="Calculation 3 3 2 16 2 3" xfId="25274"/>
    <cellStyle name="Calculation 3 3 2 16 3" xfId="17776"/>
    <cellStyle name="Calculation 3 3 2 16 3 2" xfId="37844"/>
    <cellStyle name="Calculation 3 3 2 16 4" xfId="25273"/>
    <cellStyle name="Calculation 3 3 2 17" xfId="3418"/>
    <cellStyle name="Calculation 3 3 2 17 2" xfId="3419"/>
    <cellStyle name="Calculation 3 3 2 17 2 2" xfId="19298"/>
    <cellStyle name="Calculation 3 3 2 17 2 2 2" xfId="39366"/>
    <cellStyle name="Calculation 3 3 2 17 2 3" xfId="25276"/>
    <cellStyle name="Calculation 3 3 2 17 3" xfId="17905"/>
    <cellStyle name="Calculation 3 3 2 17 3 2" xfId="37973"/>
    <cellStyle name="Calculation 3 3 2 17 4" xfId="25275"/>
    <cellStyle name="Calculation 3 3 2 18" xfId="3420"/>
    <cellStyle name="Calculation 3 3 2 18 2" xfId="3421"/>
    <cellStyle name="Calculation 3 3 2 18 2 2" xfId="19299"/>
    <cellStyle name="Calculation 3 3 2 18 2 2 2" xfId="39367"/>
    <cellStyle name="Calculation 3 3 2 18 2 3" xfId="25278"/>
    <cellStyle name="Calculation 3 3 2 18 3" xfId="18055"/>
    <cellStyle name="Calculation 3 3 2 18 3 2" xfId="38123"/>
    <cellStyle name="Calculation 3 3 2 18 4" xfId="25277"/>
    <cellStyle name="Calculation 3 3 2 19" xfId="3422"/>
    <cellStyle name="Calculation 3 3 2 19 2" xfId="3423"/>
    <cellStyle name="Calculation 3 3 2 19 2 2" xfId="19300"/>
    <cellStyle name="Calculation 3 3 2 19 2 2 2" xfId="39368"/>
    <cellStyle name="Calculation 3 3 2 19 2 3" xfId="25280"/>
    <cellStyle name="Calculation 3 3 2 19 3" xfId="18172"/>
    <cellStyle name="Calculation 3 3 2 19 3 2" xfId="38240"/>
    <cellStyle name="Calculation 3 3 2 19 4" xfId="25279"/>
    <cellStyle name="Calculation 3 3 2 2" xfId="3424"/>
    <cellStyle name="Calculation 3 3 2 2 2" xfId="3425"/>
    <cellStyle name="Calculation 3 3 2 2 2 2" xfId="19301"/>
    <cellStyle name="Calculation 3 3 2 2 2 2 2" xfId="39369"/>
    <cellStyle name="Calculation 3 3 2 2 2 3" xfId="25282"/>
    <cellStyle name="Calculation 3 3 2 2 3" xfId="14641"/>
    <cellStyle name="Calculation 3 3 2 2 3 2" xfId="34709"/>
    <cellStyle name="Calculation 3 3 2 2 4" xfId="25281"/>
    <cellStyle name="Calculation 3 3 2 20" xfId="3426"/>
    <cellStyle name="Calculation 3 3 2 20 2" xfId="3427"/>
    <cellStyle name="Calculation 3 3 2 20 2 2" xfId="19302"/>
    <cellStyle name="Calculation 3 3 2 20 2 2 2" xfId="39370"/>
    <cellStyle name="Calculation 3 3 2 20 2 3" xfId="25284"/>
    <cellStyle name="Calculation 3 3 2 20 3" xfId="17374"/>
    <cellStyle name="Calculation 3 3 2 20 3 2" xfId="37442"/>
    <cellStyle name="Calculation 3 3 2 20 4" xfId="25283"/>
    <cellStyle name="Calculation 3 3 2 21" xfId="3428"/>
    <cellStyle name="Calculation 3 3 2 21 2" xfId="3429"/>
    <cellStyle name="Calculation 3 3 2 21 2 2" xfId="19303"/>
    <cellStyle name="Calculation 3 3 2 21 2 2 2" xfId="39371"/>
    <cellStyle name="Calculation 3 3 2 21 2 3" xfId="25286"/>
    <cellStyle name="Calculation 3 3 2 21 3" xfId="18367"/>
    <cellStyle name="Calculation 3 3 2 21 3 2" xfId="38435"/>
    <cellStyle name="Calculation 3 3 2 21 4" xfId="25285"/>
    <cellStyle name="Calculation 3 3 2 22" xfId="3430"/>
    <cellStyle name="Calculation 3 3 2 22 2" xfId="3431"/>
    <cellStyle name="Calculation 3 3 2 22 2 2" xfId="19304"/>
    <cellStyle name="Calculation 3 3 2 22 2 2 2" xfId="39372"/>
    <cellStyle name="Calculation 3 3 2 22 2 3" xfId="25288"/>
    <cellStyle name="Calculation 3 3 2 22 3" xfId="18511"/>
    <cellStyle name="Calculation 3 3 2 22 3 2" xfId="38579"/>
    <cellStyle name="Calculation 3 3 2 22 4" xfId="25287"/>
    <cellStyle name="Calculation 3 3 2 23" xfId="3432"/>
    <cellStyle name="Calculation 3 3 2 23 2" xfId="3433"/>
    <cellStyle name="Calculation 3 3 2 23 2 2" xfId="19305"/>
    <cellStyle name="Calculation 3 3 2 23 2 2 2" xfId="39373"/>
    <cellStyle name="Calculation 3 3 2 23 2 3" xfId="25290"/>
    <cellStyle name="Calculation 3 3 2 23 3" xfId="18622"/>
    <cellStyle name="Calculation 3 3 2 23 3 2" xfId="38690"/>
    <cellStyle name="Calculation 3 3 2 23 4" xfId="25289"/>
    <cellStyle name="Calculation 3 3 2 24" xfId="3434"/>
    <cellStyle name="Calculation 3 3 2 24 2" xfId="3435"/>
    <cellStyle name="Calculation 3 3 2 24 2 2" xfId="19306"/>
    <cellStyle name="Calculation 3 3 2 24 2 2 2" xfId="39374"/>
    <cellStyle name="Calculation 3 3 2 24 2 3" xfId="25292"/>
    <cellStyle name="Calculation 3 3 2 24 3" xfId="18722"/>
    <cellStyle name="Calculation 3 3 2 24 3 2" xfId="38790"/>
    <cellStyle name="Calculation 3 3 2 24 4" xfId="25291"/>
    <cellStyle name="Calculation 3 3 2 25" xfId="3436"/>
    <cellStyle name="Calculation 3 3 2 25 2" xfId="3437"/>
    <cellStyle name="Calculation 3 3 2 25 2 2" xfId="19307"/>
    <cellStyle name="Calculation 3 3 2 25 2 2 2" xfId="39375"/>
    <cellStyle name="Calculation 3 3 2 25 2 3" xfId="25294"/>
    <cellStyle name="Calculation 3 3 2 25 3" xfId="18822"/>
    <cellStyle name="Calculation 3 3 2 25 3 2" xfId="38890"/>
    <cellStyle name="Calculation 3 3 2 25 4" xfId="25293"/>
    <cellStyle name="Calculation 3 3 2 26" xfId="3438"/>
    <cellStyle name="Calculation 3 3 2 26 2" xfId="19290"/>
    <cellStyle name="Calculation 3 3 2 26 2 2" xfId="39358"/>
    <cellStyle name="Calculation 3 3 2 26 3" xfId="25295"/>
    <cellStyle name="Calculation 3 3 2 27" xfId="14121"/>
    <cellStyle name="Calculation 3 3 2 27 2" xfId="34189"/>
    <cellStyle name="Calculation 3 3 2 28" xfId="25260"/>
    <cellStyle name="Calculation 3 3 2 3" xfId="3439"/>
    <cellStyle name="Calculation 3 3 2 3 2" xfId="3440"/>
    <cellStyle name="Calculation 3 3 2 3 2 2" xfId="19308"/>
    <cellStyle name="Calculation 3 3 2 3 2 2 2" xfId="39376"/>
    <cellStyle name="Calculation 3 3 2 3 2 3" xfId="25297"/>
    <cellStyle name="Calculation 3 3 2 3 3" xfId="14760"/>
    <cellStyle name="Calculation 3 3 2 3 3 2" xfId="34828"/>
    <cellStyle name="Calculation 3 3 2 3 4" xfId="25296"/>
    <cellStyle name="Calculation 3 3 2 4" xfId="3441"/>
    <cellStyle name="Calculation 3 3 2 4 2" xfId="3442"/>
    <cellStyle name="Calculation 3 3 2 4 2 2" xfId="19309"/>
    <cellStyle name="Calculation 3 3 2 4 2 2 2" xfId="39377"/>
    <cellStyle name="Calculation 3 3 2 4 2 3" xfId="25299"/>
    <cellStyle name="Calculation 3 3 2 4 3" xfId="14879"/>
    <cellStyle name="Calculation 3 3 2 4 3 2" xfId="34947"/>
    <cellStyle name="Calculation 3 3 2 4 4" xfId="25298"/>
    <cellStyle name="Calculation 3 3 2 5" xfId="3443"/>
    <cellStyle name="Calculation 3 3 2 5 2" xfId="3444"/>
    <cellStyle name="Calculation 3 3 2 5 2 2" xfId="19310"/>
    <cellStyle name="Calculation 3 3 2 5 2 2 2" xfId="39378"/>
    <cellStyle name="Calculation 3 3 2 5 2 3" xfId="25301"/>
    <cellStyle name="Calculation 3 3 2 5 3" xfId="15048"/>
    <cellStyle name="Calculation 3 3 2 5 3 2" xfId="35116"/>
    <cellStyle name="Calculation 3 3 2 5 4" xfId="25300"/>
    <cellStyle name="Calculation 3 3 2 6" xfId="3445"/>
    <cellStyle name="Calculation 3 3 2 6 2" xfId="3446"/>
    <cellStyle name="Calculation 3 3 2 6 2 2" xfId="19311"/>
    <cellStyle name="Calculation 3 3 2 6 2 2 2" xfId="39379"/>
    <cellStyle name="Calculation 3 3 2 6 2 3" xfId="25303"/>
    <cellStyle name="Calculation 3 3 2 6 3" xfId="14859"/>
    <cellStyle name="Calculation 3 3 2 6 3 2" xfId="34927"/>
    <cellStyle name="Calculation 3 3 2 6 4" xfId="25302"/>
    <cellStyle name="Calculation 3 3 2 7" xfId="3447"/>
    <cellStyle name="Calculation 3 3 2 7 2" xfId="3448"/>
    <cellStyle name="Calculation 3 3 2 7 2 2" xfId="19312"/>
    <cellStyle name="Calculation 3 3 2 7 2 2 2" xfId="39380"/>
    <cellStyle name="Calculation 3 3 2 7 2 3" xfId="25305"/>
    <cellStyle name="Calculation 3 3 2 7 3" xfId="15191"/>
    <cellStyle name="Calculation 3 3 2 7 3 2" xfId="35259"/>
    <cellStyle name="Calculation 3 3 2 7 4" xfId="25304"/>
    <cellStyle name="Calculation 3 3 2 8" xfId="3449"/>
    <cellStyle name="Calculation 3 3 2 8 2" xfId="3450"/>
    <cellStyle name="Calculation 3 3 2 8 2 2" xfId="19313"/>
    <cellStyle name="Calculation 3 3 2 8 2 2 2" xfId="39381"/>
    <cellStyle name="Calculation 3 3 2 8 2 3" xfId="25307"/>
    <cellStyle name="Calculation 3 3 2 8 3" xfId="16545"/>
    <cellStyle name="Calculation 3 3 2 8 3 2" xfId="36613"/>
    <cellStyle name="Calculation 3 3 2 8 4" xfId="25306"/>
    <cellStyle name="Calculation 3 3 2 9" xfId="3451"/>
    <cellStyle name="Calculation 3 3 2 9 2" xfId="3452"/>
    <cellStyle name="Calculation 3 3 2 9 2 2" xfId="19314"/>
    <cellStyle name="Calculation 3 3 2 9 2 2 2" xfId="39382"/>
    <cellStyle name="Calculation 3 3 2 9 2 3" xfId="25309"/>
    <cellStyle name="Calculation 3 3 2 9 3" xfId="16749"/>
    <cellStyle name="Calculation 3 3 2 9 3 2" xfId="36817"/>
    <cellStyle name="Calculation 3 3 2 9 4" xfId="25308"/>
    <cellStyle name="Calculation 3 3 20" xfId="3453"/>
    <cellStyle name="Calculation 3 3 20 2" xfId="3454"/>
    <cellStyle name="Calculation 3 3 20 2 2" xfId="19315"/>
    <cellStyle name="Calculation 3 3 20 2 2 2" xfId="39383"/>
    <cellStyle name="Calculation 3 3 20 2 3" xfId="25311"/>
    <cellStyle name="Calculation 3 3 20 3" xfId="15952"/>
    <cellStyle name="Calculation 3 3 20 3 2" xfId="36020"/>
    <cellStyle name="Calculation 3 3 20 4" xfId="25310"/>
    <cellStyle name="Calculation 3 3 21" xfId="3455"/>
    <cellStyle name="Calculation 3 3 21 2" xfId="3456"/>
    <cellStyle name="Calculation 3 3 21 2 2" xfId="19316"/>
    <cellStyle name="Calculation 3 3 21 2 2 2" xfId="39384"/>
    <cellStyle name="Calculation 3 3 21 2 3" xfId="25313"/>
    <cellStyle name="Calculation 3 3 21 3" xfId="15749"/>
    <cellStyle name="Calculation 3 3 21 3 2" xfId="35817"/>
    <cellStyle name="Calculation 3 3 21 4" xfId="25312"/>
    <cellStyle name="Calculation 3 3 22" xfId="3457"/>
    <cellStyle name="Calculation 3 3 22 2" xfId="3458"/>
    <cellStyle name="Calculation 3 3 22 2 2" xfId="19317"/>
    <cellStyle name="Calculation 3 3 22 2 2 2" xfId="39385"/>
    <cellStyle name="Calculation 3 3 22 2 3" xfId="25315"/>
    <cellStyle name="Calculation 3 3 22 3" xfId="15874"/>
    <cellStyle name="Calculation 3 3 22 3 2" xfId="35942"/>
    <cellStyle name="Calculation 3 3 22 4" xfId="25314"/>
    <cellStyle name="Calculation 3 3 23" xfId="3459"/>
    <cellStyle name="Calculation 3 3 23 2" xfId="3460"/>
    <cellStyle name="Calculation 3 3 23 2 2" xfId="19318"/>
    <cellStyle name="Calculation 3 3 23 2 2 2" xfId="39386"/>
    <cellStyle name="Calculation 3 3 23 2 3" xfId="25317"/>
    <cellStyle name="Calculation 3 3 23 3" xfId="16255"/>
    <cellStyle name="Calculation 3 3 23 3 2" xfId="36323"/>
    <cellStyle name="Calculation 3 3 23 4" xfId="25316"/>
    <cellStyle name="Calculation 3 3 24" xfId="3461"/>
    <cellStyle name="Calculation 3 3 24 2" xfId="3462"/>
    <cellStyle name="Calculation 3 3 24 2 2" xfId="19319"/>
    <cellStyle name="Calculation 3 3 24 2 2 2" xfId="39387"/>
    <cellStyle name="Calculation 3 3 24 2 3" xfId="25319"/>
    <cellStyle name="Calculation 3 3 24 3" xfId="15805"/>
    <cellStyle name="Calculation 3 3 24 3 2" xfId="35873"/>
    <cellStyle name="Calculation 3 3 24 4" xfId="25318"/>
    <cellStyle name="Calculation 3 3 25" xfId="3463"/>
    <cellStyle name="Calculation 3 3 25 2" xfId="3464"/>
    <cellStyle name="Calculation 3 3 25 2 2" xfId="19320"/>
    <cellStyle name="Calculation 3 3 25 2 2 2" xfId="39388"/>
    <cellStyle name="Calculation 3 3 25 2 3" xfId="25321"/>
    <cellStyle name="Calculation 3 3 25 3" xfId="15804"/>
    <cellStyle name="Calculation 3 3 25 3 2" xfId="35872"/>
    <cellStyle name="Calculation 3 3 25 4" xfId="25320"/>
    <cellStyle name="Calculation 3 3 26" xfId="3465"/>
    <cellStyle name="Calculation 3 3 26 2" xfId="3466"/>
    <cellStyle name="Calculation 3 3 26 2 2" xfId="19321"/>
    <cellStyle name="Calculation 3 3 26 2 2 2" xfId="39389"/>
    <cellStyle name="Calculation 3 3 26 2 3" xfId="25323"/>
    <cellStyle name="Calculation 3 3 26 3" xfId="16221"/>
    <cellStyle name="Calculation 3 3 26 3 2" xfId="36289"/>
    <cellStyle name="Calculation 3 3 26 4" xfId="25322"/>
    <cellStyle name="Calculation 3 3 27" xfId="3467"/>
    <cellStyle name="Calculation 3 3 27 2" xfId="3468"/>
    <cellStyle name="Calculation 3 3 27 2 2" xfId="19322"/>
    <cellStyle name="Calculation 3 3 27 2 2 2" xfId="39390"/>
    <cellStyle name="Calculation 3 3 27 2 3" xfId="25325"/>
    <cellStyle name="Calculation 3 3 27 3" xfId="15619"/>
    <cellStyle name="Calculation 3 3 27 3 2" xfId="35687"/>
    <cellStyle name="Calculation 3 3 27 4" xfId="25324"/>
    <cellStyle name="Calculation 3 3 28" xfId="3469"/>
    <cellStyle name="Calculation 3 3 28 2" xfId="19279"/>
    <cellStyle name="Calculation 3 3 28 2 2" xfId="39347"/>
    <cellStyle name="Calculation 3 3 28 3" xfId="25326"/>
    <cellStyle name="Calculation 3 3 29" xfId="13858"/>
    <cellStyle name="Calculation 3 3 29 2" xfId="33926"/>
    <cellStyle name="Calculation 3 3 3" xfId="3470"/>
    <cellStyle name="Calculation 3 3 3 2" xfId="3471"/>
    <cellStyle name="Calculation 3 3 3 2 2" xfId="19323"/>
    <cellStyle name="Calculation 3 3 3 2 2 2" xfId="39391"/>
    <cellStyle name="Calculation 3 3 3 2 3" xfId="25328"/>
    <cellStyle name="Calculation 3 3 3 3" xfId="14051"/>
    <cellStyle name="Calculation 3 3 3 3 2" xfId="34119"/>
    <cellStyle name="Calculation 3 3 3 4" xfId="25327"/>
    <cellStyle name="Calculation 3 3 30" xfId="25239"/>
    <cellStyle name="Calculation 3 3 4" xfId="3472"/>
    <cellStyle name="Calculation 3 3 4 2" xfId="3473"/>
    <cellStyle name="Calculation 3 3 4 2 2" xfId="19324"/>
    <cellStyle name="Calculation 3 3 4 2 2 2" xfId="39392"/>
    <cellStyle name="Calculation 3 3 4 2 3" xfId="25330"/>
    <cellStyle name="Calculation 3 3 4 3" xfId="13997"/>
    <cellStyle name="Calculation 3 3 4 3 2" xfId="34065"/>
    <cellStyle name="Calculation 3 3 4 4" xfId="25329"/>
    <cellStyle name="Calculation 3 3 5" xfId="3474"/>
    <cellStyle name="Calculation 3 3 5 2" xfId="3475"/>
    <cellStyle name="Calculation 3 3 5 2 2" xfId="19325"/>
    <cellStyle name="Calculation 3 3 5 2 2 2" xfId="39393"/>
    <cellStyle name="Calculation 3 3 5 2 3" xfId="25332"/>
    <cellStyle name="Calculation 3 3 5 3" xfId="14162"/>
    <cellStyle name="Calculation 3 3 5 3 2" xfId="34230"/>
    <cellStyle name="Calculation 3 3 5 4" xfId="25331"/>
    <cellStyle name="Calculation 3 3 6" xfId="3476"/>
    <cellStyle name="Calculation 3 3 6 2" xfId="3477"/>
    <cellStyle name="Calculation 3 3 6 2 2" xfId="19326"/>
    <cellStyle name="Calculation 3 3 6 2 2 2" xfId="39394"/>
    <cellStyle name="Calculation 3 3 6 2 3" xfId="25334"/>
    <cellStyle name="Calculation 3 3 6 3" xfId="14042"/>
    <cellStyle name="Calculation 3 3 6 3 2" xfId="34110"/>
    <cellStyle name="Calculation 3 3 6 4" xfId="25333"/>
    <cellStyle name="Calculation 3 3 7" xfId="3478"/>
    <cellStyle name="Calculation 3 3 7 2" xfId="3479"/>
    <cellStyle name="Calculation 3 3 7 2 2" xfId="19327"/>
    <cellStyle name="Calculation 3 3 7 2 2 2" xfId="39395"/>
    <cellStyle name="Calculation 3 3 7 2 3" xfId="25336"/>
    <cellStyle name="Calculation 3 3 7 3" xfId="14160"/>
    <cellStyle name="Calculation 3 3 7 3 2" xfId="34228"/>
    <cellStyle name="Calculation 3 3 7 4" xfId="25335"/>
    <cellStyle name="Calculation 3 3 8" xfId="3480"/>
    <cellStyle name="Calculation 3 3 8 2" xfId="3481"/>
    <cellStyle name="Calculation 3 3 8 2 2" xfId="19328"/>
    <cellStyle name="Calculation 3 3 8 2 2 2" xfId="39396"/>
    <cellStyle name="Calculation 3 3 8 2 3" xfId="25338"/>
    <cellStyle name="Calculation 3 3 8 3" xfId="14563"/>
    <cellStyle name="Calculation 3 3 8 3 2" xfId="34631"/>
    <cellStyle name="Calculation 3 3 8 4" xfId="25337"/>
    <cellStyle name="Calculation 3 3 9" xfId="3482"/>
    <cellStyle name="Calculation 3 3 9 2" xfId="3483"/>
    <cellStyle name="Calculation 3 3 9 2 2" xfId="19329"/>
    <cellStyle name="Calculation 3 3 9 2 2 2" xfId="39397"/>
    <cellStyle name="Calculation 3 3 9 2 3" xfId="25340"/>
    <cellStyle name="Calculation 3 3 9 3" xfId="14059"/>
    <cellStyle name="Calculation 3 3 9 3 2" xfId="34127"/>
    <cellStyle name="Calculation 3 3 9 4" xfId="25339"/>
    <cellStyle name="Calculation 3 30" xfId="3484"/>
    <cellStyle name="Calculation 3 30 2" xfId="19207"/>
    <cellStyle name="Calculation 3 30 2 2" xfId="39275"/>
    <cellStyle name="Calculation 3 30 3" xfId="25341"/>
    <cellStyle name="Calculation 3 31" xfId="13856"/>
    <cellStyle name="Calculation 3 31 2" xfId="33924"/>
    <cellStyle name="Calculation 3 32" xfId="25096"/>
    <cellStyle name="Calculation 3 4" xfId="3485"/>
    <cellStyle name="Calculation 3 4 10" xfId="3486"/>
    <cellStyle name="Calculation 3 4 10 2" xfId="3487"/>
    <cellStyle name="Calculation 3 4 10 2 2" xfId="19331"/>
    <cellStyle name="Calculation 3 4 10 2 2 2" xfId="39399"/>
    <cellStyle name="Calculation 3 4 10 2 3" xfId="25344"/>
    <cellStyle name="Calculation 3 4 10 3" xfId="16918"/>
    <cellStyle name="Calculation 3 4 10 3 2" xfId="36986"/>
    <cellStyle name="Calculation 3 4 10 4" xfId="25343"/>
    <cellStyle name="Calculation 3 4 11" xfId="3488"/>
    <cellStyle name="Calculation 3 4 11 2" xfId="3489"/>
    <cellStyle name="Calculation 3 4 11 2 2" xfId="19332"/>
    <cellStyle name="Calculation 3 4 11 2 2 2" xfId="39400"/>
    <cellStyle name="Calculation 3 4 11 2 3" xfId="25346"/>
    <cellStyle name="Calculation 3 4 11 3" xfId="17053"/>
    <cellStyle name="Calculation 3 4 11 3 2" xfId="37121"/>
    <cellStyle name="Calculation 3 4 11 4" xfId="25345"/>
    <cellStyle name="Calculation 3 4 12" xfId="3490"/>
    <cellStyle name="Calculation 3 4 12 2" xfId="3491"/>
    <cellStyle name="Calculation 3 4 12 2 2" xfId="19333"/>
    <cellStyle name="Calculation 3 4 12 2 2 2" xfId="39401"/>
    <cellStyle name="Calculation 3 4 12 2 3" xfId="25348"/>
    <cellStyle name="Calculation 3 4 12 3" xfId="17225"/>
    <cellStyle name="Calculation 3 4 12 3 2" xfId="37293"/>
    <cellStyle name="Calculation 3 4 12 4" xfId="25347"/>
    <cellStyle name="Calculation 3 4 13" xfId="3492"/>
    <cellStyle name="Calculation 3 4 13 2" xfId="3493"/>
    <cellStyle name="Calculation 3 4 13 2 2" xfId="19334"/>
    <cellStyle name="Calculation 3 4 13 2 2 2" xfId="39402"/>
    <cellStyle name="Calculation 3 4 13 2 3" xfId="25350"/>
    <cellStyle name="Calculation 3 4 13 3" xfId="17395"/>
    <cellStyle name="Calculation 3 4 13 3 2" xfId="37463"/>
    <cellStyle name="Calculation 3 4 13 4" xfId="25349"/>
    <cellStyle name="Calculation 3 4 14" xfId="3494"/>
    <cellStyle name="Calculation 3 4 14 2" xfId="3495"/>
    <cellStyle name="Calculation 3 4 14 2 2" xfId="19335"/>
    <cellStyle name="Calculation 3 4 14 2 2 2" xfId="39403"/>
    <cellStyle name="Calculation 3 4 14 2 3" xfId="25352"/>
    <cellStyle name="Calculation 3 4 14 3" xfId="17523"/>
    <cellStyle name="Calculation 3 4 14 3 2" xfId="37591"/>
    <cellStyle name="Calculation 3 4 14 4" xfId="25351"/>
    <cellStyle name="Calculation 3 4 15" xfId="3496"/>
    <cellStyle name="Calculation 3 4 15 2" xfId="3497"/>
    <cellStyle name="Calculation 3 4 15 2 2" xfId="19336"/>
    <cellStyle name="Calculation 3 4 15 2 2 2" xfId="39404"/>
    <cellStyle name="Calculation 3 4 15 2 3" xfId="25354"/>
    <cellStyle name="Calculation 3 4 15 3" xfId="17631"/>
    <cellStyle name="Calculation 3 4 15 3 2" xfId="37699"/>
    <cellStyle name="Calculation 3 4 15 4" xfId="25353"/>
    <cellStyle name="Calculation 3 4 16" xfId="3498"/>
    <cellStyle name="Calculation 3 4 16 2" xfId="3499"/>
    <cellStyle name="Calculation 3 4 16 2 2" xfId="19337"/>
    <cellStyle name="Calculation 3 4 16 2 2 2" xfId="39405"/>
    <cellStyle name="Calculation 3 4 16 2 3" xfId="25356"/>
    <cellStyle name="Calculation 3 4 16 3" xfId="17774"/>
    <cellStyle name="Calculation 3 4 16 3 2" xfId="37842"/>
    <cellStyle name="Calculation 3 4 16 4" xfId="25355"/>
    <cellStyle name="Calculation 3 4 17" xfId="3500"/>
    <cellStyle name="Calculation 3 4 17 2" xfId="3501"/>
    <cellStyle name="Calculation 3 4 17 2 2" xfId="19338"/>
    <cellStyle name="Calculation 3 4 17 2 2 2" xfId="39406"/>
    <cellStyle name="Calculation 3 4 17 2 3" xfId="25358"/>
    <cellStyle name="Calculation 3 4 17 3" xfId="17903"/>
    <cellStyle name="Calculation 3 4 17 3 2" xfId="37971"/>
    <cellStyle name="Calculation 3 4 17 4" xfId="25357"/>
    <cellStyle name="Calculation 3 4 18" xfId="3502"/>
    <cellStyle name="Calculation 3 4 18 2" xfId="3503"/>
    <cellStyle name="Calculation 3 4 18 2 2" xfId="19339"/>
    <cellStyle name="Calculation 3 4 18 2 2 2" xfId="39407"/>
    <cellStyle name="Calculation 3 4 18 2 3" xfId="25360"/>
    <cellStyle name="Calculation 3 4 18 3" xfId="18053"/>
    <cellStyle name="Calculation 3 4 18 3 2" xfId="38121"/>
    <cellStyle name="Calculation 3 4 18 4" xfId="25359"/>
    <cellStyle name="Calculation 3 4 19" xfId="3504"/>
    <cellStyle name="Calculation 3 4 19 2" xfId="3505"/>
    <cellStyle name="Calculation 3 4 19 2 2" xfId="19340"/>
    <cellStyle name="Calculation 3 4 19 2 2 2" xfId="39408"/>
    <cellStyle name="Calculation 3 4 19 2 3" xfId="25362"/>
    <cellStyle name="Calculation 3 4 19 3" xfId="18170"/>
    <cellStyle name="Calculation 3 4 19 3 2" xfId="38238"/>
    <cellStyle name="Calculation 3 4 19 4" xfId="25361"/>
    <cellStyle name="Calculation 3 4 2" xfId="3506"/>
    <cellStyle name="Calculation 3 4 2 2" xfId="3507"/>
    <cellStyle name="Calculation 3 4 2 2 2" xfId="19341"/>
    <cellStyle name="Calculation 3 4 2 2 2 2" xfId="39409"/>
    <cellStyle name="Calculation 3 4 2 2 3" xfId="25364"/>
    <cellStyle name="Calculation 3 4 2 3" xfId="14639"/>
    <cellStyle name="Calculation 3 4 2 3 2" xfId="34707"/>
    <cellStyle name="Calculation 3 4 2 4" xfId="25363"/>
    <cellStyle name="Calculation 3 4 20" xfId="3508"/>
    <cellStyle name="Calculation 3 4 20 2" xfId="3509"/>
    <cellStyle name="Calculation 3 4 20 2 2" xfId="19342"/>
    <cellStyle name="Calculation 3 4 20 2 2 2" xfId="39410"/>
    <cellStyle name="Calculation 3 4 20 2 3" xfId="25366"/>
    <cellStyle name="Calculation 3 4 20 3" xfId="15876"/>
    <cellStyle name="Calculation 3 4 20 3 2" xfId="35944"/>
    <cellStyle name="Calculation 3 4 20 4" xfId="25365"/>
    <cellStyle name="Calculation 3 4 21" xfId="3510"/>
    <cellStyle name="Calculation 3 4 21 2" xfId="3511"/>
    <cellStyle name="Calculation 3 4 21 2 2" xfId="19343"/>
    <cellStyle name="Calculation 3 4 21 2 2 2" xfId="39411"/>
    <cellStyle name="Calculation 3 4 21 2 3" xfId="25368"/>
    <cellStyle name="Calculation 3 4 21 3" xfId="18365"/>
    <cellStyle name="Calculation 3 4 21 3 2" xfId="38433"/>
    <cellStyle name="Calculation 3 4 21 4" xfId="25367"/>
    <cellStyle name="Calculation 3 4 22" xfId="3512"/>
    <cellStyle name="Calculation 3 4 22 2" xfId="3513"/>
    <cellStyle name="Calculation 3 4 22 2 2" xfId="19344"/>
    <cellStyle name="Calculation 3 4 22 2 2 2" xfId="39412"/>
    <cellStyle name="Calculation 3 4 22 2 3" xfId="25370"/>
    <cellStyle name="Calculation 3 4 22 3" xfId="18509"/>
    <cellStyle name="Calculation 3 4 22 3 2" xfId="38577"/>
    <cellStyle name="Calculation 3 4 22 4" xfId="25369"/>
    <cellStyle name="Calculation 3 4 23" xfId="3514"/>
    <cellStyle name="Calculation 3 4 23 2" xfId="3515"/>
    <cellStyle name="Calculation 3 4 23 2 2" xfId="19345"/>
    <cellStyle name="Calculation 3 4 23 2 2 2" xfId="39413"/>
    <cellStyle name="Calculation 3 4 23 2 3" xfId="25372"/>
    <cellStyle name="Calculation 3 4 23 3" xfId="18620"/>
    <cellStyle name="Calculation 3 4 23 3 2" xfId="38688"/>
    <cellStyle name="Calculation 3 4 23 4" xfId="25371"/>
    <cellStyle name="Calculation 3 4 24" xfId="3516"/>
    <cellStyle name="Calculation 3 4 24 2" xfId="3517"/>
    <cellStyle name="Calculation 3 4 24 2 2" xfId="19346"/>
    <cellStyle name="Calculation 3 4 24 2 2 2" xfId="39414"/>
    <cellStyle name="Calculation 3 4 24 2 3" xfId="25374"/>
    <cellStyle name="Calculation 3 4 24 3" xfId="18720"/>
    <cellStyle name="Calculation 3 4 24 3 2" xfId="38788"/>
    <cellStyle name="Calculation 3 4 24 4" xfId="25373"/>
    <cellStyle name="Calculation 3 4 25" xfId="3518"/>
    <cellStyle name="Calculation 3 4 25 2" xfId="3519"/>
    <cellStyle name="Calculation 3 4 25 2 2" xfId="19347"/>
    <cellStyle name="Calculation 3 4 25 2 2 2" xfId="39415"/>
    <cellStyle name="Calculation 3 4 25 2 3" xfId="25376"/>
    <cellStyle name="Calculation 3 4 25 3" xfId="18820"/>
    <cellStyle name="Calculation 3 4 25 3 2" xfId="38888"/>
    <cellStyle name="Calculation 3 4 25 4" xfId="25375"/>
    <cellStyle name="Calculation 3 4 26" xfId="3520"/>
    <cellStyle name="Calculation 3 4 26 2" xfId="19330"/>
    <cellStyle name="Calculation 3 4 26 2 2" xfId="39398"/>
    <cellStyle name="Calculation 3 4 26 3" xfId="25377"/>
    <cellStyle name="Calculation 3 4 27" xfId="14506"/>
    <cellStyle name="Calculation 3 4 27 2" xfId="34574"/>
    <cellStyle name="Calculation 3 4 28" xfId="25342"/>
    <cellStyle name="Calculation 3 4 3" xfId="3521"/>
    <cellStyle name="Calculation 3 4 3 2" xfId="3522"/>
    <cellStyle name="Calculation 3 4 3 2 2" xfId="19348"/>
    <cellStyle name="Calculation 3 4 3 2 2 2" xfId="39416"/>
    <cellStyle name="Calculation 3 4 3 2 3" xfId="25379"/>
    <cellStyle name="Calculation 3 4 3 3" xfId="14758"/>
    <cellStyle name="Calculation 3 4 3 3 2" xfId="34826"/>
    <cellStyle name="Calculation 3 4 3 4" xfId="25378"/>
    <cellStyle name="Calculation 3 4 4" xfId="3523"/>
    <cellStyle name="Calculation 3 4 4 2" xfId="3524"/>
    <cellStyle name="Calculation 3 4 4 2 2" xfId="19349"/>
    <cellStyle name="Calculation 3 4 4 2 2 2" xfId="39417"/>
    <cellStyle name="Calculation 3 4 4 2 3" xfId="25381"/>
    <cellStyle name="Calculation 3 4 4 3" xfId="14877"/>
    <cellStyle name="Calculation 3 4 4 3 2" xfId="34945"/>
    <cellStyle name="Calculation 3 4 4 4" xfId="25380"/>
    <cellStyle name="Calculation 3 4 5" xfId="3525"/>
    <cellStyle name="Calculation 3 4 5 2" xfId="3526"/>
    <cellStyle name="Calculation 3 4 5 2 2" xfId="19350"/>
    <cellStyle name="Calculation 3 4 5 2 2 2" xfId="39418"/>
    <cellStyle name="Calculation 3 4 5 2 3" xfId="25383"/>
    <cellStyle name="Calculation 3 4 5 3" xfId="15046"/>
    <cellStyle name="Calculation 3 4 5 3 2" xfId="35114"/>
    <cellStyle name="Calculation 3 4 5 4" xfId="25382"/>
    <cellStyle name="Calculation 3 4 6" xfId="3527"/>
    <cellStyle name="Calculation 3 4 6 2" xfId="3528"/>
    <cellStyle name="Calculation 3 4 6 2 2" xfId="19351"/>
    <cellStyle name="Calculation 3 4 6 2 2 2" xfId="39419"/>
    <cellStyle name="Calculation 3 4 6 2 3" xfId="25385"/>
    <cellStyle name="Calculation 3 4 6 3" xfId="14120"/>
    <cellStyle name="Calculation 3 4 6 3 2" xfId="34188"/>
    <cellStyle name="Calculation 3 4 6 4" xfId="25384"/>
    <cellStyle name="Calculation 3 4 7" xfId="3529"/>
    <cellStyle name="Calculation 3 4 7 2" xfId="3530"/>
    <cellStyle name="Calculation 3 4 7 2 2" xfId="19352"/>
    <cellStyle name="Calculation 3 4 7 2 2 2" xfId="39420"/>
    <cellStyle name="Calculation 3 4 7 2 3" xfId="25387"/>
    <cellStyle name="Calculation 3 4 7 3" xfId="15189"/>
    <cellStyle name="Calculation 3 4 7 3 2" xfId="35257"/>
    <cellStyle name="Calculation 3 4 7 4" xfId="25386"/>
    <cellStyle name="Calculation 3 4 8" xfId="3531"/>
    <cellStyle name="Calculation 3 4 8 2" xfId="3532"/>
    <cellStyle name="Calculation 3 4 8 2 2" xfId="19353"/>
    <cellStyle name="Calculation 3 4 8 2 2 2" xfId="39421"/>
    <cellStyle name="Calculation 3 4 8 2 3" xfId="25389"/>
    <cellStyle name="Calculation 3 4 8 3" xfId="16543"/>
    <cellStyle name="Calculation 3 4 8 3 2" xfId="36611"/>
    <cellStyle name="Calculation 3 4 8 4" xfId="25388"/>
    <cellStyle name="Calculation 3 4 9" xfId="3533"/>
    <cellStyle name="Calculation 3 4 9 2" xfId="3534"/>
    <cellStyle name="Calculation 3 4 9 2 2" xfId="19354"/>
    <cellStyle name="Calculation 3 4 9 2 2 2" xfId="39422"/>
    <cellStyle name="Calculation 3 4 9 2 3" xfId="25391"/>
    <cellStyle name="Calculation 3 4 9 3" xfId="16747"/>
    <cellStyle name="Calculation 3 4 9 3 2" xfId="36815"/>
    <cellStyle name="Calculation 3 4 9 4" xfId="25390"/>
    <cellStyle name="Calculation 3 5" xfId="3535"/>
    <cellStyle name="Calculation 3 5 2" xfId="3536"/>
    <cellStyle name="Calculation 3 5 2 2" xfId="19355"/>
    <cellStyle name="Calculation 3 5 2 2 2" xfId="39423"/>
    <cellStyle name="Calculation 3 5 2 3" xfId="25393"/>
    <cellStyle name="Calculation 3 5 3" xfId="14213"/>
    <cellStyle name="Calculation 3 5 3 2" xfId="34281"/>
    <cellStyle name="Calculation 3 5 4" xfId="25392"/>
    <cellStyle name="Calculation 3 6" xfId="3537"/>
    <cellStyle name="Calculation 3 6 2" xfId="3538"/>
    <cellStyle name="Calculation 3 6 2 2" xfId="19356"/>
    <cellStyle name="Calculation 3 6 2 2 2" xfId="39424"/>
    <cellStyle name="Calculation 3 6 2 3" xfId="25395"/>
    <cellStyle name="Calculation 3 6 3" xfId="14192"/>
    <cellStyle name="Calculation 3 6 3 2" xfId="34260"/>
    <cellStyle name="Calculation 3 6 4" xfId="25394"/>
    <cellStyle name="Calculation 3 7" xfId="3539"/>
    <cellStyle name="Calculation 3 7 2" xfId="3540"/>
    <cellStyle name="Calculation 3 7 2 2" xfId="19357"/>
    <cellStyle name="Calculation 3 7 2 2 2" xfId="39425"/>
    <cellStyle name="Calculation 3 7 2 3" xfId="25397"/>
    <cellStyle name="Calculation 3 7 3" xfId="14078"/>
    <cellStyle name="Calculation 3 7 3 2" xfId="34146"/>
    <cellStyle name="Calculation 3 7 4" xfId="25396"/>
    <cellStyle name="Calculation 3 8" xfId="3541"/>
    <cellStyle name="Calculation 3 8 2" xfId="3542"/>
    <cellStyle name="Calculation 3 8 2 2" xfId="19358"/>
    <cellStyle name="Calculation 3 8 2 2 2" xfId="39426"/>
    <cellStyle name="Calculation 3 8 2 3" xfId="25399"/>
    <cellStyle name="Calculation 3 8 3" xfId="14281"/>
    <cellStyle name="Calculation 3 8 3 2" xfId="34349"/>
    <cellStyle name="Calculation 3 8 4" xfId="25398"/>
    <cellStyle name="Calculation 3 9" xfId="3543"/>
    <cellStyle name="Calculation 3 9 2" xfId="3544"/>
    <cellStyle name="Calculation 3 9 2 2" xfId="19359"/>
    <cellStyle name="Calculation 3 9 2 2 2" xfId="39427"/>
    <cellStyle name="Calculation 3 9 2 3" xfId="25401"/>
    <cellStyle name="Calculation 3 9 3" xfId="14111"/>
    <cellStyle name="Calculation 3 9 3 2" xfId="34179"/>
    <cellStyle name="Calculation 3 9 4" xfId="25400"/>
    <cellStyle name="Calculation 3_2011-2012" xfId="3545"/>
    <cellStyle name="Calculation 4" xfId="3546"/>
    <cellStyle name="Calculation 4 10" xfId="3547"/>
    <cellStyle name="Calculation 4 10 2" xfId="3548"/>
    <cellStyle name="Calculation 4 10 2 2" xfId="19361"/>
    <cellStyle name="Calculation 4 10 2 2 2" xfId="39429"/>
    <cellStyle name="Calculation 4 10 2 3" xfId="25404"/>
    <cellStyle name="Calculation 4 10 3" xfId="14776"/>
    <cellStyle name="Calculation 4 10 3 2" xfId="34844"/>
    <cellStyle name="Calculation 4 10 4" xfId="25403"/>
    <cellStyle name="Calculation 4 11" xfId="3549"/>
    <cellStyle name="Calculation 4 11 2" xfId="3550"/>
    <cellStyle name="Calculation 4 11 2 2" xfId="19362"/>
    <cellStyle name="Calculation 4 11 2 2 2" xfId="39430"/>
    <cellStyle name="Calculation 4 11 2 3" xfId="25406"/>
    <cellStyle name="Calculation 4 11 3" xfId="16144"/>
    <cellStyle name="Calculation 4 11 3 2" xfId="36212"/>
    <cellStyle name="Calculation 4 11 4" xfId="25405"/>
    <cellStyle name="Calculation 4 12" xfId="3551"/>
    <cellStyle name="Calculation 4 12 2" xfId="3552"/>
    <cellStyle name="Calculation 4 12 2 2" xfId="19363"/>
    <cellStyle name="Calculation 4 12 2 2 2" xfId="39431"/>
    <cellStyle name="Calculation 4 12 2 3" xfId="25408"/>
    <cellStyle name="Calculation 4 12 3" xfId="15631"/>
    <cellStyle name="Calculation 4 12 3 2" xfId="35699"/>
    <cellStyle name="Calculation 4 12 4" xfId="25407"/>
    <cellStyle name="Calculation 4 13" xfId="3553"/>
    <cellStyle name="Calculation 4 13 2" xfId="3554"/>
    <cellStyle name="Calculation 4 13 2 2" xfId="19364"/>
    <cellStyle name="Calculation 4 13 2 2 2" xfId="39432"/>
    <cellStyle name="Calculation 4 13 2 3" xfId="25410"/>
    <cellStyle name="Calculation 4 13 3" xfId="16208"/>
    <cellStyle name="Calculation 4 13 3 2" xfId="36276"/>
    <cellStyle name="Calculation 4 13 4" xfId="25409"/>
    <cellStyle name="Calculation 4 14" xfId="3555"/>
    <cellStyle name="Calculation 4 14 2" xfId="3556"/>
    <cellStyle name="Calculation 4 14 2 2" xfId="19365"/>
    <cellStyle name="Calculation 4 14 2 2 2" xfId="39433"/>
    <cellStyle name="Calculation 4 14 2 3" xfId="25412"/>
    <cellStyle name="Calculation 4 14 3" xfId="16731"/>
    <cellStyle name="Calculation 4 14 3 2" xfId="36799"/>
    <cellStyle name="Calculation 4 14 4" xfId="25411"/>
    <cellStyle name="Calculation 4 15" xfId="3557"/>
    <cellStyle name="Calculation 4 15 2" xfId="3558"/>
    <cellStyle name="Calculation 4 15 2 2" xfId="19366"/>
    <cellStyle name="Calculation 4 15 2 2 2" xfId="39434"/>
    <cellStyle name="Calculation 4 15 2 3" xfId="25414"/>
    <cellStyle name="Calculation 4 15 3" xfId="16393"/>
    <cellStyle name="Calculation 4 15 3 2" xfId="36461"/>
    <cellStyle name="Calculation 4 15 4" xfId="25413"/>
    <cellStyle name="Calculation 4 16" xfId="3559"/>
    <cellStyle name="Calculation 4 16 2" xfId="3560"/>
    <cellStyle name="Calculation 4 16 2 2" xfId="19367"/>
    <cellStyle name="Calculation 4 16 2 2 2" xfId="39435"/>
    <cellStyle name="Calculation 4 16 2 3" xfId="25416"/>
    <cellStyle name="Calculation 4 16 3" xfId="15524"/>
    <cellStyle name="Calculation 4 16 3 2" xfId="35592"/>
    <cellStyle name="Calculation 4 16 4" xfId="25415"/>
    <cellStyle name="Calculation 4 17" xfId="3561"/>
    <cellStyle name="Calculation 4 17 2" xfId="3562"/>
    <cellStyle name="Calculation 4 17 2 2" xfId="19368"/>
    <cellStyle name="Calculation 4 17 2 2 2" xfId="39436"/>
    <cellStyle name="Calculation 4 17 2 3" xfId="25418"/>
    <cellStyle name="Calculation 4 17 3" xfId="16335"/>
    <cellStyle name="Calculation 4 17 3 2" xfId="36403"/>
    <cellStyle name="Calculation 4 17 4" xfId="25417"/>
    <cellStyle name="Calculation 4 18" xfId="3563"/>
    <cellStyle name="Calculation 4 18 2" xfId="3564"/>
    <cellStyle name="Calculation 4 18 2 2" xfId="19369"/>
    <cellStyle name="Calculation 4 18 2 2 2" xfId="39437"/>
    <cellStyle name="Calculation 4 18 2 3" xfId="25420"/>
    <cellStyle name="Calculation 4 18 3" xfId="16110"/>
    <cellStyle name="Calculation 4 18 3 2" xfId="36178"/>
    <cellStyle name="Calculation 4 18 4" xfId="25419"/>
    <cellStyle name="Calculation 4 19" xfId="3565"/>
    <cellStyle name="Calculation 4 19 2" xfId="3566"/>
    <cellStyle name="Calculation 4 19 2 2" xfId="19370"/>
    <cellStyle name="Calculation 4 19 2 2 2" xfId="39438"/>
    <cellStyle name="Calculation 4 19 2 3" xfId="25422"/>
    <cellStyle name="Calculation 4 19 3" xfId="15885"/>
    <cellStyle name="Calculation 4 19 3 2" xfId="35953"/>
    <cellStyle name="Calculation 4 19 4" xfId="25421"/>
    <cellStyle name="Calculation 4 2" xfId="3567"/>
    <cellStyle name="Calculation 4 2 10" xfId="3568"/>
    <cellStyle name="Calculation 4 2 10 2" xfId="3569"/>
    <cellStyle name="Calculation 4 2 10 2 2" xfId="19372"/>
    <cellStyle name="Calculation 4 2 10 2 2 2" xfId="39440"/>
    <cellStyle name="Calculation 4 2 10 2 3" xfId="25425"/>
    <cellStyle name="Calculation 4 2 10 3" xfId="16145"/>
    <cellStyle name="Calculation 4 2 10 3 2" xfId="36213"/>
    <cellStyle name="Calculation 4 2 10 4" xfId="25424"/>
    <cellStyle name="Calculation 4 2 11" xfId="3570"/>
    <cellStyle name="Calculation 4 2 11 2" xfId="3571"/>
    <cellStyle name="Calculation 4 2 11 2 2" xfId="19373"/>
    <cellStyle name="Calculation 4 2 11 2 2 2" xfId="39441"/>
    <cellStyle name="Calculation 4 2 11 2 3" xfId="25427"/>
    <cellStyle name="Calculation 4 2 11 3" xfId="15630"/>
    <cellStyle name="Calculation 4 2 11 3 2" xfId="35698"/>
    <cellStyle name="Calculation 4 2 11 4" xfId="25426"/>
    <cellStyle name="Calculation 4 2 12" xfId="3572"/>
    <cellStyle name="Calculation 4 2 12 2" xfId="3573"/>
    <cellStyle name="Calculation 4 2 12 2 2" xfId="19374"/>
    <cellStyle name="Calculation 4 2 12 2 2 2" xfId="39442"/>
    <cellStyle name="Calculation 4 2 12 2 3" xfId="25429"/>
    <cellStyle name="Calculation 4 2 12 3" xfId="16209"/>
    <cellStyle name="Calculation 4 2 12 3 2" xfId="36277"/>
    <cellStyle name="Calculation 4 2 12 4" xfId="25428"/>
    <cellStyle name="Calculation 4 2 13" xfId="3574"/>
    <cellStyle name="Calculation 4 2 13 2" xfId="3575"/>
    <cellStyle name="Calculation 4 2 13 2 2" xfId="19375"/>
    <cellStyle name="Calculation 4 2 13 2 2 2" xfId="39443"/>
    <cellStyle name="Calculation 4 2 13 2 3" xfId="25431"/>
    <cellStyle name="Calculation 4 2 13 3" xfId="15601"/>
    <cellStyle name="Calculation 4 2 13 3 2" xfId="35669"/>
    <cellStyle name="Calculation 4 2 13 4" xfId="25430"/>
    <cellStyle name="Calculation 4 2 14" xfId="3576"/>
    <cellStyle name="Calculation 4 2 14 2" xfId="3577"/>
    <cellStyle name="Calculation 4 2 14 2 2" xfId="19376"/>
    <cellStyle name="Calculation 4 2 14 2 2 2" xfId="39444"/>
    <cellStyle name="Calculation 4 2 14 2 3" xfId="25433"/>
    <cellStyle name="Calculation 4 2 14 3" xfId="16394"/>
    <cellStyle name="Calculation 4 2 14 3 2" xfId="36462"/>
    <cellStyle name="Calculation 4 2 14 4" xfId="25432"/>
    <cellStyle name="Calculation 4 2 15" xfId="3578"/>
    <cellStyle name="Calculation 4 2 15 2" xfId="3579"/>
    <cellStyle name="Calculation 4 2 15 2 2" xfId="19377"/>
    <cellStyle name="Calculation 4 2 15 2 2 2" xfId="39445"/>
    <cellStyle name="Calculation 4 2 15 2 3" xfId="25435"/>
    <cellStyle name="Calculation 4 2 15 3" xfId="15736"/>
    <cellStyle name="Calculation 4 2 15 3 2" xfId="35804"/>
    <cellStyle name="Calculation 4 2 15 4" xfId="25434"/>
    <cellStyle name="Calculation 4 2 16" xfId="3580"/>
    <cellStyle name="Calculation 4 2 16 2" xfId="3581"/>
    <cellStyle name="Calculation 4 2 16 2 2" xfId="19378"/>
    <cellStyle name="Calculation 4 2 16 2 2 2" xfId="39446"/>
    <cellStyle name="Calculation 4 2 16 2 3" xfId="25437"/>
    <cellStyle name="Calculation 4 2 16 3" xfId="15678"/>
    <cellStyle name="Calculation 4 2 16 3 2" xfId="35746"/>
    <cellStyle name="Calculation 4 2 16 4" xfId="25436"/>
    <cellStyle name="Calculation 4 2 17" xfId="3582"/>
    <cellStyle name="Calculation 4 2 17 2" xfId="3583"/>
    <cellStyle name="Calculation 4 2 17 2 2" xfId="19379"/>
    <cellStyle name="Calculation 4 2 17 2 2 2" xfId="39447"/>
    <cellStyle name="Calculation 4 2 17 2 3" xfId="25439"/>
    <cellStyle name="Calculation 4 2 17 3" xfId="16228"/>
    <cellStyle name="Calculation 4 2 17 3 2" xfId="36296"/>
    <cellStyle name="Calculation 4 2 17 4" xfId="25438"/>
    <cellStyle name="Calculation 4 2 18" xfId="3584"/>
    <cellStyle name="Calculation 4 2 18 2" xfId="3585"/>
    <cellStyle name="Calculation 4 2 18 2 2" xfId="19380"/>
    <cellStyle name="Calculation 4 2 18 2 2 2" xfId="39448"/>
    <cellStyle name="Calculation 4 2 18 2 3" xfId="25441"/>
    <cellStyle name="Calculation 4 2 18 3" xfId="17345"/>
    <cellStyle name="Calculation 4 2 18 3 2" xfId="37413"/>
    <cellStyle name="Calculation 4 2 18 4" xfId="25440"/>
    <cellStyle name="Calculation 4 2 19" xfId="3586"/>
    <cellStyle name="Calculation 4 2 19 2" xfId="3587"/>
    <cellStyle name="Calculation 4 2 19 2 2" xfId="19381"/>
    <cellStyle name="Calculation 4 2 19 2 2 2" xfId="39449"/>
    <cellStyle name="Calculation 4 2 19 2 3" xfId="25443"/>
    <cellStyle name="Calculation 4 2 19 3" xfId="16491"/>
    <cellStyle name="Calculation 4 2 19 3 2" xfId="36559"/>
    <cellStyle name="Calculation 4 2 19 4" xfId="25442"/>
    <cellStyle name="Calculation 4 2 2" xfId="3588"/>
    <cellStyle name="Calculation 4 2 2 10" xfId="3589"/>
    <cellStyle name="Calculation 4 2 2 10 2" xfId="3590"/>
    <cellStyle name="Calculation 4 2 2 10 2 2" xfId="19383"/>
    <cellStyle name="Calculation 4 2 2 10 2 2 2" xfId="39451"/>
    <cellStyle name="Calculation 4 2 2 10 2 3" xfId="25446"/>
    <cellStyle name="Calculation 4 2 2 10 3" xfId="16922"/>
    <cellStyle name="Calculation 4 2 2 10 3 2" xfId="36990"/>
    <cellStyle name="Calculation 4 2 2 10 4" xfId="25445"/>
    <cellStyle name="Calculation 4 2 2 11" xfId="3591"/>
    <cellStyle name="Calculation 4 2 2 11 2" xfId="3592"/>
    <cellStyle name="Calculation 4 2 2 11 2 2" xfId="19384"/>
    <cellStyle name="Calculation 4 2 2 11 2 2 2" xfId="39452"/>
    <cellStyle name="Calculation 4 2 2 11 2 3" xfId="25448"/>
    <cellStyle name="Calculation 4 2 2 11 3" xfId="17057"/>
    <cellStyle name="Calculation 4 2 2 11 3 2" xfId="37125"/>
    <cellStyle name="Calculation 4 2 2 11 4" xfId="25447"/>
    <cellStyle name="Calculation 4 2 2 12" xfId="3593"/>
    <cellStyle name="Calculation 4 2 2 12 2" xfId="3594"/>
    <cellStyle name="Calculation 4 2 2 12 2 2" xfId="19385"/>
    <cellStyle name="Calculation 4 2 2 12 2 2 2" xfId="39453"/>
    <cellStyle name="Calculation 4 2 2 12 2 3" xfId="25450"/>
    <cellStyle name="Calculation 4 2 2 12 3" xfId="17229"/>
    <cellStyle name="Calculation 4 2 2 12 3 2" xfId="37297"/>
    <cellStyle name="Calculation 4 2 2 12 4" xfId="25449"/>
    <cellStyle name="Calculation 4 2 2 13" xfId="3595"/>
    <cellStyle name="Calculation 4 2 2 13 2" xfId="3596"/>
    <cellStyle name="Calculation 4 2 2 13 2 2" xfId="19386"/>
    <cellStyle name="Calculation 4 2 2 13 2 2 2" xfId="39454"/>
    <cellStyle name="Calculation 4 2 2 13 2 3" xfId="25452"/>
    <cellStyle name="Calculation 4 2 2 13 3" xfId="17399"/>
    <cellStyle name="Calculation 4 2 2 13 3 2" xfId="37467"/>
    <cellStyle name="Calculation 4 2 2 13 4" xfId="25451"/>
    <cellStyle name="Calculation 4 2 2 14" xfId="3597"/>
    <cellStyle name="Calculation 4 2 2 14 2" xfId="3598"/>
    <cellStyle name="Calculation 4 2 2 14 2 2" xfId="19387"/>
    <cellStyle name="Calculation 4 2 2 14 2 2 2" xfId="39455"/>
    <cellStyle name="Calculation 4 2 2 14 2 3" xfId="25454"/>
    <cellStyle name="Calculation 4 2 2 14 3" xfId="17527"/>
    <cellStyle name="Calculation 4 2 2 14 3 2" xfId="37595"/>
    <cellStyle name="Calculation 4 2 2 14 4" xfId="25453"/>
    <cellStyle name="Calculation 4 2 2 15" xfId="3599"/>
    <cellStyle name="Calculation 4 2 2 15 2" xfId="3600"/>
    <cellStyle name="Calculation 4 2 2 15 2 2" xfId="19388"/>
    <cellStyle name="Calculation 4 2 2 15 2 2 2" xfId="39456"/>
    <cellStyle name="Calculation 4 2 2 15 2 3" xfId="25456"/>
    <cellStyle name="Calculation 4 2 2 15 3" xfId="15401"/>
    <cellStyle name="Calculation 4 2 2 15 3 2" xfId="35469"/>
    <cellStyle name="Calculation 4 2 2 15 4" xfId="25455"/>
    <cellStyle name="Calculation 4 2 2 16" xfId="3601"/>
    <cellStyle name="Calculation 4 2 2 16 2" xfId="3602"/>
    <cellStyle name="Calculation 4 2 2 16 2 2" xfId="19389"/>
    <cellStyle name="Calculation 4 2 2 16 2 2 2" xfId="39457"/>
    <cellStyle name="Calculation 4 2 2 16 2 3" xfId="25458"/>
    <cellStyle name="Calculation 4 2 2 16 3" xfId="17778"/>
    <cellStyle name="Calculation 4 2 2 16 3 2" xfId="37846"/>
    <cellStyle name="Calculation 4 2 2 16 4" xfId="25457"/>
    <cellStyle name="Calculation 4 2 2 17" xfId="3603"/>
    <cellStyle name="Calculation 4 2 2 17 2" xfId="3604"/>
    <cellStyle name="Calculation 4 2 2 17 2 2" xfId="19390"/>
    <cellStyle name="Calculation 4 2 2 17 2 2 2" xfId="39458"/>
    <cellStyle name="Calculation 4 2 2 17 2 3" xfId="25460"/>
    <cellStyle name="Calculation 4 2 2 17 3" xfId="17907"/>
    <cellStyle name="Calculation 4 2 2 17 3 2" xfId="37975"/>
    <cellStyle name="Calculation 4 2 2 17 4" xfId="25459"/>
    <cellStyle name="Calculation 4 2 2 18" xfId="3605"/>
    <cellStyle name="Calculation 4 2 2 18 2" xfId="3606"/>
    <cellStyle name="Calculation 4 2 2 18 2 2" xfId="19391"/>
    <cellStyle name="Calculation 4 2 2 18 2 2 2" xfId="39459"/>
    <cellStyle name="Calculation 4 2 2 18 2 3" xfId="25462"/>
    <cellStyle name="Calculation 4 2 2 18 3" xfId="18057"/>
    <cellStyle name="Calculation 4 2 2 18 3 2" xfId="38125"/>
    <cellStyle name="Calculation 4 2 2 18 4" xfId="25461"/>
    <cellStyle name="Calculation 4 2 2 19" xfId="3607"/>
    <cellStyle name="Calculation 4 2 2 19 2" xfId="3608"/>
    <cellStyle name="Calculation 4 2 2 19 2 2" xfId="19392"/>
    <cellStyle name="Calculation 4 2 2 19 2 2 2" xfId="39460"/>
    <cellStyle name="Calculation 4 2 2 19 2 3" xfId="25464"/>
    <cellStyle name="Calculation 4 2 2 19 3" xfId="18174"/>
    <cellStyle name="Calculation 4 2 2 19 3 2" xfId="38242"/>
    <cellStyle name="Calculation 4 2 2 19 4" xfId="25463"/>
    <cellStyle name="Calculation 4 2 2 2" xfId="3609"/>
    <cellStyle name="Calculation 4 2 2 2 2" xfId="3610"/>
    <cellStyle name="Calculation 4 2 2 2 2 2" xfId="19393"/>
    <cellStyle name="Calculation 4 2 2 2 2 2 2" xfId="39461"/>
    <cellStyle name="Calculation 4 2 2 2 2 3" xfId="25466"/>
    <cellStyle name="Calculation 4 2 2 2 3" xfId="14643"/>
    <cellStyle name="Calculation 4 2 2 2 3 2" xfId="34711"/>
    <cellStyle name="Calculation 4 2 2 2 4" xfId="25465"/>
    <cellStyle name="Calculation 4 2 2 20" xfId="3611"/>
    <cellStyle name="Calculation 4 2 2 20 2" xfId="3612"/>
    <cellStyle name="Calculation 4 2 2 20 2 2" xfId="19394"/>
    <cellStyle name="Calculation 4 2 2 20 2 2 2" xfId="39462"/>
    <cellStyle name="Calculation 4 2 2 20 2 3" xfId="25468"/>
    <cellStyle name="Calculation 4 2 2 20 3" xfId="17886"/>
    <cellStyle name="Calculation 4 2 2 20 3 2" xfId="37954"/>
    <cellStyle name="Calculation 4 2 2 20 4" xfId="25467"/>
    <cellStyle name="Calculation 4 2 2 21" xfId="3613"/>
    <cellStyle name="Calculation 4 2 2 21 2" xfId="3614"/>
    <cellStyle name="Calculation 4 2 2 21 2 2" xfId="19395"/>
    <cellStyle name="Calculation 4 2 2 21 2 2 2" xfId="39463"/>
    <cellStyle name="Calculation 4 2 2 21 2 3" xfId="25470"/>
    <cellStyle name="Calculation 4 2 2 21 3" xfId="18369"/>
    <cellStyle name="Calculation 4 2 2 21 3 2" xfId="38437"/>
    <cellStyle name="Calculation 4 2 2 21 4" xfId="25469"/>
    <cellStyle name="Calculation 4 2 2 22" xfId="3615"/>
    <cellStyle name="Calculation 4 2 2 22 2" xfId="3616"/>
    <cellStyle name="Calculation 4 2 2 22 2 2" xfId="19396"/>
    <cellStyle name="Calculation 4 2 2 22 2 2 2" xfId="39464"/>
    <cellStyle name="Calculation 4 2 2 22 2 3" xfId="25472"/>
    <cellStyle name="Calculation 4 2 2 22 3" xfId="18513"/>
    <cellStyle name="Calculation 4 2 2 22 3 2" xfId="38581"/>
    <cellStyle name="Calculation 4 2 2 22 4" xfId="25471"/>
    <cellStyle name="Calculation 4 2 2 23" xfId="3617"/>
    <cellStyle name="Calculation 4 2 2 23 2" xfId="3618"/>
    <cellStyle name="Calculation 4 2 2 23 2 2" xfId="19397"/>
    <cellStyle name="Calculation 4 2 2 23 2 2 2" xfId="39465"/>
    <cellStyle name="Calculation 4 2 2 23 2 3" xfId="25474"/>
    <cellStyle name="Calculation 4 2 2 23 3" xfId="18624"/>
    <cellStyle name="Calculation 4 2 2 23 3 2" xfId="38692"/>
    <cellStyle name="Calculation 4 2 2 23 4" xfId="25473"/>
    <cellStyle name="Calculation 4 2 2 24" xfId="3619"/>
    <cellStyle name="Calculation 4 2 2 24 2" xfId="3620"/>
    <cellStyle name="Calculation 4 2 2 24 2 2" xfId="19398"/>
    <cellStyle name="Calculation 4 2 2 24 2 2 2" xfId="39466"/>
    <cellStyle name="Calculation 4 2 2 24 2 3" xfId="25476"/>
    <cellStyle name="Calculation 4 2 2 24 3" xfId="18724"/>
    <cellStyle name="Calculation 4 2 2 24 3 2" xfId="38792"/>
    <cellStyle name="Calculation 4 2 2 24 4" xfId="25475"/>
    <cellStyle name="Calculation 4 2 2 25" xfId="3621"/>
    <cellStyle name="Calculation 4 2 2 25 2" xfId="3622"/>
    <cellStyle name="Calculation 4 2 2 25 2 2" xfId="19399"/>
    <cellStyle name="Calculation 4 2 2 25 2 2 2" xfId="39467"/>
    <cellStyle name="Calculation 4 2 2 25 2 3" xfId="25478"/>
    <cellStyle name="Calculation 4 2 2 25 3" xfId="18824"/>
    <cellStyle name="Calculation 4 2 2 25 3 2" xfId="38892"/>
    <cellStyle name="Calculation 4 2 2 25 4" xfId="25477"/>
    <cellStyle name="Calculation 4 2 2 26" xfId="3623"/>
    <cellStyle name="Calculation 4 2 2 26 2" xfId="19382"/>
    <cellStyle name="Calculation 4 2 2 26 2 2" xfId="39450"/>
    <cellStyle name="Calculation 4 2 2 26 3" xfId="25479"/>
    <cellStyle name="Calculation 4 2 2 27" xfId="14432"/>
    <cellStyle name="Calculation 4 2 2 27 2" xfId="34500"/>
    <cellStyle name="Calculation 4 2 2 28" xfId="25444"/>
    <cellStyle name="Calculation 4 2 2 3" xfId="3624"/>
    <cellStyle name="Calculation 4 2 2 3 2" xfId="3625"/>
    <cellStyle name="Calculation 4 2 2 3 2 2" xfId="19400"/>
    <cellStyle name="Calculation 4 2 2 3 2 2 2" xfId="39468"/>
    <cellStyle name="Calculation 4 2 2 3 2 3" xfId="25481"/>
    <cellStyle name="Calculation 4 2 2 3 3" xfId="14762"/>
    <cellStyle name="Calculation 4 2 2 3 3 2" xfId="34830"/>
    <cellStyle name="Calculation 4 2 2 3 4" xfId="25480"/>
    <cellStyle name="Calculation 4 2 2 4" xfId="3626"/>
    <cellStyle name="Calculation 4 2 2 4 2" xfId="3627"/>
    <cellStyle name="Calculation 4 2 2 4 2 2" xfId="19401"/>
    <cellStyle name="Calculation 4 2 2 4 2 2 2" xfId="39469"/>
    <cellStyle name="Calculation 4 2 2 4 2 3" xfId="25483"/>
    <cellStyle name="Calculation 4 2 2 4 3" xfId="14881"/>
    <cellStyle name="Calculation 4 2 2 4 3 2" xfId="34949"/>
    <cellStyle name="Calculation 4 2 2 4 4" xfId="25482"/>
    <cellStyle name="Calculation 4 2 2 5" xfId="3628"/>
    <cellStyle name="Calculation 4 2 2 5 2" xfId="3629"/>
    <cellStyle name="Calculation 4 2 2 5 2 2" xfId="19402"/>
    <cellStyle name="Calculation 4 2 2 5 2 2 2" xfId="39470"/>
    <cellStyle name="Calculation 4 2 2 5 2 3" xfId="25485"/>
    <cellStyle name="Calculation 4 2 2 5 3" xfId="15050"/>
    <cellStyle name="Calculation 4 2 2 5 3 2" xfId="35118"/>
    <cellStyle name="Calculation 4 2 2 5 4" xfId="25484"/>
    <cellStyle name="Calculation 4 2 2 6" xfId="3630"/>
    <cellStyle name="Calculation 4 2 2 6 2" xfId="3631"/>
    <cellStyle name="Calculation 4 2 2 6 2 2" xfId="19403"/>
    <cellStyle name="Calculation 4 2 2 6 2 2 2" xfId="39471"/>
    <cellStyle name="Calculation 4 2 2 6 2 3" xfId="25487"/>
    <cellStyle name="Calculation 4 2 2 6 3" xfId="14271"/>
    <cellStyle name="Calculation 4 2 2 6 3 2" xfId="34339"/>
    <cellStyle name="Calculation 4 2 2 6 4" xfId="25486"/>
    <cellStyle name="Calculation 4 2 2 7" xfId="3632"/>
    <cellStyle name="Calculation 4 2 2 7 2" xfId="3633"/>
    <cellStyle name="Calculation 4 2 2 7 2 2" xfId="19404"/>
    <cellStyle name="Calculation 4 2 2 7 2 2 2" xfId="39472"/>
    <cellStyle name="Calculation 4 2 2 7 2 3" xfId="25489"/>
    <cellStyle name="Calculation 4 2 2 7 3" xfId="15193"/>
    <cellStyle name="Calculation 4 2 2 7 3 2" xfId="35261"/>
    <cellStyle name="Calculation 4 2 2 7 4" xfId="25488"/>
    <cellStyle name="Calculation 4 2 2 8" xfId="3634"/>
    <cellStyle name="Calculation 4 2 2 8 2" xfId="3635"/>
    <cellStyle name="Calculation 4 2 2 8 2 2" xfId="19405"/>
    <cellStyle name="Calculation 4 2 2 8 2 2 2" xfId="39473"/>
    <cellStyle name="Calculation 4 2 2 8 2 3" xfId="25491"/>
    <cellStyle name="Calculation 4 2 2 8 3" xfId="16547"/>
    <cellStyle name="Calculation 4 2 2 8 3 2" xfId="36615"/>
    <cellStyle name="Calculation 4 2 2 8 4" xfId="25490"/>
    <cellStyle name="Calculation 4 2 2 9" xfId="3636"/>
    <cellStyle name="Calculation 4 2 2 9 2" xfId="3637"/>
    <cellStyle name="Calculation 4 2 2 9 2 2" xfId="19406"/>
    <cellStyle name="Calculation 4 2 2 9 2 2 2" xfId="39474"/>
    <cellStyle name="Calculation 4 2 2 9 2 3" xfId="25493"/>
    <cellStyle name="Calculation 4 2 2 9 3" xfId="16751"/>
    <cellStyle name="Calculation 4 2 2 9 3 2" xfId="36819"/>
    <cellStyle name="Calculation 4 2 2 9 4" xfId="25492"/>
    <cellStyle name="Calculation 4 2 20" xfId="3638"/>
    <cellStyle name="Calculation 4 2 20 2" xfId="3639"/>
    <cellStyle name="Calculation 4 2 20 2 2" xfId="19407"/>
    <cellStyle name="Calculation 4 2 20 2 2 2" xfId="39475"/>
    <cellStyle name="Calculation 4 2 20 2 3" xfId="25495"/>
    <cellStyle name="Calculation 4 2 20 3" xfId="17543"/>
    <cellStyle name="Calculation 4 2 20 3 2" xfId="37611"/>
    <cellStyle name="Calculation 4 2 20 4" xfId="25494"/>
    <cellStyle name="Calculation 4 2 21" xfId="3640"/>
    <cellStyle name="Calculation 4 2 21 2" xfId="3641"/>
    <cellStyle name="Calculation 4 2 21 2 2" xfId="19408"/>
    <cellStyle name="Calculation 4 2 21 2 2 2" xfId="39476"/>
    <cellStyle name="Calculation 4 2 21 2 3" xfId="25497"/>
    <cellStyle name="Calculation 4 2 21 3" xfId="15731"/>
    <cellStyle name="Calculation 4 2 21 3 2" xfId="35799"/>
    <cellStyle name="Calculation 4 2 21 4" xfId="25496"/>
    <cellStyle name="Calculation 4 2 22" xfId="3642"/>
    <cellStyle name="Calculation 4 2 22 2" xfId="3643"/>
    <cellStyle name="Calculation 4 2 22 2 2" xfId="19409"/>
    <cellStyle name="Calculation 4 2 22 2 2 2" xfId="39477"/>
    <cellStyle name="Calculation 4 2 22 2 3" xfId="25499"/>
    <cellStyle name="Calculation 4 2 22 3" xfId="15511"/>
    <cellStyle name="Calculation 4 2 22 3 2" xfId="35579"/>
    <cellStyle name="Calculation 4 2 22 4" xfId="25498"/>
    <cellStyle name="Calculation 4 2 23" xfId="3644"/>
    <cellStyle name="Calculation 4 2 23 2" xfId="3645"/>
    <cellStyle name="Calculation 4 2 23 2 2" xfId="19410"/>
    <cellStyle name="Calculation 4 2 23 2 2 2" xfId="39478"/>
    <cellStyle name="Calculation 4 2 23 2 3" xfId="25501"/>
    <cellStyle name="Calculation 4 2 23 3" xfId="18035"/>
    <cellStyle name="Calculation 4 2 23 3 2" xfId="38103"/>
    <cellStyle name="Calculation 4 2 23 4" xfId="25500"/>
    <cellStyle name="Calculation 4 2 24" xfId="3646"/>
    <cellStyle name="Calculation 4 2 24 2" xfId="3647"/>
    <cellStyle name="Calculation 4 2 24 2 2" xfId="19411"/>
    <cellStyle name="Calculation 4 2 24 2 2 2" xfId="39479"/>
    <cellStyle name="Calculation 4 2 24 2 3" xfId="25503"/>
    <cellStyle name="Calculation 4 2 24 3" xfId="17036"/>
    <cellStyle name="Calculation 4 2 24 3 2" xfId="37104"/>
    <cellStyle name="Calculation 4 2 24 4" xfId="25502"/>
    <cellStyle name="Calculation 4 2 25" xfId="3648"/>
    <cellStyle name="Calculation 4 2 25 2" xfId="3649"/>
    <cellStyle name="Calculation 4 2 25 2 2" xfId="19412"/>
    <cellStyle name="Calculation 4 2 25 2 2 2" xfId="39480"/>
    <cellStyle name="Calculation 4 2 25 2 3" xfId="25505"/>
    <cellStyle name="Calculation 4 2 25 3" xfId="17482"/>
    <cellStyle name="Calculation 4 2 25 3 2" xfId="37550"/>
    <cellStyle name="Calculation 4 2 25 4" xfId="25504"/>
    <cellStyle name="Calculation 4 2 26" xfId="3650"/>
    <cellStyle name="Calculation 4 2 26 2" xfId="3651"/>
    <cellStyle name="Calculation 4 2 26 2 2" xfId="19413"/>
    <cellStyle name="Calculation 4 2 26 2 2 2" xfId="39481"/>
    <cellStyle name="Calculation 4 2 26 2 3" xfId="25507"/>
    <cellStyle name="Calculation 4 2 26 3" xfId="16367"/>
    <cellStyle name="Calculation 4 2 26 3 2" xfId="36435"/>
    <cellStyle name="Calculation 4 2 26 4" xfId="25506"/>
    <cellStyle name="Calculation 4 2 27" xfId="3652"/>
    <cellStyle name="Calculation 4 2 27 2" xfId="3653"/>
    <cellStyle name="Calculation 4 2 27 2 2" xfId="19414"/>
    <cellStyle name="Calculation 4 2 27 2 2 2" xfId="39482"/>
    <cellStyle name="Calculation 4 2 27 2 3" xfId="25509"/>
    <cellStyle name="Calculation 4 2 27 3" xfId="17626"/>
    <cellStyle name="Calculation 4 2 27 3 2" xfId="37694"/>
    <cellStyle name="Calculation 4 2 27 4" xfId="25508"/>
    <cellStyle name="Calculation 4 2 28" xfId="3654"/>
    <cellStyle name="Calculation 4 2 28 2" xfId="19371"/>
    <cellStyle name="Calculation 4 2 28 2 2" xfId="39439"/>
    <cellStyle name="Calculation 4 2 28 3" xfId="25510"/>
    <cellStyle name="Calculation 4 2 29" xfId="13860"/>
    <cellStyle name="Calculation 4 2 29 2" xfId="33928"/>
    <cellStyle name="Calculation 4 2 3" xfId="3655"/>
    <cellStyle name="Calculation 4 2 3 2" xfId="3656"/>
    <cellStyle name="Calculation 4 2 3 2 2" xfId="19415"/>
    <cellStyle name="Calculation 4 2 3 2 2 2" xfId="39483"/>
    <cellStyle name="Calculation 4 2 3 2 3" xfId="25512"/>
    <cellStyle name="Calculation 4 2 3 3" xfId="14267"/>
    <cellStyle name="Calculation 4 2 3 3 2" xfId="34335"/>
    <cellStyle name="Calculation 4 2 3 4" xfId="25511"/>
    <cellStyle name="Calculation 4 2 30" xfId="25423"/>
    <cellStyle name="Calculation 4 2 4" xfId="3657"/>
    <cellStyle name="Calculation 4 2 4 2" xfId="3658"/>
    <cellStyle name="Calculation 4 2 4 2 2" xfId="19416"/>
    <cellStyle name="Calculation 4 2 4 2 2 2" xfId="39484"/>
    <cellStyle name="Calculation 4 2 4 2 3" xfId="25514"/>
    <cellStyle name="Calculation 4 2 4 3" xfId="13992"/>
    <cellStyle name="Calculation 4 2 4 3 2" xfId="34060"/>
    <cellStyle name="Calculation 4 2 4 4" xfId="25513"/>
    <cellStyle name="Calculation 4 2 5" xfId="3659"/>
    <cellStyle name="Calculation 4 2 5 2" xfId="3660"/>
    <cellStyle name="Calculation 4 2 5 2 2" xfId="19417"/>
    <cellStyle name="Calculation 4 2 5 2 2 2" xfId="39485"/>
    <cellStyle name="Calculation 4 2 5 2 3" xfId="25516"/>
    <cellStyle name="Calculation 4 2 5 3" xfId="13982"/>
    <cellStyle name="Calculation 4 2 5 3 2" xfId="34050"/>
    <cellStyle name="Calculation 4 2 5 4" xfId="25515"/>
    <cellStyle name="Calculation 4 2 6" xfId="3661"/>
    <cellStyle name="Calculation 4 2 6 2" xfId="3662"/>
    <cellStyle name="Calculation 4 2 6 2 2" xfId="19418"/>
    <cellStyle name="Calculation 4 2 6 2 2 2" xfId="39486"/>
    <cellStyle name="Calculation 4 2 6 2 3" xfId="25518"/>
    <cellStyle name="Calculation 4 2 6 3" xfId="14095"/>
    <cellStyle name="Calculation 4 2 6 3 2" xfId="34163"/>
    <cellStyle name="Calculation 4 2 6 4" xfId="25517"/>
    <cellStyle name="Calculation 4 2 7" xfId="3663"/>
    <cellStyle name="Calculation 4 2 7 2" xfId="3664"/>
    <cellStyle name="Calculation 4 2 7 2 2" xfId="19419"/>
    <cellStyle name="Calculation 4 2 7 2 2 2" xfId="39487"/>
    <cellStyle name="Calculation 4 2 7 2 3" xfId="25520"/>
    <cellStyle name="Calculation 4 2 7 3" xfId="14106"/>
    <cellStyle name="Calculation 4 2 7 3 2" xfId="34174"/>
    <cellStyle name="Calculation 4 2 7 4" xfId="25519"/>
    <cellStyle name="Calculation 4 2 8" xfId="3665"/>
    <cellStyle name="Calculation 4 2 8 2" xfId="3666"/>
    <cellStyle name="Calculation 4 2 8 2 2" xfId="19420"/>
    <cellStyle name="Calculation 4 2 8 2 2 2" xfId="39488"/>
    <cellStyle name="Calculation 4 2 8 2 3" xfId="25522"/>
    <cellStyle name="Calculation 4 2 8 3" xfId="14516"/>
    <cellStyle name="Calculation 4 2 8 3 2" xfId="34584"/>
    <cellStyle name="Calculation 4 2 8 4" xfId="25521"/>
    <cellStyle name="Calculation 4 2 9" xfId="3667"/>
    <cellStyle name="Calculation 4 2 9 2" xfId="3668"/>
    <cellStyle name="Calculation 4 2 9 2 2" xfId="19421"/>
    <cellStyle name="Calculation 4 2 9 2 2 2" xfId="39489"/>
    <cellStyle name="Calculation 4 2 9 2 3" xfId="25524"/>
    <cellStyle name="Calculation 4 2 9 3" xfId="14566"/>
    <cellStyle name="Calculation 4 2 9 3 2" xfId="34634"/>
    <cellStyle name="Calculation 4 2 9 4" xfId="25523"/>
    <cellStyle name="Calculation 4 20" xfId="3669"/>
    <cellStyle name="Calculation 4 20 2" xfId="3670"/>
    <cellStyle name="Calculation 4 20 2 2" xfId="19422"/>
    <cellStyle name="Calculation 4 20 2 2 2" xfId="39490"/>
    <cellStyle name="Calculation 4 20 2 3" xfId="25526"/>
    <cellStyle name="Calculation 4 20 3" xfId="16999"/>
    <cellStyle name="Calculation 4 20 3 2" xfId="37067"/>
    <cellStyle name="Calculation 4 20 4" xfId="25525"/>
    <cellStyle name="Calculation 4 21" xfId="3671"/>
    <cellStyle name="Calculation 4 21 2" xfId="3672"/>
    <cellStyle name="Calculation 4 21 2 2" xfId="19423"/>
    <cellStyle name="Calculation 4 21 2 2 2" xfId="39491"/>
    <cellStyle name="Calculation 4 21 2 3" xfId="25528"/>
    <cellStyle name="Calculation 4 21 3" xfId="17542"/>
    <cellStyle name="Calculation 4 21 3 2" xfId="37610"/>
    <cellStyle name="Calculation 4 21 4" xfId="25527"/>
    <cellStyle name="Calculation 4 22" xfId="3673"/>
    <cellStyle name="Calculation 4 22 2" xfId="3674"/>
    <cellStyle name="Calculation 4 22 2 2" xfId="19424"/>
    <cellStyle name="Calculation 4 22 2 2 2" xfId="39492"/>
    <cellStyle name="Calculation 4 22 2 3" xfId="25530"/>
    <cellStyle name="Calculation 4 22 3" xfId="17888"/>
    <cellStyle name="Calculation 4 22 3 2" xfId="37956"/>
    <cellStyle name="Calculation 4 22 4" xfId="25529"/>
    <cellStyle name="Calculation 4 23" xfId="3675"/>
    <cellStyle name="Calculation 4 23 2" xfId="3676"/>
    <cellStyle name="Calculation 4 23 2 2" xfId="19425"/>
    <cellStyle name="Calculation 4 23 2 2 2" xfId="39493"/>
    <cellStyle name="Calculation 4 23 2 3" xfId="25532"/>
    <cellStyle name="Calculation 4 23 3" xfId="15917"/>
    <cellStyle name="Calculation 4 23 3 2" xfId="35985"/>
    <cellStyle name="Calculation 4 23 4" xfId="25531"/>
    <cellStyle name="Calculation 4 24" xfId="3677"/>
    <cellStyle name="Calculation 4 24 2" xfId="3678"/>
    <cellStyle name="Calculation 4 24 2 2" xfId="19426"/>
    <cellStyle name="Calculation 4 24 2 2 2" xfId="39494"/>
    <cellStyle name="Calculation 4 24 2 3" xfId="25534"/>
    <cellStyle name="Calculation 4 24 3" xfId="15838"/>
    <cellStyle name="Calculation 4 24 3 2" xfId="35906"/>
    <cellStyle name="Calculation 4 24 4" xfId="25533"/>
    <cellStyle name="Calculation 4 25" xfId="3679"/>
    <cellStyle name="Calculation 4 25 2" xfId="3680"/>
    <cellStyle name="Calculation 4 25 2 2" xfId="19427"/>
    <cellStyle name="Calculation 4 25 2 2 2" xfId="39495"/>
    <cellStyle name="Calculation 4 25 2 3" xfId="25536"/>
    <cellStyle name="Calculation 4 25 3" xfId="17005"/>
    <cellStyle name="Calculation 4 25 3 2" xfId="37073"/>
    <cellStyle name="Calculation 4 25 4" xfId="25535"/>
    <cellStyle name="Calculation 4 26" xfId="3681"/>
    <cellStyle name="Calculation 4 26 2" xfId="3682"/>
    <cellStyle name="Calculation 4 26 2 2" xfId="19428"/>
    <cellStyle name="Calculation 4 26 2 2 2" xfId="39496"/>
    <cellStyle name="Calculation 4 26 2 3" xfId="25538"/>
    <cellStyle name="Calculation 4 26 3" xfId="15587"/>
    <cellStyle name="Calculation 4 26 3 2" xfId="35655"/>
    <cellStyle name="Calculation 4 26 4" xfId="25537"/>
    <cellStyle name="Calculation 4 27" xfId="3683"/>
    <cellStyle name="Calculation 4 27 2" xfId="3684"/>
    <cellStyle name="Calculation 4 27 2 2" xfId="19429"/>
    <cellStyle name="Calculation 4 27 2 2 2" xfId="39497"/>
    <cellStyle name="Calculation 4 27 2 3" xfId="25540"/>
    <cellStyle name="Calculation 4 27 3" xfId="16501"/>
    <cellStyle name="Calculation 4 27 3 2" xfId="36569"/>
    <cellStyle name="Calculation 4 27 4" xfId="25539"/>
    <cellStyle name="Calculation 4 28" xfId="3685"/>
    <cellStyle name="Calculation 4 28 2" xfId="3686"/>
    <cellStyle name="Calculation 4 28 2 2" xfId="19430"/>
    <cellStyle name="Calculation 4 28 2 2 2" xfId="39498"/>
    <cellStyle name="Calculation 4 28 2 3" xfId="25542"/>
    <cellStyle name="Calculation 4 28 3" xfId="16730"/>
    <cellStyle name="Calculation 4 28 3 2" xfId="36798"/>
    <cellStyle name="Calculation 4 28 4" xfId="25541"/>
    <cellStyle name="Calculation 4 29" xfId="3687"/>
    <cellStyle name="Calculation 4 29 2" xfId="19360"/>
    <cellStyle name="Calculation 4 29 2 2" xfId="39428"/>
    <cellStyle name="Calculation 4 29 3" xfId="25543"/>
    <cellStyle name="Calculation 4 3" xfId="3688"/>
    <cellStyle name="Calculation 4 3 10" xfId="3689"/>
    <cellStyle name="Calculation 4 3 10 2" xfId="3690"/>
    <cellStyle name="Calculation 4 3 10 2 2" xfId="19432"/>
    <cellStyle name="Calculation 4 3 10 2 2 2" xfId="39500"/>
    <cellStyle name="Calculation 4 3 10 2 3" xfId="25546"/>
    <cellStyle name="Calculation 4 3 10 3" xfId="16921"/>
    <cellStyle name="Calculation 4 3 10 3 2" xfId="36989"/>
    <cellStyle name="Calculation 4 3 10 4" xfId="25545"/>
    <cellStyle name="Calculation 4 3 11" xfId="3691"/>
    <cellStyle name="Calculation 4 3 11 2" xfId="3692"/>
    <cellStyle name="Calculation 4 3 11 2 2" xfId="19433"/>
    <cellStyle name="Calculation 4 3 11 2 2 2" xfId="39501"/>
    <cellStyle name="Calculation 4 3 11 2 3" xfId="25548"/>
    <cellStyle name="Calculation 4 3 11 3" xfId="17056"/>
    <cellStyle name="Calculation 4 3 11 3 2" xfId="37124"/>
    <cellStyle name="Calculation 4 3 11 4" xfId="25547"/>
    <cellStyle name="Calculation 4 3 12" xfId="3693"/>
    <cellStyle name="Calculation 4 3 12 2" xfId="3694"/>
    <cellStyle name="Calculation 4 3 12 2 2" xfId="19434"/>
    <cellStyle name="Calculation 4 3 12 2 2 2" xfId="39502"/>
    <cellStyle name="Calculation 4 3 12 2 3" xfId="25550"/>
    <cellStyle name="Calculation 4 3 12 3" xfId="17228"/>
    <cellStyle name="Calculation 4 3 12 3 2" xfId="37296"/>
    <cellStyle name="Calculation 4 3 12 4" xfId="25549"/>
    <cellStyle name="Calculation 4 3 13" xfId="3695"/>
    <cellStyle name="Calculation 4 3 13 2" xfId="3696"/>
    <cellStyle name="Calculation 4 3 13 2 2" xfId="19435"/>
    <cellStyle name="Calculation 4 3 13 2 2 2" xfId="39503"/>
    <cellStyle name="Calculation 4 3 13 2 3" xfId="25552"/>
    <cellStyle name="Calculation 4 3 13 3" xfId="17398"/>
    <cellStyle name="Calculation 4 3 13 3 2" xfId="37466"/>
    <cellStyle name="Calculation 4 3 13 4" xfId="25551"/>
    <cellStyle name="Calculation 4 3 14" xfId="3697"/>
    <cellStyle name="Calculation 4 3 14 2" xfId="3698"/>
    <cellStyle name="Calculation 4 3 14 2 2" xfId="19436"/>
    <cellStyle name="Calculation 4 3 14 2 2 2" xfId="39504"/>
    <cellStyle name="Calculation 4 3 14 2 3" xfId="25554"/>
    <cellStyle name="Calculation 4 3 14 3" xfId="17526"/>
    <cellStyle name="Calculation 4 3 14 3 2" xfId="37594"/>
    <cellStyle name="Calculation 4 3 14 4" xfId="25553"/>
    <cellStyle name="Calculation 4 3 15" xfId="3699"/>
    <cellStyle name="Calculation 4 3 15 2" xfId="3700"/>
    <cellStyle name="Calculation 4 3 15 2 2" xfId="19437"/>
    <cellStyle name="Calculation 4 3 15 2 2 2" xfId="39505"/>
    <cellStyle name="Calculation 4 3 15 2 3" xfId="25556"/>
    <cellStyle name="Calculation 4 3 15 3" xfId="16726"/>
    <cellStyle name="Calculation 4 3 15 3 2" xfId="36794"/>
    <cellStyle name="Calculation 4 3 15 4" xfId="25555"/>
    <cellStyle name="Calculation 4 3 16" xfId="3701"/>
    <cellStyle name="Calculation 4 3 16 2" xfId="3702"/>
    <cellStyle name="Calculation 4 3 16 2 2" xfId="19438"/>
    <cellStyle name="Calculation 4 3 16 2 2 2" xfId="39506"/>
    <cellStyle name="Calculation 4 3 16 2 3" xfId="25558"/>
    <cellStyle name="Calculation 4 3 16 3" xfId="17777"/>
    <cellStyle name="Calculation 4 3 16 3 2" xfId="37845"/>
    <cellStyle name="Calculation 4 3 16 4" xfId="25557"/>
    <cellStyle name="Calculation 4 3 17" xfId="3703"/>
    <cellStyle name="Calculation 4 3 17 2" xfId="3704"/>
    <cellStyle name="Calculation 4 3 17 2 2" xfId="19439"/>
    <cellStyle name="Calculation 4 3 17 2 2 2" xfId="39507"/>
    <cellStyle name="Calculation 4 3 17 2 3" xfId="25560"/>
    <cellStyle name="Calculation 4 3 17 3" xfId="17906"/>
    <cellStyle name="Calculation 4 3 17 3 2" xfId="37974"/>
    <cellStyle name="Calculation 4 3 17 4" xfId="25559"/>
    <cellStyle name="Calculation 4 3 18" xfId="3705"/>
    <cellStyle name="Calculation 4 3 18 2" xfId="3706"/>
    <cellStyle name="Calculation 4 3 18 2 2" xfId="19440"/>
    <cellStyle name="Calculation 4 3 18 2 2 2" xfId="39508"/>
    <cellStyle name="Calculation 4 3 18 2 3" xfId="25562"/>
    <cellStyle name="Calculation 4 3 18 3" xfId="18056"/>
    <cellStyle name="Calculation 4 3 18 3 2" xfId="38124"/>
    <cellStyle name="Calculation 4 3 18 4" xfId="25561"/>
    <cellStyle name="Calculation 4 3 19" xfId="3707"/>
    <cellStyle name="Calculation 4 3 19 2" xfId="3708"/>
    <cellStyle name="Calculation 4 3 19 2 2" xfId="19441"/>
    <cellStyle name="Calculation 4 3 19 2 2 2" xfId="39509"/>
    <cellStyle name="Calculation 4 3 19 2 3" xfId="25564"/>
    <cellStyle name="Calculation 4 3 19 3" xfId="18173"/>
    <cellStyle name="Calculation 4 3 19 3 2" xfId="38241"/>
    <cellStyle name="Calculation 4 3 19 4" xfId="25563"/>
    <cellStyle name="Calculation 4 3 2" xfId="3709"/>
    <cellStyle name="Calculation 4 3 2 2" xfId="3710"/>
    <cellStyle name="Calculation 4 3 2 2 2" xfId="19442"/>
    <cellStyle name="Calculation 4 3 2 2 2 2" xfId="39510"/>
    <cellStyle name="Calculation 4 3 2 2 3" xfId="25566"/>
    <cellStyle name="Calculation 4 3 2 3" xfId="14642"/>
    <cellStyle name="Calculation 4 3 2 3 2" xfId="34710"/>
    <cellStyle name="Calculation 4 3 2 4" xfId="25565"/>
    <cellStyle name="Calculation 4 3 20" xfId="3711"/>
    <cellStyle name="Calculation 4 3 20 2" xfId="3712"/>
    <cellStyle name="Calculation 4 3 20 2 2" xfId="19443"/>
    <cellStyle name="Calculation 4 3 20 2 2 2" xfId="39511"/>
    <cellStyle name="Calculation 4 3 20 2 3" xfId="25568"/>
    <cellStyle name="Calculation 4 3 20 3" xfId="16697"/>
    <cellStyle name="Calculation 4 3 20 3 2" xfId="36765"/>
    <cellStyle name="Calculation 4 3 20 4" xfId="25567"/>
    <cellStyle name="Calculation 4 3 21" xfId="3713"/>
    <cellStyle name="Calculation 4 3 21 2" xfId="3714"/>
    <cellStyle name="Calculation 4 3 21 2 2" xfId="19444"/>
    <cellStyle name="Calculation 4 3 21 2 2 2" xfId="39512"/>
    <cellStyle name="Calculation 4 3 21 2 3" xfId="25570"/>
    <cellStyle name="Calculation 4 3 21 3" xfId="18368"/>
    <cellStyle name="Calculation 4 3 21 3 2" xfId="38436"/>
    <cellStyle name="Calculation 4 3 21 4" xfId="25569"/>
    <cellStyle name="Calculation 4 3 22" xfId="3715"/>
    <cellStyle name="Calculation 4 3 22 2" xfId="3716"/>
    <cellStyle name="Calculation 4 3 22 2 2" xfId="19445"/>
    <cellStyle name="Calculation 4 3 22 2 2 2" xfId="39513"/>
    <cellStyle name="Calculation 4 3 22 2 3" xfId="25572"/>
    <cellStyle name="Calculation 4 3 22 3" xfId="18512"/>
    <cellStyle name="Calculation 4 3 22 3 2" xfId="38580"/>
    <cellStyle name="Calculation 4 3 22 4" xfId="25571"/>
    <cellStyle name="Calculation 4 3 23" xfId="3717"/>
    <cellStyle name="Calculation 4 3 23 2" xfId="3718"/>
    <cellStyle name="Calculation 4 3 23 2 2" xfId="19446"/>
    <cellStyle name="Calculation 4 3 23 2 2 2" xfId="39514"/>
    <cellStyle name="Calculation 4 3 23 2 3" xfId="25574"/>
    <cellStyle name="Calculation 4 3 23 3" xfId="18623"/>
    <cellStyle name="Calculation 4 3 23 3 2" xfId="38691"/>
    <cellStyle name="Calculation 4 3 23 4" xfId="25573"/>
    <cellStyle name="Calculation 4 3 24" xfId="3719"/>
    <cellStyle name="Calculation 4 3 24 2" xfId="3720"/>
    <cellStyle name="Calculation 4 3 24 2 2" xfId="19447"/>
    <cellStyle name="Calculation 4 3 24 2 2 2" xfId="39515"/>
    <cellStyle name="Calculation 4 3 24 2 3" xfId="25576"/>
    <cellStyle name="Calculation 4 3 24 3" xfId="18723"/>
    <cellStyle name="Calculation 4 3 24 3 2" xfId="38791"/>
    <cellStyle name="Calculation 4 3 24 4" xfId="25575"/>
    <cellStyle name="Calculation 4 3 25" xfId="3721"/>
    <cellStyle name="Calculation 4 3 25 2" xfId="3722"/>
    <cellStyle name="Calculation 4 3 25 2 2" xfId="19448"/>
    <cellStyle name="Calculation 4 3 25 2 2 2" xfId="39516"/>
    <cellStyle name="Calculation 4 3 25 2 3" xfId="25578"/>
    <cellStyle name="Calculation 4 3 25 3" xfId="18823"/>
    <cellStyle name="Calculation 4 3 25 3 2" xfId="38891"/>
    <cellStyle name="Calculation 4 3 25 4" xfId="25577"/>
    <cellStyle name="Calculation 4 3 26" xfId="3723"/>
    <cellStyle name="Calculation 4 3 26 2" xfId="19431"/>
    <cellStyle name="Calculation 4 3 26 2 2" xfId="39499"/>
    <cellStyle name="Calculation 4 3 26 3" xfId="25579"/>
    <cellStyle name="Calculation 4 3 27" xfId="14328"/>
    <cellStyle name="Calculation 4 3 27 2" xfId="34396"/>
    <cellStyle name="Calculation 4 3 28" xfId="25544"/>
    <cellStyle name="Calculation 4 3 3" xfId="3724"/>
    <cellStyle name="Calculation 4 3 3 2" xfId="3725"/>
    <cellStyle name="Calculation 4 3 3 2 2" xfId="19449"/>
    <cellStyle name="Calculation 4 3 3 2 2 2" xfId="39517"/>
    <cellStyle name="Calculation 4 3 3 2 3" xfId="25581"/>
    <cellStyle name="Calculation 4 3 3 3" xfId="14761"/>
    <cellStyle name="Calculation 4 3 3 3 2" xfId="34829"/>
    <cellStyle name="Calculation 4 3 3 4" xfId="25580"/>
    <cellStyle name="Calculation 4 3 4" xfId="3726"/>
    <cellStyle name="Calculation 4 3 4 2" xfId="3727"/>
    <cellStyle name="Calculation 4 3 4 2 2" xfId="19450"/>
    <cellStyle name="Calculation 4 3 4 2 2 2" xfId="39518"/>
    <cellStyle name="Calculation 4 3 4 2 3" xfId="25583"/>
    <cellStyle name="Calculation 4 3 4 3" xfId="14880"/>
    <cellStyle name="Calculation 4 3 4 3 2" xfId="34948"/>
    <cellStyle name="Calculation 4 3 4 4" xfId="25582"/>
    <cellStyle name="Calculation 4 3 5" xfId="3728"/>
    <cellStyle name="Calculation 4 3 5 2" xfId="3729"/>
    <cellStyle name="Calculation 4 3 5 2 2" xfId="19451"/>
    <cellStyle name="Calculation 4 3 5 2 2 2" xfId="39519"/>
    <cellStyle name="Calculation 4 3 5 2 3" xfId="25585"/>
    <cellStyle name="Calculation 4 3 5 3" xfId="15049"/>
    <cellStyle name="Calculation 4 3 5 3 2" xfId="35117"/>
    <cellStyle name="Calculation 4 3 5 4" xfId="25584"/>
    <cellStyle name="Calculation 4 3 6" xfId="3730"/>
    <cellStyle name="Calculation 4 3 6 2" xfId="3731"/>
    <cellStyle name="Calculation 4 3 6 2 2" xfId="19452"/>
    <cellStyle name="Calculation 4 3 6 2 2 2" xfId="39520"/>
    <cellStyle name="Calculation 4 3 6 2 3" xfId="25587"/>
    <cellStyle name="Calculation 4 3 6 3" xfId="14862"/>
    <cellStyle name="Calculation 4 3 6 3 2" xfId="34930"/>
    <cellStyle name="Calculation 4 3 6 4" xfId="25586"/>
    <cellStyle name="Calculation 4 3 7" xfId="3732"/>
    <cellStyle name="Calculation 4 3 7 2" xfId="3733"/>
    <cellStyle name="Calculation 4 3 7 2 2" xfId="19453"/>
    <cellStyle name="Calculation 4 3 7 2 2 2" xfId="39521"/>
    <cellStyle name="Calculation 4 3 7 2 3" xfId="25589"/>
    <cellStyle name="Calculation 4 3 7 3" xfId="15192"/>
    <cellStyle name="Calculation 4 3 7 3 2" xfId="35260"/>
    <cellStyle name="Calculation 4 3 7 4" xfId="25588"/>
    <cellStyle name="Calculation 4 3 8" xfId="3734"/>
    <cellStyle name="Calculation 4 3 8 2" xfId="3735"/>
    <cellStyle name="Calculation 4 3 8 2 2" xfId="19454"/>
    <cellStyle name="Calculation 4 3 8 2 2 2" xfId="39522"/>
    <cellStyle name="Calculation 4 3 8 2 3" xfId="25591"/>
    <cellStyle name="Calculation 4 3 8 3" xfId="16546"/>
    <cellStyle name="Calculation 4 3 8 3 2" xfId="36614"/>
    <cellStyle name="Calculation 4 3 8 4" xfId="25590"/>
    <cellStyle name="Calculation 4 3 9" xfId="3736"/>
    <cellStyle name="Calculation 4 3 9 2" xfId="3737"/>
    <cellStyle name="Calculation 4 3 9 2 2" xfId="19455"/>
    <cellStyle name="Calculation 4 3 9 2 2 2" xfId="39523"/>
    <cellStyle name="Calculation 4 3 9 2 3" xfId="25593"/>
    <cellStyle name="Calculation 4 3 9 3" xfId="16750"/>
    <cellStyle name="Calculation 4 3 9 3 2" xfId="36818"/>
    <cellStyle name="Calculation 4 3 9 4" xfId="25592"/>
    <cellStyle name="Calculation 4 30" xfId="13859"/>
    <cellStyle name="Calculation 4 30 2" xfId="33927"/>
    <cellStyle name="Calculation 4 31" xfId="25402"/>
    <cellStyle name="Calculation 4 4" xfId="3738"/>
    <cellStyle name="Calculation 4 4 2" xfId="3739"/>
    <cellStyle name="Calculation 4 4 2 2" xfId="19456"/>
    <cellStyle name="Calculation 4 4 2 2 2" xfId="39524"/>
    <cellStyle name="Calculation 4 4 2 3" xfId="25595"/>
    <cellStyle name="Calculation 4 4 3" xfId="14346"/>
    <cellStyle name="Calculation 4 4 3 2" xfId="34414"/>
    <cellStyle name="Calculation 4 4 4" xfId="25594"/>
    <cellStyle name="Calculation 4 5" xfId="3740"/>
    <cellStyle name="Calculation 4 5 2" xfId="3741"/>
    <cellStyle name="Calculation 4 5 2 2" xfId="19457"/>
    <cellStyle name="Calculation 4 5 2 2 2" xfId="39525"/>
    <cellStyle name="Calculation 4 5 2 3" xfId="25597"/>
    <cellStyle name="Calculation 4 5 3" xfId="14349"/>
    <cellStyle name="Calculation 4 5 3 2" xfId="34417"/>
    <cellStyle name="Calculation 4 5 4" xfId="25596"/>
    <cellStyle name="Calculation 4 6" xfId="3742"/>
    <cellStyle name="Calculation 4 6 2" xfId="3743"/>
    <cellStyle name="Calculation 4 6 2 2" xfId="19458"/>
    <cellStyle name="Calculation 4 6 2 2 2" xfId="39526"/>
    <cellStyle name="Calculation 4 6 2 3" xfId="25599"/>
    <cellStyle name="Calculation 4 6 3" xfId="14554"/>
    <cellStyle name="Calculation 4 6 3 2" xfId="34622"/>
    <cellStyle name="Calculation 4 6 4" xfId="25598"/>
    <cellStyle name="Calculation 4 7" xfId="3744"/>
    <cellStyle name="Calculation 4 7 2" xfId="3745"/>
    <cellStyle name="Calculation 4 7 2 2" xfId="19459"/>
    <cellStyle name="Calculation 4 7 2 2 2" xfId="39527"/>
    <cellStyle name="Calculation 4 7 2 3" xfId="25601"/>
    <cellStyle name="Calculation 4 7 3" xfId="14143"/>
    <cellStyle name="Calculation 4 7 3 2" xfId="34211"/>
    <cellStyle name="Calculation 4 7 4" xfId="25600"/>
    <cellStyle name="Calculation 4 8" xfId="3746"/>
    <cellStyle name="Calculation 4 8 2" xfId="3747"/>
    <cellStyle name="Calculation 4 8 2 2" xfId="19460"/>
    <cellStyle name="Calculation 4 8 2 2 2" xfId="39528"/>
    <cellStyle name="Calculation 4 8 2 3" xfId="25603"/>
    <cellStyle name="Calculation 4 8 3" xfId="14417"/>
    <cellStyle name="Calculation 4 8 3 2" xfId="34485"/>
    <cellStyle name="Calculation 4 8 4" xfId="25602"/>
    <cellStyle name="Calculation 4 9" xfId="3748"/>
    <cellStyle name="Calculation 4 9 2" xfId="3749"/>
    <cellStyle name="Calculation 4 9 2 2" xfId="19461"/>
    <cellStyle name="Calculation 4 9 2 2 2" xfId="39529"/>
    <cellStyle name="Calculation 4 9 2 3" xfId="25605"/>
    <cellStyle name="Calculation 4 9 3" xfId="14391"/>
    <cellStyle name="Calculation 4 9 3 2" xfId="34459"/>
    <cellStyle name="Calculation 4 9 4" xfId="25604"/>
    <cellStyle name="Calculation 4_2011-2012" xfId="3750"/>
    <cellStyle name="Calculation 5" xfId="3751"/>
    <cellStyle name="Calculation 5 10" xfId="3752"/>
    <cellStyle name="Calculation 5 10 2" xfId="3753"/>
    <cellStyle name="Calculation 5 10 2 2" xfId="19463"/>
    <cellStyle name="Calculation 5 10 2 2 2" xfId="39531"/>
    <cellStyle name="Calculation 5 10 2 3" xfId="25608"/>
    <cellStyle name="Calculation 5 10 3" xfId="16146"/>
    <cellStyle name="Calculation 5 10 3 2" xfId="36214"/>
    <cellStyle name="Calculation 5 10 4" xfId="25607"/>
    <cellStyle name="Calculation 5 11" xfId="3754"/>
    <cellStyle name="Calculation 5 11 2" xfId="3755"/>
    <cellStyle name="Calculation 5 11 2 2" xfId="19464"/>
    <cellStyle name="Calculation 5 11 2 2 2" xfId="39532"/>
    <cellStyle name="Calculation 5 11 2 3" xfId="25610"/>
    <cellStyle name="Calculation 5 11 3" xfId="15474"/>
    <cellStyle name="Calculation 5 11 3 2" xfId="35542"/>
    <cellStyle name="Calculation 5 11 4" xfId="25609"/>
    <cellStyle name="Calculation 5 12" xfId="3756"/>
    <cellStyle name="Calculation 5 12 2" xfId="3757"/>
    <cellStyle name="Calculation 5 12 2 2" xfId="19465"/>
    <cellStyle name="Calculation 5 12 2 2 2" xfId="39533"/>
    <cellStyle name="Calculation 5 12 2 3" xfId="25612"/>
    <cellStyle name="Calculation 5 12 3" xfId="16210"/>
    <cellStyle name="Calculation 5 12 3 2" xfId="36278"/>
    <cellStyle name="Calculation 5 12 4" xfId="25611"/>
    <cellStyle name="Calculation 5 13" xfId="3758"/>
    <cellStyle name="Calculation 5 13 2" xfId="3759"/>
    <cellStyle name="Calculation 5 13 2 2" xfId="19466"/>
    <cellStyle name="Calculation 5 13 2 2 2" xfId="39534"/>
    <cellStyle name="Calculation 5 13 2 3" xfId="25614"/>
    <cellStyle name="Calculation 5 13 3" xfId="15600"/>
    <cellStyle name="Calculation 5 13 3 2" xfId="35668"/>
    <cellStyle name="Calculation 5 13 4" xfId="25613"/>
    <cellStyle name="Calculation 5 14" xfId="3760"/>
    <cellStyle name="Calculation 5 14 2" xfId="3761"/>
    <cellStyle name="Calculation 5 14 2 2" xfId="19467"/>
    <cellStyle name="Calculation 5 14 2 2 2" xfId="39535"/>
    <cellStyle name="Calculation 5 14 2 3" xfId="25616"/>
    <cellStyle name="Calculation 5 14 3" xfId="16395"/>
    <cellStyle name="Calculation 5 14 3 2" xfId="36463"/>
    <cellStyle name="Calculation 5 14 4" xfId="25615"/>
    <cellStyle name="Calculation 5 15" xfId="3762"/>
    <cellStyle name="Calculation 5 15 2" xfId="3763"/>
    <cellStyle name="Calculation 5 15 2 2" xfId="19468"/>
    <cellStyle name="Calculation 5 15 2 2 2" xfId="39536"/>
    <cellStyle name="Calculation 5 15 2 3" xfId="25618"/>
    <cellStyle name="Calculation 5 15 3" xfId="16053"/>
    <cellStyle name="Calculation 5 15 3 2" xfId="36121"/>
    <cellStyle name="Calculation 5 15 4" xfId="25617"/>
    <cellStyle name="Calculation 5 16" xfId="3764"/>
    <cellStyle name="Calculation 5 16 2" xfId="3765"/>
    <cellStyle name="Calculation 5 16 2 2" xfId="19469"/>
    <cellStyle name="Calculation 5 16 2 2 2" xfId="39537"/>
    <cellStyle name="Calculation 5 16 2 3" xfId="25620"/>
    <cellStyle name="Calculation 5 16 3" xfId="16082"/>
    <cellStyle name="Calculation 5 16 3 2" xfId="36150"/>
    <cellStyle name="Calculation 5 16 4" xfId="25619"/>
    <cellStyle name="Calculation 5 17" xfId="3766"/>
    <cellStyle name="Calculation 5 17 2" xfId="3767"/>
    <cellStyle name="Calculation 5 17 2 2" xfId="19470"/>
    <cellStyle name="Calculation 5 17 2 2 2" xfId="39538"/>
    <cellStyle name="Calculation 5 17 2 3" xfId="25622"/>
    <cellStyle name="Calculation 5 17 3" xfId="16227"/>
    <cellStyle name="Calculation 5 17 3 2" xfId="36295"/>
    <cellStyle name="Calculation 5 17 4" xfId="25621"/>
    <cellStyle name="Calculation 5 18" xfId="3768"/>
    <cellStyle name="Calculation 5 18 2" xfId="3769"/>
    <cellStyle name="Calculation 5 18 2 2" xfId="19471"/>
    <cellStyle name="Calculation 5 18 2 2 2" xfId="39539"/>
    <cellStyle name="Calculation 5 18 2 3" xfId="25624"/>
    <cellStyle name="Calculation 5 18 3" xfId="16252"/>
    <cellStyle name="Calculation 5 18 3 2" xfId="36320"/>
    <cellStyle name="Calculation 5 18 4" xfId="25623"/>
    <cellStyle name="Calculation 5 19" xfId="3770"/>
    <cellStyle name="Calculation 5 19 2" xfId="3771"/>
    <cellStyle name="Calculation 5 19 2 2" xfId="19472"/>
    <cellStyle name="Calculation 5 19 2 2 2" xfId="39540"/>
    <cellStyle name="Calculation 5 19 2 3" xfId="25626"/>
    <cellStyle name="Calculation 5 19 3" xfId="17015"/>
    <cellStyle name="Calculation 5 19 3 2" xfId="37083"/>
    <cellStyle name="Calculation 5 19 4" xfId="25625"/>
    <cellStyle name="Calculation 5 2" xfId="3772"/>
    <cellStyle name="Calculation 5 2 10" xfId="3773"/>
    <cellStyle name="Calculation 5 2 10 2" xfId="3774"/>
    <cellStyle name="Calculation 5 2 10 2 2" xfId="19474"/>
    <cellStyle name="Calculation 5 2 10 2 2 2" xfId="39542"/>
    <cellStyle name="Calculation 5 2 10 2 3" xfId="25629"/>
    <cellStyle name="Calculation 5 2 10 3" xfId="16923"/>
    <cellStyle name="Calculation 5 2 10 3 2" xfId="36991"/>
    <cellStyle name="Calculation 5 2 10 4" xfId="25628"/>
    <cellStyle name="Calculation 5 2 11" xfId="3775"/>
    <cellStyle name="Calculation 5 2 11 2" xfId="3776"/>
    <cellStyle name="Calculation 5 2 11 2 2" xfId="19475"/>
    <cellStyle name="Calculation 5 2 11 2 2 2" xfId="39543"/>
    <cellStyle name="Calculation 5 2 11 2 3" xfId="25631"/>
    <cellStyle name="Calculation 5 2 11 3" xfId="17058"/>
    <cellStyle name="Calculation 5 2 11 3 2" xfId="37126"/>
    <cellStyle name="Calculation 5 2 11 4" xfId="25630"/>
    <cellStyle name="Calculation 5 2 12" xfId="3777"/>
    <cellStyle name="Calculation 5 2 12 2" xfId="3778"/>
    <cellStyle name="Calculation 5 2 12 2 2" xfId="19476"/>
    <cellStyle name="Calculation 5 2 12 2 2 2" xfId="39544"/>
    <cellStyle name="Calculation 5 2 12 2 3" xfId="25633"/>
    <cellStyle name="Calculation 5 2 12 3" xfId="17230"/>
    <cellStyle name="Calculation 5 2 12 3 2" xfId="37298"/>
    <cellStyle name="Calculation 5 2 12 4" xfId="25632"/>
    <cellStyle name="Calculation 5 2 13" xfId="3779"/>
    <cellStyle name="Calculation 5 2 13 2" xfId="3780"/>
    <cellStyle name="Calculation 5 2 13 2 2" xfId="19477"/>
    <cellStyle name="Calculation 5 2 13 2 2 2" xfId="39545"/>
    <cellStyle name="Calculation 5 2 13 2 3" xfId="25635"/>
    <cellStyle name="Calculation 5 2 13 3" xfId="17400"/>
    <cellStyle name="Calculation 5 2 13 3 2" xfId="37468"/>
    <cellStyle name="Calculation 5 2 13 4" xfId="25634"/>
    <cellStyle name="Calculation 5 2 14" xfId="3781"/>
    <cellStyle name="Calculation 5 2 14 2" xfId="3782"/>
    <cellStyle name="Calculation 5 2 14 2 2" xfId="19478"/>
    <cellStyle name="Calculation 5 2 14 2 2 2" xfId="39546"/>
    <cellStyle name="Calculation 5 2 14 2 3" xfId="25637"/>
    <cellStyle name="Calculation 5 2 14 3" xfId="17528"/>
    <cellStyle name="Calculation 5 2 14 3 2" xfId="37596"/>
    <cellStyle name="Calculation 5 2 14 4" xfId="25636"/>
    <cellStyle name="Calculation 5 2 15" xfId="3783"/>
    <cellStyle name="Calculation 5 2 15 2" xfId="3784"/>
    <cellStyle name="Calculation 5 2 15 2 2" xfId="19479"/>
    <cellStyle name="Calculation 5 2 15 2 2 2" xfId="39547"/>
    <cellStyle name="Calculation 5 2 15 2 3" xfId="25639"/>
    <cellStyle name="Calculation 5 2 15 3" xfId="16160"/>
    <cellStyle name="Calculation 5 2 15 3 2" xfId="36228"/>
    <cellStyle name="Calculation 5 2 15 4" xfId="25638"/>
    <cellStyle name="Calculation 5 2 16" xfId="3785"/>
    <cellStyle name="Calculation 5 2 16 2" xfId="3786"/>
    <cellStyle name="Calculation 5 2 16 2 2" xfId="19480"/>
    <cellStyle name="Calculation 5 2 16 2 2 2" xfId="39548"/>
    <cellStyle name="Calculation 5 2 16 2 3" xfId="25641"/>
    <cellStyle name="Calculation 5 2 16 3" xfId="17779"/>
    <cellStyle name="Calculation 5 2 16 3 2" xfId="37847"/>
    <cellStyle name="Calculation 5 2 16 4" xfId="25640"/>
    <cellStyle name="Calculation 5 2 17" xfId="3787"/>
    <cellStyle name="Calculation 5 2 17 2" xfId="3788"/>
    <cellStyle name="Calculation 5 2 17 2 2" xfId="19481"/>
    <cellStyle name="Calculation 5 2 17 2 2 2" xfId="39549"/>
    <cellStyle name="Calculation 5 2 17 2 3" xfId="25643"/>
    <cellStyle name="Calculation 5 2 17 3" xfId="17908"/>
    <cellStyle name="Calculation 5 2 17 3 2" xfId="37976"/>
    <cellStyle name="Calculation 5 2 17 4" xfId="25642"/>
    <cellStyle name="Calculation 5 2 18" xfId="3789"/>
    <cellStyle name="Calculation 5 2 18 2" xfId="3790"/>
    <cellStyle name="Calculation 5 2 18 2 2" xfId="19482"/>
    <cellStyle name="Calculation 5 2 18 2 2 2" xfId="39550"/>
    <cellStyle name="Calculation 5 2 18 2 3" xfId="25645"/>
    <cellStyle name="Calculation 5 2 18 3" xfId="18058"/>
    <cellStyle name="Calculation 5 2 18 3 2" xfId="38126"/>
    <cellStyle name="Calculation 5 2 18 4" xfId="25644"/>
    <cellStyle name="Calculation 5 2 19" xfId="3791"/>
    <cellStyle name="Calculation 5 2 19 2" xfId="3792"/>
    <cellStyle name="Calculation 5 2 19 2 2" xfId="19483"/>
    <cellStyle name="Calculation 5 2 19 2 2 2" xfId="39551"/>
    <cellStyle name="Calculation 5 2 19 2 3" xfId="25647"/>
    <cellStyle name="Calculation 5 2 19 3" xfId="18175"/>
    <cellStyle name="Calculation 5 2 19 3 2" xfId="38243"/>
    <cellStyle name="Calculation 5 2 19 4" xfId="25646"/>
    <cellStyle name="Calculation 5 2 2" xfId="3793"/>
    <cellStyle name="Calculation 5 2 2 2" xfId="3794"/>
    <cellStyle name="Calculation 5 2 2 2 2" xfId="19484"/>
    <cellStyle name="Calculation 5 2 2 2 2 2" xfId="39552"/>
    <cellStyle name="Calculation 5 2 2 2 3" xfId="25649"/>
    <cellStyle name="Calculation 5 2 2 3" xfId="14644"/>
    <cellStyle name="Calculation 5 2 2 3 2" xfId="34712"/>
    <cellStyle name="Calculation 5 2 2 4" xfId="25648"/>
    <cellStyle name="Calculation 5 2 20" xfId="3795"/>
    <cellStyle name="Calculation 5 2 20 2" xfId="3796"/>
    <cellStyle name="Calculation 5 2 20 2 2" xfId="19485"/>
    <cellStyle name="Calculation 5 2 20 2 2 2" xfId="39553"/>
    <cellStyle name="Calculation 5 2 20 2 3" xfId="25651"/>
    <cellStyle name="Calculation 5 2 20 3" xfId="16383"/>
    <cellStyle name="Calculation 5 2 20 3 2" xfId="36451"/>
    <cellStyle name="Calculation 5 2 20 4" xfId="25650"/>
    <cellStyle name="Calculation 5 2 21" xfId="3797"/>
    <cellStyle name="Calculation 5 2 21 2" xfId="3798"/>
    <cellStyle name="Calculation 5 2 21 2 2" xfId="19486"/>
    <cellStyle name="Calculation 5 2 21 2 2 2" xfId="39554"/>
    <cellStyle name="Calculation 5 2 21 2 3" xfId="25653"/>
    <cellStyle name="Calculation 5 2 21 3" xfId="18370"/>
    <cellStyle name="Calculation 5 2 21 3 2" xfId="38438"/>
    <cellStyle name="Calculation 5 2 21 4" xfId="25652"/>
    <cellStyle name="Calculation 5 2 22" xfId="3799"/>
    <cellStyle name="Calculation 5 2 22 2" xfId="3800"/>
    <cellStyle name="Calculation 5 2 22 2 2" xfId="19487"/>
    <cellStyle name="Calculation 5 2 22 2 2 2" xfId="39555"/>
    <cellStyle name="Calculation 5 2 22 2 3" xfId="25655"/>
    <cellStyle name="Calculation 5 2 22 3" xfId="18514"/>
    <cellStyle name="Calculation 5 2 22 3 2" xfId="38582"/>
    <cellStyle name="Calculation 5 2 22 4" xfId="25654"/>
    <cellStyle name="Calculation 5 2 23" xfId="3801"/>
    <cellStyle name="Calculation 5 2 23 2" xfId="3802"/>
    <cellStyle name="Calculation 5 2 23 2 2" xfId="19488"/>
    <cellStyle name="Calculation 5 2 23 2 2 2" xfId="39556"/>
    <cellStyle name="Calculation 5 2 23 2 3" xfId="25657"/>
    <cellStyle name="Calculation 5 2 23 3" xfId="18625"/>
    <cellStyle name="Calculation 5 2 23 3 2" xfId="38693"/>
    <cellStyle name="Calculation 5 2 23 4" xfId="25656"/>
    <cellStyle name="Calculation 5 2 24" xfId="3803"/>
    <cellStyle name="Calculation 5 2 24 2" xfId="3804"/>
    <cellStyle name="Calculation 5 2 24 2 2" xfId="19489"/>
    <cellStyle name="Calculation 5 2 24 2 2 2" xfId="39557"/>
    <cellStyle name="Calculation 5 2 24 2 3" xfId="25659"/>
    <cellStyle name="Calculation 5 2 24 3" xfId="18725"/>
    <cellStyle name="Calculation 5 2 24 3 2" xfId="38793"/>
    <cellStyle name="Calculation 5 2 24 4" xfId="25658"/>
    <cellStyle name="Calculation 5 2 25" xfId="3805"/>
    <cellStyle name="Calculation 5 2 25 2" xfId="3806"/>
    <cellStyle name="Calculation 5 2 25 2 2" xfId="19490"/>
    <cellStyle name="Calculation 5 2 25 2 2 2" xfId="39558"/>
    <cellStyle name="Calculation 5 2 25 2 3" xfId="25661"/>
    <cellStyle name="Calculation 5 2 25 3" xfId="18825"/>
    <cellStyle name="Calculation 5 2 25 3 2" xfId="38893"/>
    <cellStyle name="Calculation 5 2 25 4" xfId="25660"/>
    <cellStyle name="Calculation 5 2 26" xfId="3807"/>
    <cellStyle name="Calculation 5 2 26 2" xfId="19473"/>
    <cellStyle name="Calculation 5 2 26 2 2" xfId="39541"/>
    <cellStyle name="Calculation 5 2 26 3" xfId="25662"/>
    <cellStyle name="Calculation 5 2 27" xfId="14025"/>
    <cellStyle name="Calculation 5 2 27 2" xfId="34093"/>
    <cellStyle name="Calculation 5 2 28" xfId="25627"/>
    <cellStyle name="Calculation 5 2 3" xfId="3808"/>
    <cellStyle name="Calculation 5 2 3 2" xfId="3809"/>
    <cellStyle name="Calculation 5 2 3 2 2" xfId="19491"/>
    <cellStyle name="Calculation 5 2 3 2 2 2" xfId="39559"/>
    <cellStyle name="Calculation 5 2 3 2 3" xfId="25664"/>
    <cellStyle name="Calculation 5 2 3 3" xfId="14763"/>
    <cellStyle name="Calculation 5 2 3 3 2" xfId="34831"/>
    <cellStyle name="Calculation 5 2 3 4" xfId="25663"/>
    <cellStyle name="Calculation 5 2 4" xfId="3810"/>
    <cellStyle name="Calculation 5 2 4 2" xfId="3811"/>
    <cellStyle name="Calculation 5 2 4 2 2" xfId="19492"/>
    <cellStyle name="Calculation 5 2 4 2 2 2" xfId="39560"/>
    <cellStyle name="Calculation 5 2 4 2 3" xfId="25666"/>
    <cellStyle name="Calculation 5 2 4 3" xfId="14882"/>
    <cellStyle name="Calculation 5 2 4 3 2" xfId="34950"/>
    <cellStyle name="Calculation 5 2 4 4" xfId="25665"/>
    <cellStyle name="Calculation 5 2 5" xfId="3812"/>
    <cellStyle name="Calculation 5 2 5 2" xfId="3813"/>
    <cellStyle name="Calculation 5 2 5 2 2" xfId="19493"/>
    <cellStyle name="Calculation 5 2 5 2 2 2" xfId="39561"/>
    <cellStyle name="Calculation 5 2 5 2 3" xfId="25668"/>
    <cellStyle name="Calculation 5 2 5 3" xfId="15051"/>
    <cellStyle name="Calculation 5 2 5 3 2" xfId="35119"/>
    <cellStyle name="Calculation 5 2 5 4" xfId="25667"/>
    <cellStyle name="Calculation 5 2 6" xfId="3814"/>
    <cellStyle name="Calculation 5 2 6 2" xfId="3815"/>
    <cellStyle name="Calculation 5 2 6 2 2" xfId="19494"/>
    <cellStyle name="Calculation 5 2 6 2 2 2" xfId="39562"/>
    <cellStyle name="Calculation 5 2 6 2 3" xfId="25670"/>
    <cellStyle name="Calculation 5 2 6 3" xfId="14510"/>
    <cellStyle name="Calculation 5 2 6 3 2" xfId="34578"/>
    <cellStyle name="Calculation 5 2 6 4" xfId="25669"/>
    <cellStyle name="Calculation 5 2 7" xfId="3816"/>
    <cellStyle name="Calculation 5 2 7 2" xfId="3817"/>
    <cellStyle name="Calculation 5 2 7 2 2" xfId="19495"/>
    <cellStyle name="Calculation 5 2 7 2 2 2" xfId="39563"/>
    <cellStyle name="Calculation 5 2 7 2 3" xfId="25672"/>
    <cellStyle name="Calculation 5 2 7 3" xfId="15194"/>
    <cellStyle name="Calculation 5 2 7 3 2" xfId="35262"/>
    <cellStyle name="Calculation 5 2 7 4" xfId="25671"/>
    <cellStyle name="Calculation 5 2 8" xfId="3818"/>
    <cellStyle name="Calculation 5 2 8 2" xfId="3819"/>
    <cellStyle name="Calculation 5 2 8 2 2" xfId="19496"/>
    <cellStyle name="Calculation 5 2 8 2 2 2" xfId="39564"/>
    <cellStyle name="Calculation 5 2 8 2 3" xfId="25674"/>
    <cellStyle name="Calculation 5 2 8 3" xfId="16548"/>
    <cellStyle name="Calculation 5 2 8 3 2" xfId="36616"/>
    <cellStyle name="Calculation 5 2 8 4" xfId="25673"/>
    <cellStyle name="Calculation 5 2 9" xfId="3820"/>
    <cellStyle name="Calculation 5 2 9 2" xfId="3821"/>
    <cellStyle name="Calculation 5 2 9 2 2" xfId="19497"/>
    <cellStyle name="Calculation 5 2 9 2 2 2" xfId="39565"/>
    <cellStyle name="Calculation 5 2 9 2 3" xfId="25676"/>
    <cellStyle name="Calculation 5 2 9 3" xfId="16752"/>
    <cellStyle name="Calculation 5 2 9 3 2" xfId="36820"/>
    <cellStyle name="Calculation 5 2 9 4" xfId="25675"/>
    <cellStyle name="Calculation 5 20" xfId="3822"/>
    <cellStyle name="Calculation 5 20 2" xfId="3823"/>
    <cellStyle name="Calculation 5 20 2 2" xfId="19498"/>
    <cellStyle name="Calculation 5 20 2 2 2" xfId="39566"/>
    <cellStyle name="Calculation 5 20 2 3" xfId="25678"/>
    <cellStyle name="Calculation 5 20 3" xfId="16732"/>
    <cellStyle name="Calculation 5 20 3 2" xfId="36800"/>
    <cellStyle name="Calculation 5 20 4" xfId="25677"/>
    <cellStyle name="Calculation 5 21" xfId="3824"/>
    <cellStyle name="Calculation 5 21 2" xfId="3825"/>
    <cellStyle name="Calculation 5 21 2 2" xfId="19499"/>
    <cellStyle name="Calculation 5 21 2 2 2" xfId="39567"/>
    <cellStyle name="Calculation 5 21 2 3" xfId="25680"/>
    <cellStyle name="Calculation 5 21 3" xfId="15391"/>
    <cellStyle name="Calculation 5 21 3 2" xfId="35459"/>
    <cellStyle name="Calculation 5 21 4" xfId="25679"/>
    <cellStyle name="Calculation 5 22" xfId="3826"/>
    <cellStyle name="Calculation 5 22 2" xfId="3827"/>
    <cellStyle name="Calculation 5 22 2 2" xfId="19500"/>
    <cellStyle name="Calculation 5 22 2 2 2" xfId="39568"/>
    <cellStyle name="Calculation 5 22 2 3" xfId="25682"/>
    <cellStyle name="Calculation 5 22 3" xfId="15387"/>
    <cellStyle name="Calculation 5 22 3 2" xfId="35455"/>
    <cellStyle name="Calculation 5 22 4" xfId="25681"/>
    <cellStyle name="Calculation 5 23" xfId="3828"/>
    <cellStyle name="Calculation 5 23 2" xfId="3829"/>
    <cellStyle name="Calculation 5 23 2 2" xfId="19501"/>
    <cellStyle name="Calculation 5 23 2 2 2" xfId="39569"/>
    <cellStyle name="Calculation 5 23 2 3" xfId="25684"/>
    <cellStyle name="Calculation 5 23 3" xfId="16525"/>
    <cellStyle name="Calculation 5 23 3 2" xfId="36593"/>
    <cellStyle name="Calculation 5 23 4" xfId="25683"/>
    <cellStyle name="Calculation 5 24" xfId="3830"/>
    <cellStyle name="Calculation 5 24 2" xfId="3831"/>
    <cellStyle name="Calculation 5 24 2 2" xfId="19502"/>
    <cellStyle name="Calculation 5 24 2 2 2" xfId="39570"/>
    <cellStyle name="Calculation 5 24 2 3" xfId="25686"/>
    <cellStyle name="Calculation 5 24 3" xfId="17694"/>
    <cellStyle name="Calculation 5 24 3 2" xfId="37762"/>
    <cellStyle name="Calculation 5 24 4" xfId="25685"/>
    <cellStyle name="Calculation 5 25" xfId="3832"/>
    <cellStyle name="Calculation 5 25 2" xfId="3833"/>
    <cellStyle name="Calculation 5 25 2 2" xfId="19503"/>
    <cellStyle name="Calculation 5 25 2 2 2" xfId="39571"/>
    <cellStyle name="Calculation 5 25 2 3" xfId="25688"/>
    <cellStyle name="Calculation 5 25 3" xfId="16409"/>
    <cellStyle name="Calculation 5 25 3 2" xfId="36477"/>
    <cellStyle name="Calculation 5 25 4" xfId="25687"/>
    <cellStyle name="Calculation 5 26" xfId="3834"/>
    <cellStyle name="Calculation 5 26 2" xfId="3835"/>
    <cellStyle name="Calculation 5 26 2 2" xfId="19504"/>
    <cellStyle name="Calculation 5 26 2 2 2" xfId="39572"/>
    <cellStyle name="Calculation 5 26 2 3" xfId="25690"/>
    <cellStyle name="Calculation 5 26 3" xfId="16360"/>
    <cellStyle name="Calculation 5 26 3 2" xfId="36428"/>
    <cellStyle name="Calculation 5 26 4" xfId="25689"/>
    <cellStyle name="Calculation 5 27" xfId="3836"/>
    <cellStyle name="Calculation 5 27 2" xfId="3837"/>
    <cellStyle name="Calculation 5 27 2 2" xfId="19505"/>
    <cellStyle name="Calculation 5 27 2 2 2" xfId="39573"/>
    <cellStyle name="Calculation 5 27 2 3" xfId="25692"/>
    <cellStyle name="Calculation 5 27 3" xfId="16093"/>
    <cellStyle name="Calculation 5 27 3 2" xfId="36161"/>
    <cellStyle name="Calculation 5 27 4" xfId="25691"/>
    <cellStyle name="Calculation 5 28" xfId="3838"/>
    <cellStyle name="Calculation 5 28 2" xfId="19462"/>
    <cellStyle name="Calculation 5 28 2 2" xfId="39530"/>
    <cellStyle name="Calculation 5 28 3" xfId="25693"/>
    <cellStyle name="Calculation 5 29" xfId="13861"/>
    <cellStyle name="Calculation 5 29 2" xfId="33929"/>
    <cellStyle name="Calculation 5 3" xfId="3839"/>
    <cellStyle name="Calculation 5 3 2" xfId="3840"/>
    <cellStyle name="Calculation 5 3 2 2" xfId="19506"/>
    <cellStyle name="Calculation 5 3 2 2 2" xfId="39574"/>
    <cellStyle name="Calculation 5 3 2 3" xfId="25695"/>
    <cellStyle name="Calculation 5 3 3" xfId="14026"/>
    <cellStyle name="Calculation 5 3 3 2" xfId="34094"/>
    <cellStyle name="Calculation 5 3 4" xfId="25694"/>
    <cellStyle name="Calculation 5 30" xfId="25606"/>
    <cellStyle name="Calculation 5 4" xfId="3841"/>
    <cellStyle name="Calculation 5 4 2" xfId="3842"/>
    <cellStyle name="Calculation 5 4 2 2" xfId="19507"/>
    <cellStyle name="Calculation 5 4 2 2 2" xfId="39575"/>
    <cellStyle name="Calculation 5 4 2 3" xfId="25697"/>
    <cellStyle name="Calculation 5 4 3" xfId="14419"/>
    <cellStyle name="Calculation 5 4 3 2" xfId="34487"/>
    <cellStyle name="Calculation 5 4 4" xfId="25696"/>
    <cellStyle name="Calculation 5 5" xfId="3843"/>
    <cellStyle name="Calculation 5 5 2" xfId="3844"/>
    <cellStyle name="Calculation 5 5 2 2" xfId="19508"/>
    <cellStyle name="Calculation 5 5 2 2 2" xfId="39576"/>
    <cellStyle name="Calculation 5 5 2 3" xfId="25699"/>
    <cellStyle name="Calculation 5 5 3" xfId="14361"/>
    <cellStyle name="Calculation 5 5 3 2" xfId="34429"/>
    <cellStyle name="Calculation 5 5 4" xfId="25698"/>
    <cellStyle name="Calculation 5 6" xfId="3845"/>
    <cellStyle name="Calculation 5 6 2" xfId="3846"/>
    <cellStyle name="Calculation 5 6 2 2" xfId="19509"/>
    <cellStyle name="Calculation 5 6 2 2 2" xfId="39577"/>
    <cellStyle name="Calculation 5 6 2 3" xfId="25701"/>
    <cellStyle name="Calculation 5 6 3" xfId="14163"/>
    <cellStyle name="Calculation 5 6 3 2" xfId="34231"/>
    <cellStyle name="Calculation 5 6 4" xfId="25700"/>
    <cellStyle name="Calculation 5 7" xfId="3847"/>
    <cellStyle name="Calculation 5 7 2" xfId="3848"/>
    <cellStyle name="Calculation 5 7 2 2" xfId="19510"/>
    <cellStyle name="Calculation 5 7 2 2 2" xfId="39578"/>
    <cellStyle name="Calculation 5 7 2 3" xfId="25703"/>
    <cellStyle name="Calculation 5 7 3" xfId="14416"/>
    <cellStyle name="Calculation 5 7 3 2" xfId="34484"/>
    <cellStyle name="Calculation 5 7 4" xfId="25702"/>
    <cellStyle name="Calculation 5 8" xfId="3849"/>
    <cellStyle name="Calculation 5 8 2" xfId="3850"/>
    <cellStyle name="Calculation 5 8 2 2" xfId="19511"/>
    <cellStyle name="Calculation 5 8 2 2 2" xfId="39579"/>
    <cellStyle name="Calculation 5 8 2 3" xfId="25705"/>
    <cellStyle name="Calculation 5 8 3" xfId="14291"/>
    <cellStyle name="Calculation 5 8 3 2" xfId="34359"/>
    <cellStyle name="Calculation 5 8 4" xfId="25704"/>
    <cellStyle name="Calculation 5 9" xfId="3851"/>
    <cellStyle name="Calculation 5 9 2" xfId="3852"/>
    <cellStyle name="Calculation 5 9 2 2" xfId="19512"/>
    <cellStyle name="Calculation 5 9 2 2 2" xfId="39580"/>
    <cellStyle name="Calculation 5 9 2 3" xfId="25707"/>
    <cellStyle name="Calculation 5 9 3" xfId="14126"/>
    <cellStyle name="Calculation 5 9 3 2" xfId="34194"/>
    <cellStyle name="Calculation 5 9 4" xfId="25706"/>
    <cellStyle name="Calculation 6" xfId="3853"/>
    <cellStyle name="Calculation 6 2" xfId="3854"/>
    <cellStyle name="Calculation 6 2 2" xfId="3855"/>
    <cellStyle name="Calculation 6 2 2 2" xfId="19514"/>
    <cellStyle name="Calculation 6 2 2 2 2" xfId="39582"/>
    <cellStyle name="Calculation 6 2 2 3" xfId="25710"/>
    <cellStyle name="Calculation 6 2 3" xfId="15361"/>
    <cellStyle name="Calculation 6 2 3 2" xfId="35429"/>
    <cellStyle name="Calculation 6 2 4" xfId="25709"/>
    <cellStyle name="Calculation 6 3" xfId="3856"/>
    <cellStyle name="Calculation 6 3 2" xfId="19513"/>
    <cellStyle name="Calculation 6 3 2 2" xfId="39581"/>
    <cellStyle name="Calculation 6 3 3" xfId="25711"/>
    <cellStyle name="Calculation 6 4" xfId="13955"/>
    <cellStyle name="Calculation 6 4 2" xfId="34023"/>
    <cellStyle name="Calculation 6 5" xfId="25708"/>
    <cellStyle name="Calculation 7" xfId="3857"/>
    <cellStyle name="Calculation 7 2" xfId="3858"/>
    <cellStyle name="Calculation 7 2 2" xfId="3859"/>
    <cellStyle name="Calculation 7 2 2 2" xfId="19516"/>
    <cellStyle name="Calculation 7 2 2 2 2" xfId="39584"/>
    <cellStyle name="Calculation 7 2 2 3" xfId="25714"/>
    <cellStyle name="Calculation 7 2 3" xfId="15362"/>
    <cellStyle name="Calculation 7 2 3 2" xfId="35430"/>
    <cellStyle name="Calculation 7 2 4" xfId="25713"/>
    <cellStyle name="Calculation 7 3" xfId="3860"/>
    <cellStyle name="Calculation 7 3 2" xfId="19515"/>
    <cellStyle name="Calculation 7 3 2 2" xfId="39583"/>
    <cellStyle name="Calculation 7 3 3" xfId="25715"/>
    <cellStyle name="Calculation 7 4" xfId="13956"/>
    <cellStyle name="Calculation 7 4 2" xfId="34024"/>
    <cellStyle name="Calculation 7 5" xfId="25712"/>
    <cellStyle name="Cellule liée" xfId="3861"/>
    <cellStyle name="Cellule liée 10" xfId="3862"/>
    <cellStyle name="Cellule liée 10 2" xfId="3863"/>
    <cellStyle name="Cellule liée 10 2 2" xfId="19517"/>
    <cellStyle name="Cellule liée 10 2 2 2" xfId="39585"/>
    <cellStyle name="Cellule liée 10 2 3" xfId="24208"/>
    <cellStyle name="Cellule liée 10 3" xfId="16306"/>
    <cellStyle name="Cellule liée 10 3 2" xfId="36374"/>
    <cellStyle name="Cellule liée 10 4" xfId="24064"/>
    <cellStyle name="Cellule liée 11" xfId="3864"/>
    <cellStyle name="Cellule liée 11 2" xfId="3865"/>
    <cellStyle name="Cellule liée 11 2 2" xfId="19518"/>
    <cellStyle name="Cellule liée 11 2 2 2" xfId="39586"/>
    <cellStyle name="Cellule liée 11 2 3" xfId="24209"/>
    <cellStyle name="Cellule liée 11 3" xfId="15589"/>
    <cellStyle name="Cellule liée 11 3 2" xfId="35657"/>
    <cellStyle name="Cellule liée 11 4" xfId="24020"/>
    <cellStyle name="Cellule liée 12" xfId="3866"/>
    <cellStyle name="Cellule liée 12 2" xfId="3867"/>
    <cellStyle name="Cellule liée 12 2 2" xfId="19519"/>
    <cellStyle name="Cellule liée 12 2 2 2" xfId="39587"/>
    <cellStyle name="Cellule liée 12 2 3" xfId="24210"/>
    <cellStyle name="Cellule liée 12 3" xfId="16703"/>
    <cellStyle name="Cellule liée 12 3 2" xfId="36771"/>
    <cellStyle name="Cellule liée 12 4" xfId="24088"/>
    <cellStyle name="Cellule liée 13" xfId="3868"/>
    <cellStyle name="Cellule liée 13 2" xfId="3869"/>
    <cellStyle name="Cellule liée 13 2 2" xfId="19520"/>
    <cellStyle name="Cellule liée 13 2 2 2" xfId="39588"/>
    <cellStyle name="Cellule liée 13 2 3" xfId="24211"/>
    <cellStyle name="Cellule liée 13 3" xfId="15881"/>
    <cellStyle name="Cellule liée 13 3 2" xfId="35949"/>
    <cellStyle name="Cellule liée 13 4" xfId="24035"/>
    <cellStyle name="Cellule liée 14" xfId="3870"/>
    <cellStyle name="Cellule liée 14 2" xfId="3871"/>
    <cellStyle name="Cellule liée 14 2 2" xfId="19521"/>
    <cellStyle name="Cellule liée 14 2 2 2" xfId="39589"/>
    <cellStyle name="Cellule liée 14 2 3" xfId="24212"/>
    <cellStyle name="Cellule liée 14 3" xfId="17377"/>
    <cellStyle name="Cellule liée 14 3 2" xfId="37445"/>
    <cellStyle name="Cellule liée 14 4" xfId="24144"/>
    <cellStyle name="Cellule liée 15" xfId="3872"/>
    <cellStyle name="Cellule liée 15 2" xfId="17859"/>
    <cellStyle name="Cellule liée 15 2 2" xfId="37927"/>
    <cellStyle name="Cellule liée 15 3" xfId="24162"/>
    <cellStyle name="Cellule liée 16" xfId="13862"/>
    <cellStyle name="Cellule liée 16 2" xfId="33930"/>
    <cellStyle name="Cellule liée 17" xfId="23876"/>
    <cellStyle name="Cellule liée 2" xfId="3873"/>
    <cellStyle name="Cellule liée 2 10" xfId="3874"/>
    <cellStyle name="Cellule liée 2 10 2" xfId="3875"/>
    <cellStyle name="Cellule liée 2 10 2 2" xfId="19522"/>
    <cellStyle name="Cellule liée 2 10 2 2 2" xfId="39590"/>
    <cellStyle name="Cellule liée 2 10 2 3" xfId="24213"/>
    <cellStyle name="Cellule liée 2 10 3" xfId="16162"/>
    <cellStyle name="Cellule liée 2 10 3 2" xfId="36230"/>
    <cellStyle name="Cellule liée 2 10 4" xfId="24053"/>
    <cellStyle name="Cellule liée 2 11" xfId="3876"/>
    <cellStyle name="Cellule liée 2 11 2" xfId="3877"/>
    <cellStyle name="Cellule liée 2 11 2 2" xfId="19523"/>
    <cellStyle name="Cellule liée 2 11 2 2 2" xfId="39591"/>
    <cellStyle name="Cellule liée 2 11 2 3" xfId="24214"/>
    <cellStyle name="Cellule liée 2 11 3" xfId="17891"/>
    <cellStyle name="Cellule liée 2 11 3 2" xfId="37959"/>
    <cellStyle name="Cellule liée 2 11 4" xfId="24163"/>
    <cellStyle name="Cellule liée 2 12" xfId="3878"/>
    <cellStyle name="Cellule liée 2 12 2" xfId="3879"/>
    <cellStyle name="Cellule liée 2 12 2 2" xfId="19524"/>
    <cellStyle name="Cellule liée 2 12 2 2 2" xfId="39592"/>
    <cellStyle name="Cellule liée 2 12 2 3" xfId="24215"/>
    <cellStyle name="Cellule liée 2 12 3" xfId="18286"/>
    <cellStyle name="Cellule liée 2 12 3 2" xfId="38354"/>
    <cellStyle name="Cellule liée 2 12 4" xfId="24183"/>
    <cellStyle name="Cellule liée 2 13" xfId="3880"/>
    <cellStyle name="Cellule liée 2 13 2" xfId="18353"/>
    <cellStyle name="Cellule liée 2 13 2 2" xfId="38421"/>
    <cellStyle name="Cellule liée 2 13 3" xfId="24195"/>
    <cellStyle name="Cellule liée 2 14" xfId="13957"/>
    <cellStyle name="Cellule liée 2 14 2" xfId="34025"/>
    <cellStyle name="Cellule liée 2 15" xfId="23901"/>
    <cellStyle name="Cellule liée 2 2" xfId="3881"/>
    <cellStyle name="Cellule liée 2 2 2" xfId="3882"/>
    <cellStyle name="Cellule liée 2 2 2 2" xfId="19525"/>
    <cellStyle name="Cellule liée 2 2 2 2 2" xfId="39593"/>
    <cellStyle name="Cellule liée 2 2 2 3" xfId="24216"/>
    <cellStyle name="Cellule liée 2 2 3" xfId="14865"/>
    <cellStyle name="Cellule liée 2 2 3 2" xfId="34933"/>
    <cellStyle name="Cellule liée 2 2 4" xfId="23961"/>
    <cellStyle name="Cellule liée 2 3" xfId="3883"/>
    <cellStyle name="Cellule liée 2 3 2" xfId="3884"/>
    <cellStyle name="Cellule liée 2 3 2 2" xfId="19526"/>
    <cellStyle name="Cellule liée 2 3 2 2 2" xfId="39594"/>
    <cellStyle name="Cellule liée 2 3 2 3" xfId="24217"/>
    <cellStyle name="Cellule liée 2 3 3" xfId="15034"/>
    <cellStyle name="Cellule liée 2 3 3 2" xfId="35102"/>
    <cellStyle name="Cellule liée 2 3 4" xfId="23977"/>
    <cellStyle name="Cellule liée 2 4" xfId="3885"/>
    <cellStyle name="Cellule liée 2 4 2" xfId="3886"/>
    <cellStyle name="Cellule liée 2 4 2 2" xfId="19527"/>
    <cellStyle name="Cellule liée 2 4 2 2 2" xfId="39595"/>
    <cellStyle name="Cellule liée 2 4 2 3" xfId="24218"/>
    <cellStyle name="Cellule liée 2 4 3" xfId="14580"/>
    <cellStyle name="Cellule liée 2 4 3 2" xfId="34648"/>
    <cellStyle name="Cellule liée 2 4 4" xfId="23951"/>
    <cellStyle name="Cellule liée 2 5" xfId="3887"/>
    <cellStyle name="Cellule liée 2 5 2" xfId="3888"/>
    <cellStyle name="Cellule liée 2 5 2 2" xfId="19528"/>
    <cellStyle name="Cellule liée 2 5 2 2 2" xfId="39596"/>
    <cellStyle name="Cellule liée 2 5 2 3" xfId="24219"/>
    <cellStyle name="Cellule liée 2 5 3" xfId="15363"/>
    <cellStyle name="Cellule liée 2 5 3 2" xfId="35431"/>
    <cellStyle name="Cellule liée 2 5 4" xfId="24000"/>
    <cellStyle name="Cellule liée 2 6" xfId="3889"/>
    <cellStyle name="Cellule liée 2 6 2" xfId="3890"/>
    <cellStyle name="Cellule liée 2 6 2 2" xfId="19529"/>
    <cellStyle name="Cellule liée 2 6 2 2 2" xfId="39597"/>
    <cellStyle name="Cellule liée 2 6 2 3" xfId="24220"/>
    <cellStyle name="Cellule liée 2 6 3" xfId="16735"/>
    <cellStyle name="Cellule liée 2 6 3 2" xfId="36803"/>
    <cellStyle name="Cellule liée 2 6 4" xfId="24090"/>
    <cellStyle name="Cellule liée 2 7" xfId="3891"/>
    <cellStyle name="Cellule liée 2 7 2" xfId="3892"/>
    <cellStyle name="Cellule liée 2 7 2 2" xfId="19530"/>
    <cellStyle name="Cellule liée 2 7 2 2 2" xfId="39598"/>
    <cellStyle name="Cellule liée 2 7 2 3" xfId="24221"/>
    <cellStyle name="Cellule liée 2 7 3" xfId="17041"/>
    <cellStyle name="Cellule liée 2 7 3 2" xfId="37109"/>
    <cellStyle name="Cellule liée 2 7 4" xfId="24110"/>
    <cellStyle name="Cellule liée 2 8" xfId="3893"/>
    <cellStyle name="Cellule liée 2 8 2" xfId="3894"/>
    <cellStyle name="Cellule liée 2 8 2 2" xfId="19531"/>
    <cellStyle name="Cellule liée 2 8 2 2 2" xfId="39599"/>
    <cellStyle name="Cellule liée 2 8 2 3" xfId="24222"/>
    <cellStyle name="Cellule liée 2 8 3" xfId="17213"/>
    <cellStyle name="Cellule liée 2 8 3 2" xfId="37281"/>
    <cellStyle name="Cellule liée 2 8 4" xfId="24124"/>
    <cellStyle name="Cellule liée 2 9" xfId="3895"/>
    <cellStyle name="Cellule liée 2 9 2" xfId="3896"/>
    <cellStyle name="Cellule liée 2 9 2 2" xfId="19532"/>
    <cellStyle name="Cellule liée 2 9 2 2 2" xfId="39600"/>
    <cellStyle name="Cellule liée 2 9 2 3" xfId="24223"/>
    <cellStyle name="Cellule liée 2 9 3" xfId="17647"/>
    <cellStyle name="Cellule liée 2 9 3 2" xfId="37715"/>
    <cellStyle name="Cellule liée 2 9 4" xfId="24145"/>
    <cellStyle name="Cellule liée 3" xfId="3897"/>
    <cellStyle name="Cellule liée 3 2" xfId="3898"/>
    <cellStyle name="Cellule liée 3 2 2" xfId="3899"/>
    <cellStyle name="Cellule liée 3 2 2 2" xfId="19534"/>
    <cellStyle name="Cellule liée 3 2 2 2 2" xfId="39602"/>
    <cellStyle name="Cellule liée 3 2 2 3" xfId="24225"/>
    <cellStyle name="Cellule liée 3 2 3" xfId="15364"/>
    <cellStyle name="Cellule liée 3 2 3 2" xfId="35432"/>
    <cellStyle name="Cellule liée 3 2 4" xfId="24001"/>
    <cellStyle name="Cellule liée 3 3" xfId="3900"/>
    <cellStyle name="Cellule liée 3 3 2" xfId="19533"/>
    <cellStyle name="Cellule liée 3 3 2 2" xfId="39601"/>
    <cellStyle name="Cellule liée 3 3 3" xfId="24224"/>
    <cellStyle name="Cellule liée 3 4" xfId="13958"/>
    <cellStyle name="Cellule liée 3 4 2" xfId="34026"/>
    <cellStyle name="Cellule liée 3 5" xfId="23902"/>
    <cellStyle name="Cellule liée 4" xfId="3901"/>
    <cellStyle name="Cellule liée 4 2" xfId="3902"/>
    <cellStyle name="Cellule liée 4 2 2" xfId="19535"/>
    <cellStyle name="Cellule liée 4 2 2 2" xfId="39603"/>
    <cellStyle name="Cellule liée 4 2 3" xfId="24226"/>
    <cellStyle name="Cellule liée 4 3" xfId="14507"/>
    <cellStyle name="Cellule liée 4 3 2" xfId="34575"/>
    <cellStyle name="Cellule liée 4 4" xfId="23945"/>
    <cellStyle name="Cellule liée 5" xfId="3903"/>
    <cellStyle name="Cellule liée 5 2" xfId="3904"/>
    <cellStyle name="Cellule liée 5 2 2" xfId="19536"/>
    <cellStyle name="Cellule liée 5 2 2 2" xfId="39604"/>
    <cellStyle name="Cellule liée 5 2 3" xfId="24227"/>
    <cellStyle name="Cellule liée 5 3" xfId="14056"/>
    <cellStyle name="Cellule liée 5 3 2" xfId="34124"/>
    <cellStyle name="Cellule liée 5 4" xfId="23905"/>
    <cellStyle name="Cellule liée 6" xfId="3905"/>
    <cellStyle name="Cellule liée 6 2" xfId="3906"/>
    <cellStyle name="Cellule liée 6 2 2" xfId="19537"/>
    <cellStyle name="Cellule liée 6 2 2 2" xfId="39605"/>
    <cellStyle name="Cellule liée 6 2 3" xfId="24228"/>
    <cellStyle name="Cellule liée 6 3" xfId="14550"/>
    <cellStyle name="Cellule liée 6 3 2" xfId="34618"/>
    <cellStyle name="Cellule liée 6 4" xfId="23947"/>
    <cellStyle name="Cellule liée 7" xfId="3907"/>
    <cellStyle name="Cellule liée 7 2" xfId="3908"/>
    <cellStyle name="Cellule liée 7 2 2" xfId="19538"/>
    <cellStyle name="Cellule liée 7 2 2 2" xfId="39606"/>
    <cellStyle name="Cellule liée 7 2 3" xfId="24229"/>
    <cellStyle name="Cellule liée 7 3" xfId="14846"/>
    <cellStyle name="Cellule liée 7 3 2" xfId="34914"/>
    <cellStyle name="Cellule liée 7 4" xfId="23958"/>
    <cellStyle name="Cellule liée 8" xfId="3909"/>
    <cellStyle name="Cellule liée 8 2" xfId="3910"/>
    <cellStyle name="Cellule liée 8 2 2" xfId="19539"/>
    <cellStyle name="Cellule liée 8 2 2 2" xfId="39607"/>
    <cellStyle name="Cellule liée 8 2 3" xfId="24230"/>
    <cellStyle name="Cellule liée 8 3" xfId="16322"/>
    <cellStyle name="Cellule liée 8 3 2" xfId="36390"/>
    <cellStyle name="Cellule liée 8 4" xfId="24066"/>
    <cellStyle name="Cellule liée 9" xfId="3911"/>
    <cellStyle name="Cellule liée 9 2" xfId="3912"/>
    <cellStyle name="Cellule liée 9 2 2" xfId="19540"/>
    <cellStyle name="Cellule liée 9 2 2 2" xfId="39608"/>
    <cellStyle name="Cellule liée 9 2 3" xfId="24231"/>
    <cellStyle name="Cellule liée 9 3" xfId="16277"/>
    <cellStyle name="Cellule liée 9 3 2" xfId="36345"/>
    <cellStyle name="Cellule liée 9 4" xfId="24060"/>
    <cellStyle name="Cellule liée_2012-2013" xfId="3913"/>
    <cellStyle name="Check Cell" xfId="16" builtinId="23" customBuiltin="1"/>
    <cellStyle name="Check Cell 2" xfId="3914"/>
    <cellStyle name="Check Cell 2 2" xfId="3915"/>
    <cellStyle name="Check Cell 2 2 2" xfId="23878"/>
    <cellStyle name="Check Cell 2 3" xfId="3916"/>
    <cellStyle name="Check Cell 2 3 2" xfId="23879"/>
    <cellStyle name="Check Cell 2 4" xfId="3917"/>
    <cellStyle name="Check Cell 2 4 2" xfId="23880"/>
    <cellStyle name="Check Cell 2 5" xfId="3918"/>
    <cellStyle name="Check Cell 2 5 2" xfId="23881"/>
    <cellStyle name="Check Cell 2 6" xfId="23877"/>
    <cellStyle name="Check Cell 3" xfId="3919"/>
    <cellStyle name="Check Cell 3 2" xfId="3920"/>
    <cellStyle name="Check Cell 3 2 2" xfId="23883"/>
    <cellStyle name="Check Cell 3 3" xfId="3921"/>
    <cellStyle name="Check Cell 3 3 2" xfId="23884"/>
    <cellStyle name="Check Cell 3 4" xfId="23882"/>
    <cellStyle name="Check Cell 4" xfId="3922"/>
    <cellStyle name="Check Cell 4 2" xfId="3923"/>
    <cellStyle name="Check Cell 4 2 2" xfId="23886"/>
    <cellStyle name="Check Cell 4 3" xfId="23885"/>
    <cellStyle name="Check Cell 5" xfId="3924"/>
    <cellStyle name="Check Cell 5 2" xfId="23887"/>
    <cellStyle name="Comma [0] 2" xfId="3925"/>
    <cellStyle name="Comma 10" xfId="3926"/>
    <cellStyle name="Comma 11" xfId="3927"/>
    <cellStyle name="Comma 12" xfId="3928"/>
    <cellStyle name="Comma 12 2" xfId="3929"/>
    <cellStyle name="Comma 12 2 2" xfId="3930"/>
    <cellStyle name="Comma 12 2 2 2" xfId="3931"/>
    <cellStyle name="Comma 12 2 3" xfId="3932"/>
    <cellStyle name="Comma 12 3" xfId="3933"/>
    <cellStyle name="Comma 12 3 2" xfId="3934"/>
    <cellStyle name="Comma 12 3 2 2" xfId="3935"/>
    <cellStyle name="Comma 12 3 3" xfId="3936"/>
    <cellStyle name="Comma 12 4" xfId="3937"/>
    <cellStyle name="Comma 12 4 2" xfId="3938"/>
    <cellStyle name="Comma 12 5" xfId="3939"/>
    <cellStyle name="Comma 12 5 2" xfId="3940"/>
    <cellStyle name="Comma 12 6" xfId="3941"/>
    <cellStyle name="Comma 13" xfId="3942"/>
    <cellStyle name="Comma 13 2" xfId="3943"/>
    <cellStyle name="Comma 14" xfId="3944"/>
    <cellStyle name="Comma 15" xfId="3945"/>
    <cellStyle name="Comma 16" xfId="3946"/>
    <cellStyle name="Comma 16 2" xfId="3947"/>
    <cellStyle name="Comma 16 2 2" xfId="3948"/>
    <cellStyle name="Comma 16 2 2 2" xfId="3949"/>
    <cellStyle name="Comma 16 2 3" xfId="3950"/>
    <cellStyle name="Comma 16 3" xfId="3951"/>
    <cellStyle name="Comma 16 3 2" xfId="3952"/>
    <cellStyle name="Comma 16 3 2 2" xfId="3953"/>
    <cellStyle name="Comma 16 3 3" xfId="3954"/>
    <cellStyle name="Comma 16 4" xfId="3955"/>
    <cellStyle name="Comma 16 4 2" xfId="3956"/>
    <cellStyle name="Comma 16 5" xfId="3957"/>
    <cellStyle name="Comma 16 5 2" xfId="3958"/>
    <cellStyle name="Comma 16 6" xfId="3959"/>
    <cellStyle name="Comma 17" xfId="3960"/>
    <cellStyle name="Comma 18" xfId="3961"/>
    <cellStyle name="Comma 19" xfId="3962"/>
    <cellStyle name="Comma 2" xfId="3963"/>
    <cellStyle name="Comma 2 10" xfId="3964"/>
    <cellStyle name="Comma 2 10 2" xfId="3965"/>
    <cellStyle name="Comma 2 10 3" xfId="3966"/>
    <cellStyle name="Comma 2 11" xfId="3967"/>
    <cellStyle name="Comma 2 12" xfId="3968"/>
    <cellStyle name="Comma 2 12 2" xfId="3969"/>
    <cellStyle name="Comma 2 12 2 2" xfId="3970"/>
    <cellStyle name="Comma 2 12 2 2 2" xfId="3971"/>
    <cellStyle name="Comma 2 12 2 3" xfId="3972"/>
    <cellStyle name="Comma 2 12 3" xfId="3973"/>
    <cellStyle name="Comma 2 12 3 2" xfId="3974"/>
    <cellStyle name="Comma 2 12 3 2 2" xfId="3975"/>
    <cellStyle name="Comma 2 12 3 3" xfId="3976"/>
    <cellStyle name="Comma 2 12 4" xfId="3977"/>
    <cellStyle name="Comma 2 12 4 2" xfId="3978"/>
    <cellStyle name="Comma 2 12 5" xfId="3979"/>
    <cellStyle name="Comma 2 12 5 2" xfId="3980"/>
    <cellStyle name="Comma 2 12 6" xfId="3981"/>
    <cellStyle name="Comma 2 13" xfId="43970"/>
    <cellStyle name="Comma 2 2" xfId="3982"/>
    <cellStyle name="Comma 2 2 10" xfId="3983"/>
    <cellStyle name="Comma 2 2 11" xfId="3984"/>
    <cellStyle name="Comma 2 2 12" xfId="3985"/>
    <cellStyle name="Comma 2 2 13" xfId="3986"/>
    <cellStyle name="Comma 2 2 2" xfId="3987"/>
    <cellStyle name="Comma 2 2 2 2" xfId="3988"/>
    <cellStyle name="Comma 2 2 2 2 2" xfId="3989"/>
    <cellStyle name="Comma 2 2 2 2 2 2" xfId="3990"/>
    <cellStyle name="Comma 2 2 2 2 2 2 2" xfId="3991"/>
    <cellStyle name="Comma 2 2 2 2 2 2 2 2" xfId="3992"/>
    <cellStyle name="Comma 2 2 2 2 2 2 2 2 2" xfId="3993"/>
    <cellStyle name="Comma 2 2 2 2 2 2 2 2 2 2" xfId="3994"/>
    <cellStyle name="Comma 2 2 2 2 2 2 2 2 2 3" xfId="3995"/>
    <cellStyle name="Comma 2 2 2 2 2 2 2 2 3" xfId="3996"/>
    <cellStyle name="Comma 2 2 2 2 2 2 2 2 4" xfId="3997"/>
    <cellStyle name="Comma 2 2 2 2 2 2 2 2 5" xfId="3998"/>
    <cellStyle name="Comma 2 2 2 2 2 2 2 2 6" xfId="3999"/>
    <cellStyle name="Comma 2 2 2 2 2 2 2 3" xfId="4000"/>
    <cellStyle name="Comma 2 2 2 2 2 2 2 3 2" xfId="4001"/>
    <cellStyle name="Comma 2 2 2 2 2 2 2 3 3" xfId="4002"/>
    <cellStyle name="Comma 2 2 2 2 2 2 2 4" xfId="4003"/>
    <cellStyle name="Comma 2 2 2 2 2 2 3" xfId="4004"/>
    <cellStyle name="Comma 2 2 2 2 2 2 4" xfId="4005"/>
    <cellStyle name="Comma 2 2 2 2 2 2 5" xfId="4006"/>
    <cellStyle name="Comma 2 2 2 2 2 2 6" xfId="4007"/>
    <cellStyle name="Comma 2 2 2 2 2 2 7" xfId="4008"/>
    <cellStyle name="Comma 2 2 2 2 2 3" xfId="4009"/>
    <cellStyle name="Comma 2 2 2 2 2 3 2" xfId="4010"/>
    <cellStyle name="Comma 2 2 2 2 2 3 3" xfId="4011"/>
    <cellStyle name="Comma 2 2 2 2 2 3 4" xfId="4012"/>
    <cellStyle name="Comma 2 2 2 2 2 3 5" xfId="4013"/>
    <cellStyle name="Comma 2 2 2 2 2 4" xfId="4014"/>
    <cellStyle name="Comma 2 2 2 2 2 4 2" xfId="4015"/>
    <cellStyle name="Comma 2 2 2 2 2 4 3" xfId="4016"/>
    <cellStyle name="Comma 2 2 2 2 2 5" xfId="4017"/>
    <cellStyle name="Comma 2 2 2 2 3" xfId="4018"/>
    <cellStyle name="Comma 2 2 2 2 4" xfId="4019"/>
    <cellStyle name="Comma 2 2 2 2 4 2" xfId="4020"/>
    <cellStyle name="Comma 2 2 2 2 4 2 2" xfId="4021"/>
    <cellStyle name="Comma 2 2 2 2 4 2 3" xfId="4022"/>
    <cellStyle name="Comma 2 2 2 2 4 2 4" xfId="4023"/>
    <cellStyle name="Comma 2 2 2 2 4 2 5" xfId="4024"/>
    <cellStyle name="Comma 2 2 2 2 4 3" xfId="4025"/>
    <cellStyle name="Comma 2 2 2 2 4 3 2" xfId="4026"/>
    <cellStyle name="Comma 2 2 2 2 4 3 3" xfId="4027"/>
    <cellStyle name="Comma 2 2 2 2 5" xfId="4028"/>
    <cellStyle name="Comma 2 2 2 2 6" xfId="4029"/>
    <cellStyle name="Comma 2 2 2 2 7" xfId="4030"/>
    <cellStyle name="Comma 2 2 2 2 8" xfId="4031"/>
    <cellStyle name="Comma 2 2 2 2 9" xfId="4032"/>
    <cellStyle name="Comma 2 2 2 3" xfId="4033"/>
    <cellStyle name="Comma 2 2 2 3 2" xfId="4034"/>
    <cellStyle name="Comma 2 2 2 3 2 2" xfId="4035"/>
    <cellStyle name="Comma 2 2 2 3 2 2 2" xfId="4036"/>
    <cellStyle name="Comma 2 2 2 3 2 2 2 2" xfId="4037"/>
    <cellStyle name="Comma 2 2 2 3 2 2 2 2 2" xfId="4038"/>
    <cellStyle name="Comma 2 2 2 3 2 2 2 2 3" xfId="4039"/>
    <cellStyle name="Comma 2 2 2 3 2 2 2 3" xfId="4040"/>
    <cellStyle name="Comma 2 2 2 3 2 2 2 3 2" xfId="4041"/>
    <cellStyle name="Comma 2 2 2 3 2 2 2 3 3" xfId="4042"/>
    <cellStyle name="Comma 2 2 2 3 2 2 3" xfId="4043"/>
    <cellStyle name="Comma 2 2 2 3 2 2 4" xfId="4044"/>
    <cellStyle name="Comma 2 2 2 3 2 2 5" xfId="4045"/>
    <cellStyle name="Comma 2 2 2 3 2 3" xfId="4046"/>
    <cellStyle name="Comma 2 2 2 3 2 3 2" xfId="4047"/>
    <cellStyle name="Comma 2 2 2 3 2 3 3" xfId="4048"/>
    <cellStyle name="Comma 2 2 2 3 2 4" xfId="4049"/>
    <cellStyle name="Comma 2 2 2 3 2 4 2" xfId="4050"/>
    <cellStyle name="Comma 2 2 2 3 2 4 3" xfId="4051"/>
    <cellStyle name="Comma 2 2 2 3 3" xfId="4052"/>
    <cellStyle name="Comma 2 2 2 3 3 2" xfId="4053"/>
    <cellStyle name="Comma 2 2 2 3 3 2 2" xfId="4054"/>
    <cellStyle name="Comma 2 2 2 3 3 2 3" xfId="4055"/>
    <cellStyle name="Comma 2 2 2 3 3 3" xfId="4056"/>
    <cellStyle name="Comma 2 2 2 3 3 3 2" xfId="4057"/>
    <cellStyle name="Comma 2 2 2 3 3 3 3" xfId="4058"/>
    <cellStyle name="Comma 2 2 2 3 4" xfId="4059"/>
    <cellStyle name="Comma 2 2 2 3 5" xfId="4060"/>
    <cellStyle name="Comma 2 2 2 3 6" xfId="4061"/>
    <cellStyle name="Comma 2 2 2 4" xfId="4062"/>
    <cellStyle name="Comma 2 2 2 4 2" xfId="4063"/>
    <cellStyle name="Comma 2 2 2 4 2 2" xfId="4064"/>
    <cellStyle name="Comma 2 2 2 4 2 2 2" xfId="4065"/>
    <cellStyle name="Comma 2 2 2 4 2 2 3" xfId="4066"/>
    <cellStyle name="Comma 2 2 2 4 2 3" xfId="4067"/>
    <cellStyle name="Comma 2 2 2 4 2 3 2" xfId="4068"/>
    <cellStyle name="Comma 2 2 2 4 2 3 3" xfId="4069"/>
    <cellStyle name="Comma 2 2 2 4 3" xfId="4070"/>
    <cellStyle name="Comma 2 2 2 4 4" xfId="4071"/>
    <cellStyle name="Comma 2 2 2 4 5" xfId="4072"/>
    <cellStyle name="Comma 2 2 2 5" xfId="4073"/>
    <cellStyle name="Comma 2 2 2 5 2" xfId="4074"/>
    <cellStyle name="Comma 2 2 2 5 3" xfId="4075"/>
    <cellStyle name="Comma 2 2 2 6" xfId="4076"/>
    <cellStyle name="Comma 2 2 2 6 2" xfId="4077"/>
    <cellStyle name="Comma 2 2 2 6 3" xfId="4078"/>
    <cellStyle name="Comma 2 2 2 7" xfId="4079"/>
    <cellStyle name="Comma 2 2 3" xfId="4080"/>
    <cellStyle name="Comma 2 2 4" xfId="4081"/>
    <cellStyle name="Comma 2 2 5" xfId="4082"/>
    <cellStyle name="Comma 2 2 6" xfId="4083"/>
    <cellStyle name="Comma 2 2 6 2" xfId="4084"/>
    <cellStyle name="Comma 2 2 6 2 2" xfId="4085"/>
    <cellStyle name="Comma 2 2 6 2 2 2" xfId="4086"/>
    <cellStyle name="Comma 2 2 6 2 2 2 2" xfId="4087"/>
    <cellStyle name="Comma 2 2 6 2 2 2 3" xfId="4088"/>
    <cellStyle name="Comma 2 2 6 2 2 2 4" xfId="4089"/>
    <cellStyle name="Comma 2 2 6 2 2 2 5" xfId="4090"/>
    <cellStyle name="Comma 2 2 6 2 2 3" xfId="4091"/>
    <cellStyle name="Comma 2 2 6 2 2 3 2" xfId="4092"/>
    <cellStyle name="Comma 2 2 6 2 2 3 3" xfId="4093"/>
    <cellStyle name="Comma 2 2 6 2 3" xfId="4094"/>
    <cellStyle name="Comma 2 2 6 2 4" xfId="4095"/>
    <cellStyle name="Comma 2 2 6 2 5" xfId="4096"/>
    <cellStyle name="Comma 2 2 6 2 6" xfId="4097"/>
    <cellStyle name="Comma 2 2 6 3" xfId="4098"/>
    <cellStyle name="Comma 2 2 6 3 2" xfId="4099"/>
    <cellStyle name="Comma 2 2 6 3 3" xfId="4100"/>
    <cellStyle name="Comma 2 2 6 3 4" xfId="4101"/>
    <cellStyle name="Comma 2 2 6 3 5" xfId="4102"/>
    <cellStyle name="Comma 2 2 6 4" xfId="4103"/>
    <cellStyle name="Comma 2 2 6 4 2" xfId="4104"/>
    <cellStyle name="Comma 2 2 6 4 3" xfId="4105"/>
    <cellStyle name="Comma 2 2 7" xfId="4106"/>
    <cellStyle name="Comma 2 2 8" xfId="4107"/>
    <cellStyle name="Comma 2 2 8 2" xfId="4108"/>
    <cellStyle name="Comma 2 2 8 2 2" xfId="4109"/>
    <cellStyle name="Comma 2 2 8 2 3" xfId="4110"/>
    <cellStyle name="Comma 2 2 8 2 4" xfId="4111"/>
    <cellStyle name="Comma 2 2 8 2 5" xfId="4112"/>
    <cellStyle name="Comma 2 2 8 3" xfId="4113"/>
    <cellStyle name="Comma 2 2 8 3 2" xfId="4114"/>
    <cellStyle name="Comma 2 2 8 3 3" xfId="4115"/>
    <cellStyle name="Comma 2 2 9" xfId="4116"/>
    <cellStyle name="Comma 2 3" xfId="4117"/>
    <cellStyle name="Comma 2 3 2" xfId="4118"/>
    <cellStyle name="Comma 2 3 2 2" xfId="4119"/>
    <cellStyle name="Comma 2 3 2 2 2" xfId="4120"/>
    <cellStyle name="Comma 2 3 2 2 2 2" xfId="4121"/>
    <cellStyle name="Comma 2 3 2 2 2 2 2" xfId="4122"/>
    <cellStyle name="Comma 2 3 2 2 2 2 2 2" xfId="4123"/>
    <cellStyle name="Comma 2 3 2 2 2 2 2 2 2" xfId="4124"/>
    <cellStyle name="Comma 2 3 2 2 2 2 2 2 2 2" xfId="4125"/>
    <cellStyle name="Comma 2 3 2 2 2 2 2 2 2 3" xfId="4126"/>
    <cellStyle name="Comma 2 3 2 2 2 2 2 2 3" xfId="4127"/>
    <cellStyle name="Comma 2 3 2 2 2 2 2 2 4" xfId="4128"/>
    <cellStyle name="Comma 2 3 2 2 2 2 2 3" xfId="4129"/>
    <cellStyle name="Comma 2 3 2 2 2 2 2 3 2" xfId="4130"/>
    <cellStyle name="Comma 2 3 2 2 2 2 2 3 3" xfId="4131"/>
    <cellStyle name="Comma 2 3 2 2 2 2 2 4" xfId="4132"/>
    <cellStyle name="Comma 2 3 2 2 2 2 3" xfId="4133"/>
    <cellStyle name="Comma 2 3 2 2 2 2 4" xfId="4134"/>
    <cellStyle name="Comma 2 3 2 2 2 2 5" xfId="4135"/>
    <cellStyle name="Comma 2 3 2 2 2 2 6" xfId="4136"/>
    <cellStyle name="Comma 2 3 2 2 2 3" xfId="4137"/>
    <cellStyle name="Comma 2 3 2 2 2 3 2" xfId="4138"/>
    <cellStyle name="Comma 2 3 2 2 2 3 3" xfId="4139"/>
    <cellStyle name="Comma 2 3 2 2 2 4" xfId="4140"/>
    <cellStyle name="Comma 2 3 2 2 2 4 2" xfId="4141"/>
    <cellStyle name="Comma 2 3 2 2 2 4 3" xfId="4142"/>
    <cellStyle name="Comma 2 3 2 2 2 5" xfId="4143"/>
    <cellStyle name="Comma 2 3 2 2 3" xfId="4144"/>
    <cellStyle name="Comma 2 3 2 2 3 2" xfId="4145"/>
    <cellStyle name="Comma 2 3 2 2 3 2 2" xfId="4146"/>
    <cellStyle name="Comma 2 3 2 2 3 2 3" xfId="4147"/>
    <cellStyle name="Comma 2 3 2 2 3 3" xfId="4148"/>
    <cellStyle name="Comma 2 3 2 2 3 3 2" xfId="4149"/>
    <cellStyle name="Comma 2 3 2 2 3 3 3" xfId="4150"/>
    <cellStyle name="Comma 2 3 2 2 4" xfId="4151"/>
    <cellStyle name="Comma 2 3 2 2 5" xfId="4152"/>
    <cellStyle name="Comma 2 3 2 2 6" xfId="4153"/>
    <cellStyle name="Comma 2 3 2 2 7" xfId="4154"/>
    <cellStyle name="Comma 2 3 2 3" xfId="4155"/>
    <cellStyle name="Comma 2 3 2 3 2" xfId="4156"/>
    <cellStyle name="Comma 2 3 2 3 3" xfId="4157"/>
    <cellStyle name="Comma 2 3 2 4" xfId="4158"/>
    <cellStyle name="Comma 2 3 2 4 2" xfId="4159"/>
    <cellStyle name="Comma 2 3 2 4 2 2" xfId="4160"/>
    <cellStyle name="Comma 2 3 2 4 2 2 2" xfId="4161"/>
    <cellStyle name="Comma 2 3 2 4 2 2 3" xfId="4162"/>
    <cellStyle name="Comma 2 3 2 4 2 3" xfId="4163"/>
    <cellStyle name="Comma 2 3 2 4 2 3 2" xfId="4164"/>
    <cellStyle name="Comma 2 3 2 4 2 3 3" xfId="4165"/>
    <cellStyle name="Comma 2 3 2 4 3" xfId="4166"/>
    <cellStyle name="Comma 2 3 2 4 4" xfId="4167"/>
    <cellStyle name="Comma 2 3 2 4 5" xfId="4168"/>
    <cellStyle name="Comma 2 3 2 5" xfId="4169"/>
    <cellStyle name="Comma 2 3 2 5 2" xfId="4170"/>
    <cellStyle name="Comma 2 3 2 5 3" xfId="4171"/>
    <cellStyle name="Comma 2 3 2 6" xfId="4172"/>
    <cellStyle name="Comma 2 3 2 6 2" xfId="4173"/>
    <cellStyle name="Comma 2 3 2 6 3" xfId="4174"/>
    <cellStyle name="Comma 2 3 2 7" xfId="4175"/>
    <cellStyle name="Comma 2 3 3" xfId="4176"/>
    <cellStyle name="Comma 2 3 3 2" xfId="4177"/>
    <cellStyle name="Comma 2 3 3 2 2" xfId="4178"/>
    <cellStyle name="Comma 2 3 3 2 2 2" xfId="4179"/>
    <cellStyle name="Comma 2 3 3 2 2 2 2" xfId="4180"/>
    <cellStyle name="Comma 2 3 3 2 2 2 3" xfId="4181"/>
    <cellStyle name="Comma 2 3 3 2 2 2 4" xfId="4182"/>
    <cellStyle name="Comma 2 3 3 2 2 2 5" xfId="4183"/>
    <cellStyle name="Comma 2 3 3 2 2 3" xfId="4184"/>
    <cellStyle name="Comma 2 3 3 2 2 3 2" xfId="4185"/>
    <cellStyle name="Comma 2 3 3 2 2 3 3" xfId="4186"/>
    <cellStyle name="Comma 2 3 3 2 3" xfId="4187"/>
    <cellStyle name="Comma 2 3 3 2 4" xfId="4188"/>
    <cellStyle name="Comma 2 3 3 2 5" xfId="4189"/>
    <cellStyle name="Comma 2 3 3 2 6" xfId="4190"/>
    <cellStyle name="Comma 2 3 3 3" xfId="4191"/>
    <cellStyle name="Comma 2 3 3 3 2" xfId="4192"/>
    <cellStyle name="Comma 2 3 3 3 3" xfId="4193"/>
    <cellStyle name="Comma 2 3 3 3 4" xfId="4194"/>
    <cellStyle name="Comma 2 3 3 3 5" xfId="4195"/>
    <cellStyle name="Comma 2 3 3 4" xfId="4196"/>
    <cellStyle name="Comma 2 3 3 4 2" xfId="4197"/>
    <cellStyle name="Comma 2 3 3 4 3" xfId="4198"/>
    <cellStyle name="Comma 2 3 4" xfId="4199"/>
    <cellStyle name="Comma 2 3 4 2" xfId="4200"/>
    <cellStyle name="Comma 2 3 4 2 2" xfId="4201"/>
    <cellStyle name="Comma 2 3 4 2 3" xfId="4202"/>
    <cellStyle name="Comma 2 3 4 2 4" xfId="4203"/>
    <cellStyle name="Comma 2 3 4 2 5" xfId="4204"/>
    <cellStyle name="Comma 2 3 4 3" xfId="4205"/>
    <cellStyle name="Comma 2 3 4 3 2" xfId="4206"/>
    <cellStyle name="Comma 2 3 4 3 3" xfId="4207"/>
    <cellStyle name="Comma 2 3 5" xfId="4208"/>
    <cellStyle name="Comma 2 3 6" xfId="4209"/>
    <cellStyle name="Comma 2 3 7" xfId="4210"/>
    <cellStyle name="Comma 2 3 8" xfId="4211"/>
    <cellStyle name="Comma 2 3 9" xfId="4212"/>
    <cellStyle name="Comma 2 4" xfId="4213"/>
    <cellStyle name="Comma 2 4 2" xfId="4214"/>
    <cellStyle name="Comma 2 4 2 2" xfId="4215"/>
    <cellStyle name="Comma 2 4 2 3" xfId="4216"/>
    <cellStyle name="Comma 2 4 3" xfId="4217"/>
    <cellStyle name="Comma 2 4 4" xfId="4218"/>
    <cellStyle name="Comma 2 5" xfId="4219"/>
    <cellStyle name="Comma 2 5 2" xfId="4220"/>
    <cellStyle name="Comma 2 5 3" xfId="4221"/>
    <cellStyle name="Comma 2 6" xfId="4222"/>
    <cellStyle name="Comma 2 6 2" xfId="4223"/>
    <cellStyle name="Comma 2 6 2 2" xfId="4224"/>
    <cellStyle name="Comma 2 6 2 2 2" xfId="4225"/>
    <cellStyle name="Comma 2 6 2 2 2 2" xfId="4226"/>
    <cellStyle name="Comma 2 6 2 2 2 2 2" xfId="4227"/>
    <cellStyle name="Comma 2 6 2 2 2 2 3" xfId="4228"/>
    <cellStyle name="Comma 2 6 2 2 2 3" xfId="4229"/>
    <cellStyle name="Comma 2 6 2 2 2 3 2" xfId="4230"/>
    <cellStyle name="Comma 2 6 2 2 2 3 3" xfId="4231"/>
    <cellStyle name="Comma 2 6 2 2 3" xfId="4232"/>
    <cellStyle name="Comma 2 6 2 2 4" xfId="4233"/>
    <cellStyle name="Comma 2 6 2 2 5" xfId="4234"/>
    <cellStyle name="Comma 2 6 2 3" xfId="4235"/>
    <cellStyle name="Comma 2 6 2 3 2" xfId="4236"/>
    <cellStyle name="Comma 2 6 2 3 3" xfId="4237"/>
    <cellStyle name="Comma 2 6 2 4" xfId="4238"/>
    <cellStyle name="Comma 2 6 2 4 2" xfId="4239"/>
    <cellStyle name="Comma 2 6 2 4 3" xfId="4240"/>
    <cellStyle name="Comma 2 6 3" xfId="4241"/>
    <cellStyle name="Comma 2 6 3 2" xfId="4242"/>
    <cellStyle name="Comma 2 6 3 2 2" xfId="4243"/>
    <cellStyle name="Comma 2 6 3 2 3" xfId="4244"/>
    <cellStyle name="Comma 2 6 3 3" xfId="4245"/>
    <cellStyle name="Comma 2 6 3 3 2" xfId="4246"/>
    <cellStyle name="Comma 2 6 3 3 3" xfId="4247"/>
    <cellStyle name="Comma 2 6 4" xfId="4248"/>
    <cellStyle name="Comma 2 6 5" xfId="4249"/>
    <cellStyle name="Comma 2 6 6" xfId="4250"/>
    <cellStyle name="Comma 2 7" xfId="4251"/>
    <cellStyle name="Comma 2 7 2" xfId="4252"/>
    <cellStyle name="Comma 2 7 3" xfId="4253"/>
    <cellStyle name="Comma 2 8" xfId="4254"/>
    <cellStyle name="Comma 2 8 2" xfId="4255"/>
    <cellStyle name="Comma 2 8 2 2" xfId="4256"/>
    <cellStyle name="Comma 2 8 2 2 2" xfId="4257"/>
    <cellStyle name="Comma 2 8 2 2 3" xfId="4258"/>
    <cellStyle name="Comma 2 8 2 3" xfId="4259"/>
    <cellStyle name="Comma 2 8 2 3 2" xfId="4260"/>
    <cellStyle name="Comma 2 8 2 3 3" xfId="4261"/>
    <cellStyle name="Comma 2 8 3" xfId="4262"/>
    <cellStyle name="Comma 2 8 4" xfId="4263"/>
    <cellStyle name="Comma 2 8 5" xfId="4264"/>
    <cellStyle name="Comma 2 9" xfId="4265"/>
    <cellStyle name="Comma 2 9 2" xfId="4266"/>
    <cellStyle name="Comma 2 9 3" xfId="4267"/>
    <cellStyle name="Comma 2_ANC_Create or Delete" xfId="4268"/>
    <cellStyle name="Comma 20" xfId="4269"/>
    <cellStyle name="Comma 21" xfId="4270"/>
    <cellStyle name="Comma 22" xfId="4271"/>
    <cellStyle name="Comma 23" xfId="4272"/>
    <cellStyle name="Comma 24" xfId="4273"/>
    <cellStyle name="Comma 25" xfId="4274"/>
    <cellStyle name="Comma 26" xfId="4275"/>
    <cellStyle name="Comma 27" xfId="4276"/>
    <cellStyle name="Comma 28" xfId="4277"/>
    <cellStyle name="Comma 29" xfId="4278"/>
    <cellStyle name="Comma 3" xfId="4279"/>
    <cellStyle name="Comma 3 2" xfId="4280"/>
    <cellStyle name="Comma 3 2 2" xfId="4281"/>
    <cellStyle name="Comma 3 2 3" xfId="4282"/>
    <cellStyle name="Comma 3 3" xfId="4283"/>
    <cellStyle name="Comma 3 3 2" xfId="4284"/>
    <cellStyle name="Comma 3 3 3" xfId="4285"/>
    <cellStyle name="Comma 3 4" xfId="4286"/>
    <cellStyle name="Comma 3 5" xfId="4287"/>
    <cellStyle name="Comma 3 6" xfId="4288"/>
    <cellStyle name="Comma 3 7" xfId="4289"/>
    <cellStyle name="Comma 3 7 2" xfId="4290"/>
    <cellStyle name="Comma 3 7 2 2" xfId="4291"/>
    <cellStyle name="Comma 3 7 2 2 2" xfId="4292"/>
    <cellStyle name="Comma 3 7 2 3" xfId="4293"/>
    <cellStyle name="Comma 3 7 3" xfId="4294"/>
    <cellStyle name="Comma 3 7 3 2" xfId="4295"/>
    <cellStyle name="Comma 3 7 3 2 2" xfId="4296"/>
    <cellStyle name="Comma 3 7 3 3" xfId="4297"/>
    <cellStyle name="Comma 3 7 4" xfId="4298"/>
    <cellStyle name="Comma 3 7 4 2" xfId="4299"/>
    <cellStyle name="Comma 3 7 5" xfId="4300"/>
    <cellStyle name="Comma 3 7 5 2" xfId="4301"/>
    <cellStyle name="Comma 3 7 6" xfId="4302"/>
    <cellStyle name="Comma 3_ANC_Create or Delete" xfId="4303"/>
    <cellStyle name="Comma 30" xfId="4304"/>
    <cellStyle name="Comma 31" xfId="4305"/>
    <cellStyle name="Comma 32" xfId="4306"/>
    <cellStyle name="Comma 33" xfId="4307"/>
    <cellStyle name="Comma 34" xfId="4308"/>
    <cellStyle name="Comma 35" xfId="4309"/>
    <cellStyle name="Comma 36" xfId="4310"/>
    <cellStyle name="Comma 37" xfId="4311"/>
    <cellStyle name="Comma 38" xfId="4312"/>
    <cellStyle name="Comma 39" xfId="4313"/>
    <cellStyle name="Comma 4" xfId="4314"/>
    <cellStyle name="Comma 4 2" xfId="4315"/>
    <cellStyle name="Comma 4 2 2" xfId="4316"/>
    <cellStyle name="Comma 4 2 3" xfId="4317"/>
    <cellStyle name="Comma 4 3" xfId="4318"/>
    <cellStyle name="Comma 4 4" xfId="4319"/>
    <cellStyle name="Comma 4_ANC_Create or Delete" xfId="4320"/>
    <cellStyle name="Comma 40" xfId="4321"/>
    <cellStyle name="Comma 41" xfId="4322"/>
    <cellStyle name="Comma 42" xfId="4323"/>
    <cellStyle name="Comma 43" xfId="4324"/>
    <cellStyle name="Comma 44" xfId="4325"/>
    <cellStyle name="Comma 45" xfId="4326"/>
    <cellStyle name="Comma 46" xfId="4327"/>
    <cellStyle name="Comma 47" xfId="4328"/>
    <cellStyle name="Comma 48" xfId="4329"/>
    <cellStyle name="Comma 49" xfId="4330"/>
    <cellStyle name="Comma 5" xfId="4331"/>
    <cellStyle name="Comma 5 2" xfId="4332"/>
    <cellStyle name="Comma 5 3" xfId="4333"/>
    <cellStyle name="Comma 5_ANC_Create or Delete" xfId="4334"/>
    <cellStyle name="Comma 50" xfId="4335"/>
    <cellStyle name="Comma 51" xfId="4336"/>
    <cellStyle name="Comma 52" xfId="4337"/>
    <cellStyle name="Comma 53" xfId="4338"/>
    <cellStyle name="Comma 54" xfId="4339"/>
    <cellStyle name="Comma 55" xfId="4340"/>
    <cellStyle name="Comma 56" xfId="4341"/>
    <cellStyle name="Comma 6" xfId="4342"/>
    <cellStyle name="Comma 6 2" xfId="4343"/>
    <cellStyle name="Comma 6_ANC_Create or Delete" xfId="4344"/>
    <cellStyle name="Comma 7" xfId="4345"/>
    <cellStyle name="Comma 7 2" xfId="4346"/>
    <cellStyle name="Comma 7 3" xfId="4347"/>
    <cellStyle name="Comma 7_ANC_Create or Delete" xfId="4348"/>
    <cellStyle name="Comma 8" xfId="4349"/>
    <cellStyle name="Comma 8 2" xfId="4350"/>
    <cellStyle name="Comma 8 3" xfId="4351"/>
    <cellStyle name="Comma 8 4" xfId="4352"/>
    <cellStyle name="Comma 8 5" xfId="4353"/>
    <cellStyle name="Comma 8_ANC_Create or Delete" xfId="4354"/>
    <cellStyle name="Comma 9" xfId="4355"/>
    <cellStyle name="Comma 9 2" xfId="4356"/>
    <cellStyle name="Comma 9_Matrix" xfId="4357"/>
    <cellStyle name="Comma Brackets" xfId="4358"/>
    <cellStyle name="Comma Brackets 2" xfId="4359"/>
    <cellStyle name="Comma Brackets 2 2" xfId="4360"/>
    <cellStyle name="Comma Brackets 2 3" xfId="4361"/>
    <cellStyle name="Comma Brackets 3" xfId="4362"/>
    <cellStyle name="Comma Brackets 4" xfId="4363"/>
    <cellStyle name="Comma Brackets_BUDGET SHAPE" xfId="4364"/>
    <cellStyle name="Comma1" xfId="4365"/>
    <cellStyle name="Comma1 2" xfId="4366"/>
    <cellStyle name="Comma1 2 2" xfId="4367"/>
    <cellStyle name="Comma1 2 3" xfId="4368"/>
    <cellStyle name="Comma1 3" xfId="4369"/>
    <cellStyle name="Comma1 4" xfId="4370"/>
    <cellStyle name="Comma1_BUDGET SHAPE" xfId="4371"/>
    <cellStyle name="Commentaire" xfId="4372"/>
    <cellStyle name="Commentaire 10" xfId="4373"/>
    <cellStyle name="Commentaire 10 2" xfId="4374"/>
    <cellStyle name="Commentaire 10 2 2" xfId="19542"/>
    <cellStyle name="Commentaire 10 2 2 2" xfId="39610"/>
    <cellStyle name="Commentaire 10 2 3" xfId="25718"/>
    <cellStyle name="Commentaire 10 3" xfId="15269"/>
    <cellStyle name="Commentaire 10 3 2" xfId="35337"/>
    <cellStyle name="Commentaire 10 4" xfId="25717"/>
    <cellStyle name="Commentaire 11" xfId="4375"/>
    <cellStyle name="Commentaire 11 2" xfId="4376"/>
    <cellStyle name="Commentaire 11 2 2" xfId="19543"/>
    <cellStyle name="Commentaire 11 2 2 2" xfId="39611"/>
    <cellStyle name="Commentaire 11 2 3" xfId="25720"/>
    <cellStyle name="Commentaire 11 3" xfId="15545"/>
    <cellStyle name="Commentaire 11 3 2" xfId="35613"/>
    <cellStyle name="Commentaire 11 4" xfId="25719"/>
    <cellStyle name="Commentaire 12" xfId="4377"/>
    <cellStyle name="Commentaire 12 2" xfId="4378"/>
    <cellStyle name="Commentaire 12 2 2" xfId="19544"/>
    <cellStyle name="Commentaire 12 2 2 2" xfId="39612"/>
    <cellStyle name="Commentaire 12 2 3" xfId="25722"/>
    <cellStyle name="Commentaire 12 3" xfId="16320"/>
    <cellStyle name="Commentaire 12 3 2" xfId="36388"/>
    <cellStyle name="Commentaire 12 4" xfId="25721"/>
    <cellStyle name="Commentaire 13" xfId="4379"/>
    <cellStyle name="Commentaire 13 2" xfId="4380"/>
    <cellStyle name="Commentaire 13 2 2" xfId="19545"/>
    <cellStyle name="Commentaire 13 2 2 2" xfId="39613"/>
    <cellStyle name="Commentaire 13 2 3" xfId="25724"/>
    <cellStyle name="Commentaire 13 3" xfId="15850"/>
    <cellStyle name="Commentaire 13 3 2" xfId="35918"/>
    <cellStyle name="Commentaire 13 4" xfId="25723"/>
    <cellStyle name="Commentaire 14" xfId="4381"/>
    <cellStyle name="Commentaire 14 2" xfId="4382"/>
    <cellStyle name="Commentaire 14 2 2" xfId="19546"/>
    <cellStyle name="Commentaire 14 2 2 2" xfId="39614"/>
    <cellStyle name="Commentaire 14 2 3" xfId="25726"/>
    <cellStyle name="Commentaire 14 3" xfId="15508"/>
    <cellStyle name="Commentaire 14 3 2" xfId="35576"/>
    <cellStyle name="Commentaire 14 4" xfId="25725"/>
    <cellStyle name="Commentaire 15" xfId="4383"/>
    <cellStyle name="Commentaire 15 2" xfId="4384"/>
    <cellStyle name="Commentaire 15 2 2" xfId="19547"/>
    <cellStyle name="Commentaire 15 2 2 2" xfId="39615"/>
    <cellStyle name="Commentaire 15 2 3" xfId="25728"/>
    <cellStyle name="Commentaire 15 3" xfId="16345"/>
    <cellStyle name="Commentaire 15 3 2" xfId="36413"/>
    <cellStyle name="Commentaire 15 4" xfId="25727"/>
    <cellStyle name="Commentaire 16" xfId="4385"/>
    <cellStyle name="Commentaire 16 2" xfId="4386"/>
    <cellStyle name="Commentaire 16 2 2" xfId="19548"/>
    <cellStyle name="Commentaire 16 2 2 2" xfId="39616"/>
    <cellStyle name="Commentaire 16 2 3" xfId="25730"/>
    <cellStyle name="Commentaire 16 3" xfId="16344"/>
    <cellStyle name="Commentaire 16 3 2" xfId="36412"/>
    <cellStyle name="Commentaire 16 4" xfId="25729"/>
    <cellStyle name="Commentaire 17" xfId="4387"/>
    <cellStyle name="Commentaire 17 2" xfId="4388"/>
    <cellStyle name="Commentaire 17 2 2" xfId="19549"/>
    <cellStyle name="Commentaire 17 2 2 2" xfId="39617"/>
    <cellStyle name="Commentaire 17 2 3" xfId="25732"/>
    <cellStyle name="Commentaire 17 3" xfId="15935"/>
    <cellStyle name="Commentaire 17 3 2" xfId="36003"/>
    <cellStyle name="Commentaire 17 4" xfId="25731"/>
    <cellStyle name="Commentaire 18" xfId="4389"/>
    <cellStyle name="Commentaire 18 2" xfId="4390"/>
    <cellStyle name="Commentaire 18 2 2" xfId="19550"/>
    <cellStyle name="Commentaire 18 2 2 2" xfId="39618"/>
    <cellStyle name="Commentaire 18 2 3" xfId="25734"/>
    <cellStyle name="Commentaire 18 3" xfId="16294"/>
    <cellStyle name="Commentaire 18 3 2" xfId="36362"/>
    <cellStyle name="Commentaire 18 4" xfId="25733"/>
    <cellStyle name="Commentaire 19" xfId="4391"/>
    <cellStyle name="Commentaire 19 2" xfId="4392"/>
    <cellStyle name="Commentaire 19 2 2" xfId="19551"/>
    <cellStyle name="Commentaire 19 2 2 2" xfId="39619"/>
    <cellStyle name="Commentaire 19 2 3" xfId="25736"/>
    <cellStyle name="Commentaire 19 3" xfId="16413"/>
    <cellStyle name="Commentaire 19 3 2" xfId="36481"/>
    <cellStyle name="Commentaire 19 4" xfId="25735"/>
    <cellStyle name="Commentaire 2" xfId="4393"/>
    <cellStyle name="Commentaire 2 10" xfId="4394"/>
    <cellStyle name="Commentaire 2 10 2" xfId="4395"/>
    <cellStyle name="Commentaire 2 10 2 2" xfId="19553"/>
    <cellStyle name="Commentaire 2 10 2 2 2" xfId="39621"/>
    <cellStyle name="Commentaire 2 10 2 3" xfId="25739"/>
    <cellStyle name="Commentaire 2 10 3" xfId="16334"/>
    <cellStyle name="Commentaire 2 10 3 2" xfId="36402"/>
    <cellStyle name="Commentaire 2 10 4" xfId="25738"/>
    <cellStyle name="Commentaire 2 11" xfId="4396"/>
    <cellStyle name="Commentaire 2 11 2" xfId="4397"/>
    <cellStyle name="Commentaire 2 11 2 2" xfId="19554"/>
    <cellStyle name="Commentaire 2 11 2 2 2" xfId="39622"/>
    <cellStyle name="Commentaire 2 11 2 3" xfId="25741"/>
    <cellStyle name="Commentaire 2 11 3" xfId="15585"/>
    <cellStyle name="Commentaire 2 11 3 2" xfId="35653"/>
    <cellStyle name="Commentaire 2 11 4" xfId="25740"/>
    <cellStyle name="Commentaire 2 12" xfId="4398"/>
    <cellStyle name="Commentaire 2 12 2" xfId="4399"/>
    <cellStyle name="Commentaire 2 12 2 2" xfId="19555"/>
    <cellStyle name="Commentaire 2 12 2 2 2" xfId="39623"/>
    <cellStyle name="Commentaire 2 12 2 3" xfId="25743"/>
    <cellStyle name="Commentaire 2 12 3" xfId="15973"/>
    <cellStyle name="Commentaire 2 12 3 2" xfId="36041"/>
    <cellStyle name="Commentaire 2 12 4" xfId="25742"/>
    <cellStyle name="Commentaire 2 13" xfId="4400"/>
    <cellStyle name="Commentaire 2 13 2" xfId="4401"/>
    <cellStyle name="Commentaire 2 13 2 2" xfId="19556"/>
    <cellStyle name="Commentaire 2 13 2 2 2" xfId="39624"/>
    <cellStyle name="Commentaire 2 13 2 3" xfId="25745"/>
    <cellStyle name="Commentaire 2 13 3" xfId="15801"/>
    <cellStyle name="Commentaire 2 13 3 2" xfId="35869"/>
    <cellStyle name="Commentaire 2 13 4" xfId="25744"/>
    <cellStyle name="Commentaire 2 14" xfId="4402"/>
    <cellStyle name="Commentaire 2 14 2" xfId="4403"/>
    <cellStyle name="Commentaire 2 14 2 2" xfId="19557"/>
    <cellStyle name="Commentaire 2 14 2 2 2" xfId="39625"/>
    <cellStyle name="Commentaire 2 14 2 3" xfId="25747"/>
    <cellStyle name="Commentaire 2 14 3" xfId="15756"/>
    <cellStyle name="Commentaire 2 14 3 2" xfId="35824"/>
    <cellStyle name="Commentaire 2 14 4" xfId="25746"/>
    <cellStyle name="Commentaire 2 15" xfId="4404"/>
    <cellStyle name="Commentaire 2 15 2" xfId="4405"/>
    <cellStyle name="Commentaire 2 15 2 2" xfId="19558"/>
    <cellStyle name="Commentaire 2 15 2 2 2" xfId="39626"/>
    <cellStyle name="Commentaire 2 15 2 3" xfId="25749"/>
    <cellStyle name="Commentaire 2 15 3" xfId="17149"/>
    <cellStyle name="Commentaire 2 15 3 2" xfId="37217"/>
    <cellStyle name="Commentaire 2 15 4" xfId="25748"/>
    <cellStyle name="Commentaire 2 16" xfId="4406"/>
    <cellStyle name="Commentaire 2 16 2" xfId="4407"/>
    <cellStyle name="Commentaire 2 16 2 2" xfId="19559"/>
    <cellStyle name="Commentaire 2 16 2 2 2" xfId="39627"/>
    <cellStyle name="Commentaire 2 16 2 3" xfId="25751"/>
    <cellStyle name="Commentaire 2 16 3" xfId="16107"/>
    <cellStyle name="Commentaire 2 16 3 2" xfId="36175"/>
    <cellStyle name="Commentaire 2 16 4" xfId="25750"/>
    <cellStyle name="Commentaire 2 17" xfId="4408"/>
    <cellStyle name="Commentaire 2 17 2" xfId="4409"/>
    <cellStyle name="Commentaire 2 17 2 2" xfId="19560"/>
    <cellStyle name="Commentaire 2 17 2 2 2" xfId="39628"/>
    <cellStyle name="Commentaire 2 17 2 3" xfId="25753"/>
    <cellStyle name="Commentaire 2 17 3" xfId="16900"/>
    <cellStyle name="Commentaire 2 17 3 2" xfId="36968"/>
    <cellStyle name="Commentaire 2 17 4" xfId="25752"/>
    <cellStyle name="Commentaire 2 18" xfId="4410"/>
    <cellStyle name="Commentaire 2 18 2" xfId="4411"/>
    <cellStyle name="Commentaire 2 18 2 2" xfId="19561"/>
    <cellStyle name="Commentaire 2 18 2 2 2" xfId="39629"/>
    <cellStyle name="Commentaire 2 18 2 3" xfId="25755"/>
    <cellStyle name="Commentaire 2 18 3" xfId="15741"/>
    <cellStyle name="Commentaire 2 18 3 2" xfId="35809"/>
    <cellStyle name="Commentaire 2 18 4" xfId="25754"/>
    <cellStyle name="Commentaire 2 19" xfId="4412"/>
    <cellStyle name="Commentaire 2 19 2" xfId="4413"/>
    <cellStyle name="Commentaire 2 19 2 2" xfId="19562"/>
    <cellStyle name="Commentaire 2 19 2 2 2" xfId="39630"/>
    <cellStyle name="Commentaire 2 19 2 3" xfId="25757"/>
    <cellStyle name="Commentaire 2 19 3" xfId="16222"/>
    <cellStyle name="Commentaire 2 19 3 2" xfId="36290"/>
    <cellStyle name="Commentaire 2 19 4" xfId="25756"/>
    <cellStyle name="Commentaire 2 2" xfId="4414"/>
    <cellStyle name="Commentaire 2 2 10" xfId="4415"/>
    <cellStyle name="Commentaire 2 2 10 2" xfId="4416"/>
    <cellStyle name="Commentaire 2 2 10 2 2" xfId="19564"/>
    <cellStyle name="Commentaire 2 2 10 2 2 2" xfId="39632"/>
    <cellStyle name="Commentaire 2 2 10 2 3" xfId="25760"/>
    <cellStyle name="Commentaire 2 2 10 3" xfId="16924"/>
    <cellStyle name="Commentaire 2 2 10 3 2" xfId="36992"/>
    <cellStyle name="Commentaire 2 2 10 4" xfId="25759"/>
    <cellStyle name="Commentaire 2 2 11" xfId="4417"/>
    <cellStyle name="Commentaire 2 2 11 2" xfId="4418"/>
    <cellStyle name="Commentaire 2 2 11 2 2" xfId="19565"/>
    <cellStyle name="Commentaire 2 2 11 2 2 2" xfId="39633"/>
    <cellStyle name="Commentaire 2 2 11 2 3" xfId="25762"/>
    <cellStyle name="Commentaire 2 2 11 3" xfId="17059"/>
    <cellStyle name="Commentaire 2 2 11 3 2" xfId="37127"/>
    <cellStyle name="Commentaire 2 2 11 4" xfId="25761"/>
    <cellStyle name="Commentaire 2 2 12" xfId="4419"/>
    <cellStyle name="Commentaire 2 2 12 2" xfId="4420"/>
    <cellStyle name="Commentaire 2 2 12 2 2" xfId="19566"/>
    <cellStyle name="Commentaire 2 2 12 2 2 2" xfId="39634"/>
    <cellStyle name="Commentaire 2 2 12 2 3" xfId="25764"/>
    <cellStyle name="Commentaire 2 2 12 3" xfId="17231"/>
    <cellStyle name="Commentaire 2 2 12 3 2" xfId="37299"/>
    <cellStyle name="Commentaire 2 2 12 4" xfId="25763"/>
    <cellStyle name="Commentaire 2 2 13" xfId="4421"/>
    <cellStyle name="Commentaire 2 2 13 2" xfId="4422"/>
    <cellStyle name="Commentaire 2 2 13 2 2" xfId="19567"/>
    <cellStyle name="Commentaire 2 2 13 2 2 2" xfId="39635"/>
    <cellStyle name="Commentaire 2 2 13 2 3" xfId="25766"/>
    <cellStyle name="Commentaire 2 2 13 3" xfId="17401"/>
    <cellStyle name="Commentaire 2 2 13 3 2" xfId="37469"/>
    <cellStyle name="Commentaire 2 2 13 4" xfId="25765"/>
    <cellStyle name="Commentaire 2 2 14" xfId="4423"/>
    <cellStyle name="Commentaire 2 2 14 2" xfId="4424"/>
    <cellStyle name="Commentaire 2 2 14 2 2" xfId="19568"/>
    <cellStyle name="Commentaire 2 2 14 2 2 2" xfId="39636"/>
    <cellStyle name="Commentaire 2 2 14 2 3" xfId="25768"/>
    <cellStyle name="Commentaire 2 2 14 3" xfId="17529"/>
    <cellStyle name="Commentaire 2 2 14 3 2" xfId="37597"/>
    <cellStyle name="Commentaire 2 2 14 4" xfId="25767"/>
    <cellStyle name="Commentaire 2 2 15" xfId="4425"/>
    <cellStyle name="Commentaire 2 2 15 2" xfId="4426"/>
    <cellStyle name="Commentaire 2 2 15 2 2" xfId="19569"/>
    <cellStyle name="Commentaire 2 2 15 2 2 2" xfId="39637"/>
    <cellStyle name="Commentaire 2 2 15 2 3" xfId="25770"/>
    <cellStyle name="Commentaire 2 2 15 3" xfId="15445"/>
    <cellStyle name="Commentaire 2 2 15 3 2" xfId="35513"/>
    <cellStyle name="Commentaire 2 2 15 4" xfId="25769"/>
    <cellStyle name="Commentaire 2 2 16" xfId="4427"/>
    <cellStyle name="Commentaire 2 2 16 2" xfId="4428"/>
    <cellStyle name="Commentaire 2 2 16 2 2" xfId="19570"/>
    <cellStyle name="Commentaire 2 2 16 2 2 2" xfId="39638"/>
    <cellStyle name="Commentaire 2 2 16 2 3" xfId="25772"/>
    <cellStyle name="Commentaire 2 2 16 3" xfId="17780"/>
    <cellStyle name="Commentaire 2 2 16 3 2" xfId="37848"/>
    <cellStyle name="Commentaire 2 2 16 4" xfId="25771"/>
    <cellStyle name="Commentaire 2 2 17" xfId="4429"/>
    <cellStyle name="Commentaire 2 2 17 2" xfId="4430"/>
    <cellStyle name="Commentaire 2 2 17 2 2" xfId="19571"/>
    <cellStyle name="Commentaire 2 2 17 2 2 2" xfId="39639"/>
    <cellStyle name="Commentaire 2 2 17 2 3" xfId="25774"/>
    <cellStyle name="Commentaire 2 2 17 3" xfId="17909"/>
    <cellStyle name="Commentaire 2 2 17 3 2" xfId="37977"/>
    <cellStyle name="Commentaire 2 2 17 4" xfId="25773"/>
    <cellStyle name="Commentaire 2 2 18" xfId="4431"/>
    <cellStyle name="Commentaire 2 2 18 2" xfId="4432"/>
    <cellStyle name="Commentaire 2 2 18 2 2" xfId="19572"/>
    <cellStyle name="Commentaire 2 2 18 2 2 2" xfId="39640"/>
    <cellStyle name="Commentaire 2 2 18 2 3" xfId="25776"/>
    <cellStyle name="Commentaire 2 2 18 3" xfId="18059"/>
    <cellStyle name="Commentaire 2 2 18 3 2" xfId="38127"/>
    <cellStyle name="Commentaire 2 2 18 4" xfId="25775"/>
    <cellStyle name="Commentaire 2 2 19" xfId="4433"/>
    <cellStyle name="Commentaire 2 2 19 2" xfId="4434"/>
    <cellStyle name="Commentaire 2 2 19 2 2" xfId="19573"/>
    <cellStyle name="Commentaire 2 2 19 2 2 2" xfId="39641"/>
    <cellStyle name="Commentaire 2 2 19 2 3" xfId="25778"/>
    <cellStyle name="Commentaire 2 2 19 3" xfId="18176"/>
    <cellStyle name="Commentaire 2 2 19 3 2" xfId="38244"/>
    <cellStyle name="Commentaire 2 2 19 4" xfId="25777"/>
    <cellStyle name="Commentaire 2 2 2" xfId="4435"/>
    <cellStyle name="Commentaire 2 2 2 2" xfId="4436"/>
    <cellStyle name="Commentaire 2 2 2 2 2" xfId="19574"/>
    <cellStyle name="Commentaire 2 2 2 2 2 2" xfId="39642"/>
    <cellStyle name="Commentaire 2 2 2 2 3" xfId="25780"/>
    <cellStyle name="Commentaire 2 2 2 3" xfId="14645"/>
    <cellStyle name="Commentaire 2 2 2 3 2" xfId="34713"/>
    <cellStyle name="Commentaire 2 2 2 4" xfId="25779"/>
    <cellStyle name="Commentaire 2 2 20" xfId="4437"/>
    <cellStyle name="Commentaire 2 2 20 2" xfId="4438"/>
    <cellStyle name="Commentaire 2 2 20 2 2" xfId="19575"/>
    <cellStyle name="Commentaire 2 2 20 2 2 2" xfId="39643"/>
    <cellStyle name="Commentaire 2 2 20 2 3" xfId="25782"/>
    <cellStyle name="Commentaire 2 2 20 3" xfId="16897"/>
    <cellStyle name="Commentaire 2 2 20 3 2" xfId="36965"/>
    <cellStyle name="Commentaire 2 2 20 4" xfId="25781"/>
    <cellStyle name="Commentaire 2 2 21" xfId="4439"/>
    <cellStyle name="Commentaire 2 2 21 2" xfId="4440"/>
    <cellStyle name="Commentaire 2 2 21 2 2" xfId="19576"/>
    <cellStyle name="Commentaire 2 2 21 2 2 2" xfId="39644"/>
    <cellStyle name="Commentaire 2 2 21 2 3" xfId="25784"/>
    <cellStyle name="Commentaire 2 2 21 3" xfId="18371"/>
    <cellStyle name="Commentaire 2 2 21 3 2" xfId="38439"/>
    <cellStyle name="Commentaire 2 2 21 4" xfId="25783"/>
    <cellStyle name="Commentaire 2 2 22" xfId="4441"/>
    <cellStyle name="Commentaire 2 2 22 2" xfId="4442"/>
    <cellStyle name="Commentaire 2 2 22 2 2" xfId="19577"/>
    <cellStyle name="Commentaire 2 2 22 2 2 2" xfId="39645"/>
    <cellStyle name="Commentaire 2 2 22 2 3" xfId="25786"/>
    <cellStyle name="Commentaire 2 2 22 3" xfId="18515"/>
    <cellStyle name="Commentaire 2 2 22 3 2" xfId="38583"/>
    <cellStyle name="Commentaire 2 2 22 4" xfId="25785"/>
    <cellStyle name="Commentaire 2 2 23" xfId="4443"/>
    <cellStyle name="Commentaire 2 2 23 2" xfId="4444"/>
    <cellStyle name="Commentaire 2 2 23 2 2" xfId="19578"/>
    <cellStyle name="Commentaire 2 2 23 2 2 2" xfId="39646"/>
    <cellStyle name="Commentaire 2 2 23 2 3" xfId="25788"/>
    <cellStyle name="Commentaire 2 2 23 3" xfId="18626"/>
    <cellStyle name="Commentaire 2 2 23 3 2" xfId="38694"/>
    <cellStyle name="Commentaire 2 2 23 4" xfId="25787"/>
    <cellStyle name="Commentaire 2 2 24" xfId="4445"/>
    <cellStyle name="Commentaire 2 2 24 2" xfId="4446"/>
    <cellStyle name="Commentaire 2 2 24 2 2" xfId="19579"/>
    <cellStyle name="Commentaire 2 2 24 2 2 2" xfId="39647"/>
    <cellStyle name="Commentaire 2 2 24 2 3" xfId="25790"/>
    <cellStyle name="Commentaire 2 2 24 3" xfId="18726"/>
    <cellStyle name="Commentaire 2 2 24 3 2" xfId="38794"/>
    <cellStyle name="Commentaire 2 2 24 4" xfId="25789"/>
    <cellStyle name="Commentaire 2 2 25" xfId="4447"/>
    <cellStyle name="Commentaire 2 2 25 2" xfId="4448"/>
    <cellStyle name="Commentaire 2 2 25 2 2" xfId="19580"/>
    <cellStyle name="Commentaire 2 2 25 2 2 2" xfId="39648"/>
    <cellStyle name="Commentaire 2 2 25 2 3" xfId="25792"/>
    <cellStyle name="Commentaire 2 2 25 3" xfId="18826"/>
    <cellStyle name="Commentaire 2 2 25 3 2" xfId="38894"/>
    <cellStyle name="Commentaire 2 2 25 4" xfId="25791"/>
    <cellStyle name="Commentaire 2 2 26" xfId="4449"/>
    <cellStyle name="Commentaire 2 2 26 2" xfId="19563"/>
    <cellStyle name="Commentaire 2 2 26 2 2" xfId="39631"/>
    <cellStyle name="Commentaire 2 2 26 3" xfId="25793"/>
    <cellStyle name="Commentaire 2 2 27" xfId="14428"/>
    <cellStyle name="Commentaire 2 2 27 2" xfId="34496"/>
    <cellStyle name="Commentaire 2 2 28" xfId="25758"/>
    <cellStyle name="Commentaire 2 2 3" xfId="4450"/>
    <cellStyle name="Commentaire 2 2 3 2" xfId="4451"/>
    <cellStyle name="Commentaire 2 2 3 2 2" xfId="19581"/>
    <cellStyle name="Commentaire 2 2 3 2 2 2" xfId="39649"/>
    <cellStyle name="Commentaire 2 2 3 2 3" xfId="25795"/>
    <cellStyle name="Commentaire 2 2 3 3" xfId="14764"/>
    <cellStyle name="Commentaire 2 2 3 3 2" xfId="34832"/>
    <cellStyle name="Commentaire 2 2 3 4" xfId="25794"/>
    <cellStyle name="Commentaire 2 2 4" xfId="4452"/>
    <cellStyle name="Commentaire 2 2 4 2" xfId="4453"/>
    <cellStyle name="Commentaire 2 2 4 2 2" xfId="19582"/>
    <cellStyle name="Commentaire 2 2 4 2 2 2" xfId="39650"/>
    <cellStyle name="Commentaire 2 2 4 2 3" xfId="25797"/>
    <cellStyle name="Commentaire 2 2 4 3" xfId="14883"/>
    <cellStyle name="Commentaire 2 2 4 3 2" xfId="34951"/>
    <cellStyle name="Commentaire 2 2 4 4" xfId="25796"/>
    <cellStyle name="Commentaire 2 2 5" xfId="4454"/>
    <cellStyle name="Commentaire 2 2 5 2" xfId="4455"/>
    <cellStyle name="Commentaire 2 2 5 2 2" xfId="19583"/>
    <cellStyle name="Commentaire 2 2 5 2 2 2" xfId="39651"/>
    <cellStyle name="Commentaire 2 2 5 2 3" xfId="25799"/>
    <cellStyle name="Commentaire 2 2 5 3" xfId="15052"/>
    <cellStyle name="Commentaire 2 2 5 3 2" xfId="35120"/>
    <cellStyle name="Commentaire 2 2 5 4" xfId="25798"/>
    <cellStyle name="Commentaire 2 2 6" xfId="4456"/>
    <cellStyle name="Commentaire 2 2 6 2" xfId="4457"/>
    <cellStyle name="Commentaire 2 2 6 2 2" xfId="19584"/>
    <cellStyle name="Commentaire 2 2 6 2 2 2" xfId="39652"/>
    <cellStyle name="Commentaire 2 2 6 2 3" xfId="25801"/>
    <cellStyle name="Commentaire 2 2 6 3" xfId="14559"/>
    <cellStyle name="Commentaire 2 2 6 3 2" xfId="34627"/>
    <cellStyle name="Commentaire 2 2 6 4" xfId="25800"/>
    <cellStyle name="Commentaire 2 2 7" xfId="4458"/>
    <cellStyle name="Commentaire 2 2 7 2" xfId="4459"/>
    <cellStyle name="Commentaire 2 2 7 2 2" xfId="19585"/>
    <cellStyle name="Commentaire 2 2 7 2 2 2" xfId="39653"/>
    <cellStyle name="Commentaire 2 2 7 2 3" xfId="25803"/>
    <cellStyle name="Commentaire 2 2 7 3" xfId="15195"/>
    <cellStyle name="Commentaire 2 2 7 3 2" xfId="35263"/>
    <cellStyle name="Commentaire 2 2 7 4" xfId="25802"/>
    <cellStyle name="Commentaire 2 2 8" xfId="4460"/>
    <cellStyle name="Commentaire 2 2 8 2" xfId="4461"/>
    <cellStyle name="Commentaire 2 2 8 2 2" xfId="19586"/>
    <cellStyle name="Commentaire 2 2 8 2 2 2" xfId="39654"/>
    <cellStyle name="Commentaire 2 2 8 2 3" xfId="25805"/>
    <cellStyle name="Commentaire 2 2 8 3" xfId="16549"/>
    <cellStyle name="Commentaire 2 2 8 3 2" xfId="36617"/>
    <cellStyle name="Commentaire 2 2 8 4" xfId="25804"/>
    <cellStyle name="Commentaire 2 2 9" xfId="4462"/>
    <cellStyle name="Commentaire 2 2 9 2" xfId="4463"/>
    <cellStyle name="Commentaire 2 2 9 2 2" xfId="19587"/>
    <cellStyle name="Commentaire 2 2 9 2 2 2" xfId="39655"/>
    <cellStyle name="Commentaire 2 2 9 2 3" xfId="25807"/>
    <cellStyle name="Commentaire 2 2 9 3" xfId="16753"/>
    <cellStyle name="Commentaire 2 2 9 3 2" xfId="36821"/>
    <cellStyle name="Commentaire 2 2 9 4" xfId="25806"/>
    <cellStyle name="Commentaire 2 20" xfId="4464"/>
    <cellStyle name="Commentaire 2 20 2" xfId="4465"/>
    <cellStyle name="Commentaire 2 20 2 2" xfId="19588"/>
    <cellStyle name="Commentaire 2 20 2 2 2" xfId="39656"/>
    <cellStyle name="Commentaire 2 20 2 3" xfId="25809"/>
    <cellStyle name="Commentaire 2 20 3" xfId="16273"/>
    <cellStyle name="Commentaire 2 20 3 2" xfId="36341"/>
    <cellStyle name="Commentaire 2 20 4" xfId="25808"/>
    <cellStyle name="Commentaire 2 21" xfId="4466"/>
    <cellStyle name="Commentaire 2 21 2" xfId="4467"/>
    <cellStyle name="Commentaire 2 21 2 2" xfId="19589"/>
    <cellStyle name="Commentaire 2 21 2 2 2" xfId="39657"/>
    <cellStyle name="Commentaire 2 21 2 3" xfId="25811"/>
    <cellStyle name="Commentaire 2 21 3" xfId="15501"/>
    <cellStyle name="Commentaire 2 21 3 2" xfId="35569"/>
    <cellStyle name="Commentaire 2 21 4" xfId="25810"/>
    <cellStyle name="Commentaire 2 22" xfId="4468"/>
    <cellStyle name="Commentaire 2 22 2" xfId="4469"/>
    <cellStyle name="Commentaire 2 22 2 2" xfId="19590"/>
    <cellStyle name="Commentaire 2 22 2 2 2" xfId="39658"/>
    <cellStyle name="Commentaire 2 22 2 3" xfId="25813"/>
    <cellStyle name="Commentaire 2 22 3" xfId="16420"/>
    <cellStyle name="Commentaire 2 22 3 2" xfId="36488"/>
    <cellStyle name="Commentaire 2 22 4" xfId="25812"/>
    <cellStyle name="Commentaire 2 23" xfId="4470"/>
    <cellStyle name="Commentaire 2 23 2" xfId="4471"/>
    <cellStyle name="Commentaire 2 23 2 2" xfId="19591"/>
    <cellStyle name="Commentaire 2 23 2 2 2" xfId="39659"/>
    <cellStyle name="Commentaire 2 23 2 3" xfId="25815"/>
    <cellStyle name="Commentaire 2 23 3" xfId="18263"/>
    <cellStyle name="Commentaire 2 23 3 2" xfId="38331"/>
    <cellStyle name="Commentaire 2 23 4" xfId="25814"/>
    <cellStyle name="Commentaire 2 24" xfId="4472"/>
    <cellStyle name="Commentaire 2 24 2" xfId="4473"/>
    <cellStyle name="Commentaire 2 24 2 2" xfId="19592"/>
    <cellStyle name="Commentaire 2 24 2 2 2" xfId="39660"/>
    <cellStyle name="Commentaire 2 24 2 3" xfId="25817"/>
    <cellStyle name="Commentaire 2 24 3" xfId="18329"/>
    <cellStyle name="Commentaire 2 24 3 2" xfId="38397"/>
    <cellStyle name="Commentaire 2 24 4" xfId="25816"/>
    <cellStyle name="Commentaire 2 25" xfId="4474"/>
    <cellStyle name="Commentaire 2 25 2" xfId="4475"/>
    <cellStyle name="Commentaire 2 25 2 2" xfId="19593"/>
    <cellStyle name="Commentaire 2 25 2 2 2" xfId="39661"/>
    <cellStyle name="Commentaire 2 25 2 3" xfId="25819"/>
    <cellStyle name="Commentaire 2 25 3" xfId="16182"/>
    <cellStyle name="Commentaire 2 25 3 2" xfId="36250"/>
    <cellStyle name="Commentaire 2 25 4" xfId="25818"/>
    <cellStyle name="Commentaire 2 26" xfId="4476"/>
    <cellStyle name="Commentaire 2 26 2" xfId="4477"/>
    <cellStyle name="Commentaire 2 26 2 2" xfId="19594"/>
    <cellStyle name="Commentaire 2 26 2 2 2" xfId="39662"/>
    <cellStyle name="Commentaire 2 26 2 3" xfId="25821"/>
    <cellStyle name="Commentaire 2 26 3" xfId="15509"/>
    <cellStyle name="Commentaire 2 26 3 2" xfId="35577"/>
    <cellStyle name="Commentaire 2 26 4" xfId="25820"/>
    <cellStyle name="Commentaire 2 27" xfId="4478"/>
    <cellStyle name="Commentaire 2 27 2" xfId="4479"/>
    <cellStyle name="Commentaire 2 27 2 2" xfId="19595"/>
    <cellStyle name="Commentaire 2 27 2 2 2" xfId="39663"/>
    <cellStyle name="Commentaire 2 27 2 3" xfId="25823"/>
    <cellStyle name="Commentaire 2 27 3" xfId="16396"/>
    <cellStyle name="Commentaire 2 27 3 2" xfId="36464"/>
    <cellStyle name="Commentaire 2 27 4" xfId="25822"/>
    <cellStyle name="Commentaire 2 28" xfId="4480"/>
    <cellStyle name="Commentaire 2 28 2" xfId="19552"/>
    <cellStyle name="Commentaire 2 28 2 2" xfId="39620"/>
    <cellStyle name="Commentaire 2 28 3" xfId="25824"/>
    <cellStyle name="Commentaire 2 29" xfId="13864"/>
    <cellStyle name="Commentaire 2 29 2" xfId="33932"/>
    <cellStyle name="Commentaire 2 3" xfId="4481"/>
    <cellStyle name="Commentaire 2 3 2" xfId="4482"/>
    <cellStyle name="Commentaire 2 3 2 2" xfId="19596"/>
    <cellStyle name="Commentaire 2 3 2 2 2" xfId="39664"/>
    <cellStyle name="Commentaire 2 3 2 3" xfId="25826"/>
    <cellStyle name="Commentaire 2 3 3" xfId="14613"/>
    <cellStyle name="Commentaire 2 3 3 2" xfId="34681"/>
    <cellStyle name="Commentaire 2 3 4" xfId="25825"/>
    <cellStyle name="Commentaire 2 30" xfId="25737"/>
    <cellStyle name="Commentaire 2 4" xfId="4483"/>
    <cellStyle name="Commentaire 2 4 2" xfId="4484"/>
    <cellStyle name="Commentaire 2 4 2 2" xfId="19597"/>
    <cellStyle name="Commentaire 2 4 2 2 2" xfId="39665"/>
    <cellStyle name="Commentaire 2 4 2 3" xfId="25828"/>
    <cellStyle name="Commentaire 2 4 3" xfId="14406"/>
    <cellStyle name="Commentaire 2 4 3 2" xfId="34474"/>
    <cellStyle name="Commentaire 2 4 4" xfId="25827"/>
    <cellStyle name="Commentaire 2 5" xfId="4485"/>
    <cellStyle name="Commentaire 2 5 2" xfId="4486"/>
    <cellStyle name="Commentaire 2 5 2 2" xfId="19598"/>
    <cellStyle name="Commentaire 2 5 2 2 2" xfId="39666"/>
    <cellStyle name="Commentaire 2 5 2 3" xfId="25830"/>
    <cellStyle name="Commentaire 2 5 3" xfId="14102"/>
    <cellStyle name="Commentaire 2 5 3 2" xfId="34170"/>
    <cellStyle name="Commentaire 2 5 4" xfId="25829"/>
    <cellStyle name="Commentaire 2 6" xfId="4487"/>
    <cellStyle name="Commentaire 2 6 2" xfId="4488"/>
    <cellStyle name="Commentaire 2 6 2 2" xfId="19599"/>
    <cellStyle name="Commentaire 2 6 2 2 2" xfId="39667"/>
    <cellStyle name="Commentaire 2 6 2 3" xfId="25832"/>
    <cellStyle name="Commentaire 2 6 3" xfId="14378"/>
    <cellStyle name="Commentaire 2 6 3 2" xfId="34446"/>
    <cellStyle name="Commentaire 2 6 4" xfId="25831"/>
    <cellStyle name="Commentaire 2 7" xfId="4489"/>
    <cellStyle name="Commentaire 2 7 2" xfId="4490"/>
    <cellStyle name="Commentaire 2 7 2 2" xfId="19600"/>
    <cellStyle name="Commentaire 2 7 2 2 2" xfId="39668"/>
    <cellStyle name="Commentaire 2 7 2 3" xfId="25834"/>
    <cellStyle name="Commentaire 2 7 3" xfId="14065"/>
    <cellStyle name="Commentaire 2 7 3 2" xfId="34133"/>
    <cellStyle name="Commentaire 2 7 4" xfId="25833"/>
    <cellStyle name="Commentaire 2 8" xfId="4491"/>
    <cellStyle name="Commentaire 2 8 2" xfId="4492"/>
    <cellStyle name="Commentaire 2 8 2 2" xfId="19601"/>
    <cellStyle name="Commentaire 2 8 2 2 2" xfId="39669"/>
    <cellStyle name="Commentaire 2 8 2 3" xfId="25836"/>
    <cellStyle name="Commentaire 2 8 3" xfId="14505"/>
    <cellStyle name="Commentaire 2 8 3 2" xfId="34573"/>
    <cellStyle name="Commentaire 2 8 4" xfId="25835"/>
    <cellStyle name="Commentaire 2 9" xfId="4493"/>
    <cellStyle name="Commentaire 2 9 2" xfId="4494"/>
    <cellStyle name="Commentaire 2 9 2 2" xfId="19602"/>
    <cellStyle name="Commentaire 2 9 2 2 2" xfId="39670"/>
    <cellStyle name="Commentaire 2 9 2 3" xfId="25838"/>
    <cellStyle name="Commentaire 2 9 3" xfId="15270"/>
    <cellStyle name="Commentaire 2 9 3 2" xfId="35338"/>
    <cellStyle name="Commentaire 2 9 4" xfId="25837"/>
    <cellStyle name="Commentaire 20" xfId="4495"/>
    <cellStyle name="Commentaire 20 2" xfId="4496"/>
    <cellStyle name="Commentaire 20 2 2" xfId="19603"/>
    <cellStyle name="Commentaire 20 2 2 2" xfId="39671"/>
    <cellStyle name="Commentaire 20 2 3" xfId="25840"/>
    <cellStyle name="Commentaire 20 3" xfId="16081"/>
    <cellStyle name="Commentaire 20 3 2" xfId="36149"/>
    <cellStyle name="Commentaire 20 4" xfId="25839"/>
    <cellStyle name="Commentaire 21" xfId="4497"/>
    <cellStyle name="Commentaire 21 2" xfId="4498"/>
    <cellStyle name="Commentaire 21 2 2" xfId="19604"/>
    <cellStyle name="Commentaire 21 2 2 2" xfId="39672"/>
    <cellStyle name="Commentaire 21 2 3" xfId="25842"/>
    <cellStyle name="Commentaire 21 3" xfId="17643"/>
    <cellStyle name="Commentaire 21 3 2" xfId="37711"/>
    <cellStyle name="Commentaire 21 4" xfId="25841"/>
    <cellStyle name="Commentaire 22" xfId="4499"/>
    <cellStyle name="Commentaire 22 2" xfId="4500"/>
    <cellStyle name="Commentaire 22 2 2" xfId="19605"/>
    <cellStyle name="Commentaire 22 2 2 2" xfId="39673"/>
    <cellStyle name="Commentaire 22 2 3" xfId="25844"/>
    <cellStyle name="Commentaire 22 3" xfId="15953"/>
    <cellStyle name="Commentaire 22 3 2" xfId="36021"/>
    <cellStyle name="Commentaire 22 4" xfId="25843"/>
    <cellStyle name="Commentaire 23" xfId="4501"/>
    <cellStyle name="Commentaire 23 2" xfId="4502"/>
    <cellStyle name="Commentaire 23 2 2" xfId="19606"/>
    <cellStyle name="Commentaire 23 2 2 2" xfId="39674"/>
    <cellStyle name="Commentaire 23 2 3" xfId="25846"/>
    <cellStyle name="Commentaire 23 3" xfId="15831"/>
    <cellStyle name="Commentaire 23 3 2" xfId="35899"/>
    <cellStyle name="Commentaire 23 4" xfId="25845"/>
    <cellStyle name="Commentaire 24" xfId="4503"/>
    <cellStyle name="Commentaire 24 2" xfId="4504"/>
    <cellStyle name="Commentaire 24 2 2" xfId="19607"/>
    <cellStyle name="Commentaire 24 2 2 2" xfId="39675"/>
    <cellStyle name="Commentaire 24 2 3" xfId="25848"/>
    <cellStyle name="Commentaire 24 3" xfId="17173"/>
    <cellStyle name="Commentaire 24 3 2" xfId="37241"/>
    <cellStyle name="Commentaire 24 4" xfId="25847"/>
    <cellStyle name="Commentaire 25" xfId="4505"/>
    <cellStyle name="Commentaire 25 2" xfId="4506"/>
    <cellStyle name="Commentaire 25 2 2" xfId="19608"/>
    <cellStyle name="Commentaire 25 2 2 2" xfId="39676"/>
    <cellStyle name="Commentaire 25 2 3" xfId="25850"/>
    <cellStyle name="Commentaire 25 3" xfId="17180"/>
    <cellStyle name="Commentaire 25 3 2" xfId="37248"/>
    <cellStyle name="Commentaire 25 4" xfId="25849"/>
    <cellStyle name="Commentaire 26" xfId="4507"/>
    <cellStyle name="Commentaire 26 2" xfId="4508"/>
    <cellStyle name="Commentaire 26 2 2" xfId="19609"/>
    <cellStyle name="Commentaire 26 2 2 2" xfId="39677"/>
    <cellStyle name="Commentaire 26 2 3" xfId="25852"/>
    <cellStyle name="Commentaire 26 3" xfId="16071"/>
    <cellStyle name="Commentaire 26 3 2" xfId="36139"/>
    <cellStyle name="Commentaire 26 4" xfId="25851"/>
    <cellStyle name="Commentaire 27" xfId="4509"/>
    <cellStyle name="Commentaire 27 2" xfId="4510"/>
    <cellStyle name="Commentaire 27 2 2" xfId="19610"/>
    <cellStyle name="Commentaire 27 2 2 2" xfId="39678"/>
    <cellStyle name="Commentaire 27 2 3" xfId="25854"/>
    <cellStyle name="Commentaire 27 3" xfId="17862"/>
    <cellStyle name="Commentaire 27 3 2" xfId="37930"/>
    <cellStyle name="Commentaire 27 4" xfId="25853"/>
    <cellStyle name="Commentaire 28" xfId="4511"/>
    <cellStyle name="Commentaire 28 2" xfId="4512"/>
    <cellStyle name="Commentaire 28 2 2" xfId="19611"/>
    <cellStyle name="Commentaire 28 2 2 2" xfId="39679"/>
    <cellStyle name="Commentaire 28 2 3" xfId="25856"/>
    <cellStyle name="Commentaire 28 3" xfId="15750"/>
    <cellStyle name="Commentaire 28 3 2" xfId="35818"/>
    <cellStyle name="Commentaire 28 4" xfId="25855"/>
    <cellStyle name="Commentaire 29" xfId="4513"/>
    <cellStyle name="Commentaire 29 2" xfId="19541"/>
    <cellStyle name="Commentaire 29 2 2" xfId="39609"/>
    <cellStyle name="Commentaire 29 3" xfId="25857"/>
    <cellStyle name="Commentaire 3" xfId="4514"/>
    <cellStyle name="Commentaire 3 10" xfId="4515"/>
    <cellStyle name="Commentaire 3 10 2" xfId="4516"/>
    <cellStyle name="Commentaire 3 10 2 2" xfId="19613"/>
    <cellStyle name="Commentaire 3 10 2 2 2" xfId="39681"/>
    <cellStyle name="Commentaire 3 10 2 3" xfId="25860"/>
    <cellStyle name="Commentaire 3 10 3" xfId="16907"/>
    <cellStyle name="Commentaire 3 10 3 2" xfId="36975"/>
    <cellStyle name="Commentaire 3 10 4" xfId="25859"/>
    <cellStyle name="Commentaire 3 11" xfId="4517"/>
    <cellStyle name="Commentaire 3 11 2" xfId="4518"/>
    <cellStyle name="Commentaire 3 11 2 2" xfId="19614"/>
    <cellStyle name="Commentaire 3 11 2 2 2" xfId="39682"/>
    <cellStyle name="Commentaire 3 11 2 3" xfId="25862"/>
    <cellStyle name="Commentaire 3 11 3" xfId="17042"/>
    <cellStyle name="Commentaire 3 11 3 2" xfId="37110"/>
    <cellStyle name="Commentaire 3 11 4" xfId="25861"/>
    <cellStyle name="Commentaire 3 12" xfId="4519"/>
    <cellStyle name="Commentaire 3 12 2" xfId="4520"/>
    <cellStyle name="Commentaire 3 12 2 2" xfId="19615"/>
    <cellStyle name="Commentaire 3 12 2 2 2" xfId="39683"/>
    <cellStyle name="Commentaire 3 12 2 3" xfId="25864"/>
    <cellStyle name="Commentaire 3 12 3" xfId="17214"/>
    <cellStyle name="Commentaire 3 12 3 2" xfId="37282"/>
    <cellStyle name="Commentaire 3 12 4" xfId="25863"/>
    <cellStyle name="Commentaire 3 13" xfId="4521"/>
    <cellStyle name="Commentaire 3 13 2" xfId="4522"/>
    <cellStyle name="Commentaire 3 13 2 2" xfId="19616"/>
    <cellStyle name="Commentaire 3 13 2 2 2" xfId="39684"/>
    <cellStyle name="Commentaire 3 13 2 3" xfId="25866"/>
    <cellStyle name="Commentaire 3 13 3" xfId="17384"/>
    <cellStyle name="Commentaire 3 13 3 2" xfId="37452"/>
    <cellStyle name="Commentaire 3 13 4" xfId="25865"/>
    <cellStyle name="Commentaire 3 14" xfId="4523"/>
    <cellStyle name="Commentaire 3 14 2" xfId="4524"/>
    <cellStyle name="Commentaire 3 14 2 2" xfId="19617"/>
    <cellStyle name="Commentaire 3 14 2 2 2" xfId="39685"/>
    <cellStyle name="Commentaire 3 14 2 3" xfId="25868"/>
    <cellStyle name="Commentaire 3 14 3" xfId="17512"/>
    <cellStyle name="Commentaire 3 14 3 2" xfId="37580"/>
    <cellStyle name="Commentaire 3 14 4" xfId="25867"/>
    <cellStyle name="Commentaire 3 15" xfId="4525"/>
    <cellStyle name="Commentaire 3 15 2" xfId="4526"/>
    <cellStyle name="Commentaire 3 15 2 2" xfId="19618"/>
    <cellStyle name="Commentaire 3 15 2 2 2" xfId="39686"/>
    <cellStyle name="Commentaire 3 15 2 3" xfId="25870"/>
    <cellStyle name="Commentaire 3 15 3" xfId="17628"/>
    <cellStyle name="Commentaire 3 15 3 2" xfId="37696"/>
    <cellStyle name="Commentaire 3 15 4" xfId="25869"/>
    <cellStyle name="Commentaire 3 16" xfId="4527"/>
    <cellStyle name="Commentaire 3 16 2" xfId="4528"/>
    <cellStyle name="Commentaire 3 16 2 2" xfId="19619"/>
    <cellStyle name="Commentaire 3 16 2 2 2" xfId="39687"/>
    <cellStyle name="Commentaire 3 16 2 3" xfId="25872"/>
    <cellStyle name="Commentaire 3 16 3" xfId="17763"/>
    <cellStyle name="Commentaire 3 16 3 2" xfId="37831"/>
    <cellStyle name="Commentaire 3 16 4" xfId="25871"/>
    <cellStyle name="Commentaire 3 17" xfId="4529"/>
    <cellStyle name="Commentaire 3 17 2" xfId="4530"/>
    <cellStyle name="Commentaire 3 17 2 2" xfId="19620"/>
    <cellStyle name="Commentaire 3 17 2 2 2" xfId="39688"/>
    <cellStyle name="Commentaire 3 17 2 3" xfId="25874"/>
    <cellStyle name="Commentaire 3 17 3" xfId="17892"/>
    <cellStyle name="Commentaire 3 17 3 2" xfId="37960"/>
    <cellStyle name="Commentaire 3 17 4" xfId="25873"/>
    <cellStyle name="Commentaire 3 18" xfId="4531"/>
    <cellStyle name="Commentaire 3 18 2" xfId="4532"/>
    <cellStyle name="Commentaire 3 18 2 2" xfId="19621"/>
    <cellStyle name="Commentaire 3 18 2 2 2" xfId="39689"/>
    <cellStyle name="Commentaire 3 18 2 3" xfId="25876"/>
    <cellStyle name="Commentaire 3 18 3" xfId="18042"/>
    <cellStyle name="Commentaire 3 18 3 2" xfId="38110"/>
    <cellStyle name="Commentaire 3 18 4" xfId="25875"/>
    <cellStyle name="Commentaire 3 19" xfId="4533"/>
    <cellStyle name="Commentaire 3 19 2" xfId="4534"/>
    <cellStyle name="Commentaire 3 19 2 2" xfId="19622"/>
    <cellStyle name="Commentaire 3 19 2 2 2" xfId="39690"/>
    <cellStyle name="Commentaire 3 19 2 3" xfId="25878"/>
    <cellStyle name="Commentaire 3 19 3" xfId="18159"/>
    <cellStyle name="Commentaire 3 19 3 2" xfId="38227"/>
    <cellStyle name="Commentaire 3 19 4" xfId="25877"/>
    <cellStyle name="Commentaire 3 2" xfId="4535"/>
    <cellStyle name="Commentaire 3 2 2" xfId="4536"/>
    <cellStyle name="Commentaire 3 2 2 2" xfId="19623"/>
    <cellStyle name="Commentaire 3 2 2 2 2" xfId="39691"/>
    <cellStyle name="Commentaire 3 2 2 3" xfId="25880"/>
    <cellStyle name="Commentaire 3 2 3" xfId="14628"/>
    <cellStyle name="Commentaire 3 2 3 2" xfId="34696"/>
    <cellStyle name="Commentaire 3 2 4" xfId="25879"/>
    <cellStyle name="Commentaire 3 20" xfId="4537"/>
    <cellStyle name="Commentaire 3 20 2" xfId="4538"/>
    <cellStyle name="Commentaire 3 20 2 2" xfId="19624"/>
    <cellStyle name="Commentaire 3 20 2 2 2" xfId="39692"/>
    <cellStyle name="Commentaire 3 20 2 3" xfId="25882"/>
    <cellStyle name="Commentaire 3 20 3" xfId="15983"/>
    <cellStyle name="Commentaire 3 20 3 2" xfId="36051"/>
    <cellStyle name="Commentaire 3 20 4" xfId="25881"/>
    <cellStyle name="Commentaire 3 21" xfId="4539"/>
    <cellStyle name="Commentaire 3 21 2" xfId="4540"/>
    <cellStyle name="Commentaire 3 21 2 2" xfId="19625"/>
    <cellStyle name="Commentaire 3 21 2 2 2" xfId="39693"/>
    <cellStyle name="Commentaire 3 21 2 3" xfId="25884"/>
    <cellStyle name="Commentaire 3 21 3" xfId="18354"/>
    <cellStyle name="Commentaire 3 21 3 2" xfId="38422"/>
    <cellStyle name="Commentaire 3 21 4" xfId="25883"/>
    <cellStyle name="Commentaire 3 22" xfId="4541"/>
    <cellStyle name="Commentaire 3 22 2" xfId="4542"/>
    <cellStyle name="Commentaire 3 22 2 2" xfId="19626"/>
    <cellStyle name="Commentaire 3 22 2 2 2" xfId="39694"/>
    <cellStyle name="Commentaire 3 22 2 3" xfId="25886"/>
    <cellStyle name="Commentaire 3 22 3" xfId="18498"/>
    <cellStyle name="Commentaire 3 22 3 2" xfId="38566"/>
    <cellStyle name="Commentaire 3 22 4" xfId="25885"/>
    <cellStyle name="Commentaire 3 23" xfId="4543"/>
    <cellStyle name="Commentaire 3 23 2" xfId="4544"/>
    <cellStyle name="Commentaire 3 23 2 2" xfId="19627"/>
    <cellStyle name="Commentaire 3 23 2 2 2" xfId="39695"/>
    <cellStyle name="Commentaire 3 23 2 3" xfId="25888"/>
    <cellStyle name="Commentaire 3 23 3" xfId="18609"/>
    <cellStyle name="Commentaire 3 23 3 2" xfId="38677"/>
    <cellStyle name="Commentaire 3 23 4" xfId="25887"/>
    <cellStyle name="Commentaire 3 24" xfId="4545"/>
    <cellStyle name="Commentaire 3 24 2" xfId="4546"/>
    <cellStyle name="Commentaire 3 24 2 2" xfId="19628"/>
    <cellStyle name="Commentaire 3 24 2 2 2" xfId="39696"/>
    <cellStyle name="Commentaire 3 24 2 3" xfId="25890"/>
    <cellStyle name="Commentaire 3 24 3" xfId="18709"/>
    <cellStyle name="Commentaire 3 24 3 2" xfId="38777"/>
    <cellStyle name="Commentaire 3 24 4" xfId="25889"/>
    <cellStyle name="Commentaire 3 25" xfId="4547"/>
    <cellStyle name="Commentaire 3 25 2" xfId="4548"/>
    <cellStyle name="Commentaire 3 25 2 2" xfId="19629"/>
    <cellStyle name="Commentaire 3 25 2 2 2" xfId="39697"/>
    <cellStyle name="Commentaire 3 25 2 3" xfId="25892"/>
    <cellStyle name="Commentaire 3 25 3" xfId="18809"/>
    <cellStyle name="Commentaire 3 25 3 2" xfId="38877"/>
    <cellStyle name="Commentaire 3 25 4" xfId="25891"/>
    <cellStyle name="Commentaire 3 26" xfId="4549"/>
    <cellStyle name="Commentaire 3 26 2" xfId="19612"/>
    <cellStyle name="Commentaire 3 26 2 2" xfId="39680"/>
    <cellStyle name="Commentaire 3 26 3" xfId="25893"/>
    <cellStyle name="Commentaire 3 27" xfId="14611"/>
    <cellStyle name="Commentaire 3 27 2" xfId="34679"/>
    <cellStyle name="Commentaire 3 28" xfId="25858"/>
    <cellStyle name="Commentaire 3 3" xfId="4550"/>
    <cellStyle name="Commentaire 3 3 2" xfId="4551"/>
    <cellStyle name="Commentaire 3 3 2 2" xfId="19630"/>
    <cellStyle name="Commentaire 3 3 2 2 2" xfId="39698"/>
    <cellStyle name="Commentaire 3 3 2 3" xfId="25895"/>
    <cellStyle name="Commentaire 3 3 3" xfId="14747"/>
    <cellStyle name="Commentaire 3 3 3 2" xfId="34815"/>
    <cellStyle name="Commentaire 3 3 4" xfId="25894"/>
    <cellStyle name="Commentaire 3 4" xfId="4552"/>
    <cellStyle name="Commentaire 3 4 2" xfId="4553"/>
    <cellStyle name="Commentaire 3 4 2 2" xfId="19631"/>
    <cellStyle name="Commentaire 3 4 2 2 2" xfId="39699"/>
    <cellStyle name="Commentaire 3 4 2 3" xfId="25897"/>
    <cellStyle name="Commentaire 3 4 3" xfId="14866"/>
    <cellStyle name="Commentaire 3 4 3 2" xfId="34934"/>
    <cellStyle name="Commentaire 3 4 4" xfId="25896"/>
    <cellStyle name="Commentaire 3 5" xfId="4554"/>
    <cellStyle name="Commentaire 3 5 2" xfId="4555"/>
    <cellStyle name="Commentaire 3 5 2 2" xfId="19632"/>
    <cellStyle name="Commentaire 3 5 2 2 2" xfId="39700"/>
    <cellStyle name="Commentaire 3 5 2 3" xfId="25899"/>
    <cellStyle name="Commentaire 3 5 3" xfId="15035"/>
    <cellStyle name="Commentaire 3 5 3 2" xfId="35103"/>
    <cellStyle name="Commentaire 3 5 4" xfId="25898"/>
    <cellStyle name="Commentaire 3 6" xfId="4556"/>
    <cellStyle name="Commentaire 3 6 2" xfId="4557"/>
    <cellStyle name="Commentaire 3 6 2 2" xfId="19633"/>
    <cellStyle name="Commentaire 3 6 2 2 2" xfId="39701"/>
    <cellStyle name="Commentaire 3 6 2 3" xfId="25901"/>
    <cellStyle name="Commentaire 3 6 3" xfId="14379"/>
    <cellStyle name="Commentaire 3 6 3 2" xfId="34447"/>
    <cellStyle name="Commentaire 3 6 4" xfId="25900"/>
    <cellStyle name="Commentaire 3 7" xfId="4558"/>
    <cellStyle name="Commentaire 3 7 2" xfId="4559"/>
    <cellStyle name="Commentaire 3 7 2 2" xfId="19634"/>
    <cellStyle name="Commentaire 3 7 2 2 2" xfId="39702"/>
    <cellStyle name="Commentaire 3 7 2 3" xfId="25903"/>
    <cellStyle name="Commentaire 3 7 3" xfId="15178"/>
    <cellStyle name="Commentaire 3 7 3 2" xfId="35246"/>
    <cellStyle name="Commentaire 3 7 4" xfId="25902"/>
    <cellStyle name="Commentaire 3 8" xfId="4560"/>
    <cellStyle name="Commentaire 3 8 2" xfId="4561"/>
    <cellStyle name="Commentaire 3 8 2 2" xfId="19635"/>
    <cellStyle name="Commentaire 3 8 2 2 2" xfId="39703"/>
    <cellStyle name="Commentaire 3 8 2 3" xfId="25905"/>
    <cellStyle name="Commentaire 3 8 3" xfId="16532"/>
    <cellStyle name="Commentaire 3 8 3 2" xfId="36600"/>
    <cellStyle name="Commentaire 3 8 4" xfId="25904"/>
    <cellStyle name="Commentaire 3 9" xfId="4562"/>
    <cellStyle name="Commentaire 3 9 2" xfId="4563"/>
    <cellStyle name="Commentaire 3 9 2 2" xfId="19636"/>
    <cellStyle name="Commentaire 3 9 2 2 2" xfId="39704"/>
    <cellStyle name="Commentaire 3 9 2 3" xfId="25907"/>
    <cellStyle name="Commentaire 3 9 3" xfId="16736"/>
    <cellStyle name="Commentaire 3 9 3 2" xfId="36804"/>
    <cellStyle name="Commentaire 3 9 4" xfId="25906"/>
    <cellStyle name="Commentaire 30" xfId="13863"/>
    <cellStyle name="Commentaire 30 2" xfId="33931"/>
    <cellStyle name="Commentaire 31" xfId="25716"/>
    <cellStyle name="Commentaire 4" xfId="4564"/>
    <cellStyle name="Commentaire 4 2" xfId="4565"/>
    <cellStyle name="Commentaire 4 2 2" xfId="19637"/>
    <cellStyle name="Commentaire 4 2 2 2" xfId="39705"/>
    <cellStyle name="Commentaire 4 2 3" xfId="25909"/>
    <cellStyle name="Commentaire 4 3" xfId="14479"/>
    <cellStyle name="Commentaire 4 3 2" xfId="34547"/>
    <cellStyle name="Commentaire 4 4" xfId="25908"/>
    <cellStyle name="Commentaire 5" xfId="4566"/>
    <cellStyle name="Commentaire 5 2" xfId="4567"/>
    <cellStyle name="Commentaire 5 2 2" xfId="19638"/>
    <cellStyle name="Commentaire 5 2 2 2" xfId="39706"/>
    <cellStyle name="Commentaire 5 2 3" xfId="25911"/>
    <cellStyle name="Commentaire 5 3" xfId="14155"/>
    <cellStyle name="Commentaire 5 3 2" xfId="34223"/>
    <cellStyle name="Commentaire 5 4" xfId="25910"/>
    <cellStyle name="Commentaire 6" xfId="4568"/>
    <cellStyle name="Commentaire 6 2" xfId="4569"/>
    <cellStyle name="Commentaire 6 2 2" xfId="19639"/>
    <cellStyle name="Commentaire 6 2 2 2" xfId="39707"/>
    <cellStyle name="Commentaire 6 2 3" xfId="25913"/>
    <cellStyle name="Commentaire 6 3" xfId="14252"/>
    <cellStyle name="Commentaire 6 3 2" xfId="34320"/>
    <cellStyle name="Commentaire 6 4" xfId="25912"/>
    <cellStyle name="Commentaire 7" xfId="4570"/>
    <cellStyle name="Commentaire 7 2" xfId="4571"/>
    <cellStyle name="Commentaire 7 2 2" xfId="19640"/>
    <cellStyle name="Commentaire 7 2 2 2" xfId="39708"/>
    <cellStyle name="Commentaire 7 2 3" xfId="25915"/>
    <cellStyle name="Commentaire 7 3" xfId="14332"/>
    <cellStyle name="Commentaire 7 3 2" xfId="34400"/>
    <cellStyle name="Commentaire 7 4" xfId="25914"/>
    <cellStyle name="Commentaire 8" xfId="4572"/>
    <cellStyle name="Commentaire 8 2" xfId="4573"/>
    <cellStyle name="Commentaire 8 2 2" xfId="19641"/>
    <cellStyle name="Commentaire 8 2 2 2" xfId="39709"/>
    <cellStyle name="Commentaire 8 2 3" xfId="25917"/>
    <cellStyle name="Commentaire 8 3" xfId="14847"/>
    <cellStyle name="Commentaire 8 3 2" xfId="34915"/>
    <cellStyle name="Commentaire 8 4" xfId="25916"/>
    <cellStyle name="Commentaire 9" xfId="4574"/>
    <cellStyle name="Commentaire 9 2" xfId="4575"/>
    <cellStyle name="Commentaire 9 2 2" xfId="19642"/>
    <cellStyle name="Commentaire 9 2 2 2" xfId="39710"/>
    <cellStyle name="Commentaire 9 2 3" xfId="25919"/>
    <cellStyle name="Commentaire 9 3" xfId="14119"/>
    <cellStyle name="Commentaire 9 3 2" xfId="34187"/>
    <cellStyle name="Commentaire 9 4" xfId="25918"/>
    <cellStyle name="Commentaire_2012-2013" xfId="4576"/>
    <cellStyle name="Currency [1]" xfId="4577"/>
    <cellStyle name="Currency [1] 2" xfId="4578"/>
    <cellStyle name="Currency [1] 2 2" xfId="4579"/>
    <cellStyle name="Currency [1] 2 3" xfId="4580"/>
    <cellStyle name="Currency [1] 3" xfId="4581"/>
    <cellStyle name="Currency [1] 4" xfId="4582"/>
    <cellStyle name="Currency 2" xfId="4583"/>
    <cellStyle name="Currency 3" xfId="4584"/>
    <cellStyle name="Currency 3 2" xfId="4585"/>
    <cellStyle name="Date Special" xfId="4586"/>
    <cellStyle name="Entrée" xfId="4587"/>
    <cellStyle name="Entrée 10" xfId="4588"/>
    <cellStyle name="Entrée 10 2" xfId="4589"/>
    <cellStyle name="Entrée 10 2 2" xfId="19644"/>
    <cellStyle name="Entrée 10 2 2 2" xfId="39712"/>
    <cellStyle name="Entrée 10 2 3" xfId="25922"/>
    <cellStyle name="Entrée 10 3" xfId="15546"/>
    <cellStyle name="Entrée 10 3 2" xfId="35614"/>
    <cellStyle name="Entrée 10 4" xfId="25921"/>
    <cellStyle name="Entrée 11" xfId="4590"/>
    <cellStyle name="Entrée 11 2" xfId="4591"/>
    <cellStyle name="Entrée 11 2 2" xfId="19645"/>
    <cellStyle name="Entrée 11 2 2 2" xfId="39713"/>
    <cellStyle name="Entrée 11 2 3" xfId="25924"/>
    <cellStyle name="Entrée 11 3" xfId="16316"/>
    <cellStyle name="Entrée 11 3 2" xfId="36384"/>
    <cellStyle name="Entrée 11 4" xfId="25923"/>
    <cellStyle name="Entrée 12" xfId="4592"/>
    <cellStyle name="Entrée 12 2" xfId="4593"/>
    <cellStyle name="Entrée 12 2 2" xfId="19646"/>
    <cellStyle name="Entrée 12 2 2 2" xfId="39714"/>
    <cellStyle name="Entrée 12 2 3" xfId="25926"/>
    <cellStyle name="Entrée 12 3" xfId="15540"/>
    <cellStyle name="Entrée 12 3 2" xfId="35608"/>
    <cellStyle name="Entrée 12 4" xfId="25925"/>
    <cellStyle name="Entrée 13" xfId="4594"/>
    <cellStyle name="Entrée 13 2" xfId="4595"/>
    <cellStyle name="Entrée 13 2 2" xfId="19647"/>
    <cellStyle name="Entrée 13 2 2 2" xfId="39715"/>
    <cellStyle name="Entrée 13 2 3" xfId="25928"/>
    <cellStyle name="Entrée 13 3" xfId="16425"/>
    <cellStyle name="Entrée 13 3 2" xfId="36493"/>
    <cellStyle name="Entrée 13 4" xfId="25927"/>
    <cellStyle name="Entrée 14" xfId="4596"/>
    <cellStyle name="Entrée 14 2" xfId="4597"/>
    <cellStyle name="Entrée 14 2 2" xfId="19648"/>
    <cellStyle name="Entrée 14 2 2 2" xfId="39716"/>
    <cellStyle name="Entrée 14 2 3" xfId="25930"/>
    <cellStyle name="Entrée 14 3" xfId="16428"/>
    <cellStyle name="Entrée 14 3 2" xfId="36496"/>
    <cellStyle name="Entrée 14 4" xfId="25929"/>
    <cellStyle name="Entrée 15" xfId="4598"/>
    <cellStyle name="Entrée 15 2" xfId="4599"/>
    <cellStyle name="Entrée 15 2 2" xfId="19649"/>
    <cellStyle name="Entrée 15 2 2 2" xfId="39717"/>
    <cellStyle name="Entrée 15 2 3" xfId="25932"/>
    <cellStyle name="Entrée 15 3" xfId="15844"/>
    <cellStyle name="Entrée 15 3 2" xfId="35912"/>
    <cellStyle name="Entrée 15 4" xfId="25931"/>
    <cellStyle name="Entrée 16" xfId="4600"/>
    <cellStyle name="Entrée 16 2" xfId="4601"/>
    <cellStyle name="Entrée 16 2 2" xfId="19650"/>
    <cellStyle name="Entrée 16 2 2 2" xfId="39718"/>
    <cellStyle name="Entrée 16 2 3" xfId="25934"/>
    <cellStyle name="Entrée 16 3" xfId="16431"/>
    <cellStyle name="Entrée 16 3 2" xfId="36499"/>
    <cellStyle name="Entrée 16 4" xfId="25933"/>
    <cellStyle name="Entrée 17" xfId="4602"/>
    <cellStyle name="Entrée 17 2" xfId="4603"/>
    <cellStyle name="Entrée 17 2 2" xfId="19651"/>
    <cellStyle name="Entrée 17 2 2 2" xfId="39719"/>
    <cellStyle name="Entrée 17 2 3" xfId="25936"/>
    <cellStyle name="Entrée 17 3" xfId="16285"/>
    <cellStyle name="Entrée 17 3 2" xfId="36353"/>
    <cellStyle name="Entrée 17 4" xfId="25935"/>
    <cellStyle name="Entrée 18" xfId="4604"/>
    <cellStyle name="Entrée 18 2" xfId="4605"/>
    <cellStyle name="Entrée 18 2 2" xfId="19652"/>
    <cellStyle name="Entrée 18 2 2 2" xfId="39720"/>
    <cellStyle name="Entrée 18 2 3" xfId="25938"/>
    <cellStyle name="Entrée 18 3" xfId="16307"/>
    <cellStyle name="Entrée 18 3 2" xfId="36375"/>
    <cellStyle name="Entrée 18 4" xfId="25937"/>
    <cellStyle name="Entrée 19" xfId="4606"/>
    <cellStyle name="Entrée 19 2" xfId="4607"/>
    <cellStyle name="Entrée 19 2 2" xfId="19653"/>
    <cellStyle name="Entrée 19 2 2 2" xfId="39721"/>
    <cellStyle name="Entrée 19 2 3" xfId="25940"/>
    <cellStyle name="Entrée 19 3" xfId="15506"/>
    <cellStyle name="Entrée 19 3 2" xfId="35574"/>
    <cellStyle name="Entrée 19 4" xfId="25939"/>
    <cellStyle name="Entrée 2" xfId="4608"/>
    <cellStyle name="Entrée 2 10" xfId="4609"/>
    <cellStyle name="Entrée 2 10 2" xfId="4610"/>
    <cellStyle name="Entrée 2 10 2 2" xfId="19655"/>
    <cellStyle name="Entrée 2 10 2 2 2" xfId="39723"/>
    <cellStyle name="Entrée 2 10 2 3" xfId="25943"/>
    <cellStyle name="Entrée 2 10 3" xfId="16737"/>
    <cellStyle name="Entrée 2 10 3 2" xfId="36805"/>
    <cellStyle name="Entrée 2 10 4" xfId="25942"/>
    <cellStyle name="Entrée 2 11" xfId="4611"/>
    <cellStyle name="Entrée 2 11 2" xfId="4612"/>
    <cellStyle name="Entrée 2 11 2 2" xfId="19656"/>
    <cellStyle name="Entrée 2 11 2 2 2" xfId="39724"/>
    <cellStyle name="Entrée 2 11 2 3" xfId="25945"/>
    <cellStyle name="Entrée 2 11 3" xfId="16908"/>
    <cellStyle name="Entrée 2 11 3 2" xfId="36976"/>
    <cellStyle name="Entrée 2 11 4" xfId="25944"/>
    <cellStyle name="Entrée 2 12" xfId="4613"/>
    <cellStyle name="Entrée 2 12 2" xfId="4614"/>
    <cellStyle name="Entrée 2 12 2 2" xfId="19657"/>
    <cellStyle name="Entrée 2 12 2 2 2" xfId="39725"/>
    <cellStyle name="Entrée 2 12 2 3" xfId="25947"/>
    <cellStyle name="Entrée 2 12 3" xfId="17043"/>
    <cellStyle name="Entrée 2 12 3 2" xfId="37111"/>
    <cellStyle name="Entrée 2 12 4" xfId="25946"/>
    <cellStyle name="Entrée 2 13" xfId="4615"/>
    <cellStyle name="Entrée 2 13 2" xfId="4616"/>
    <cellStyle name="Entrée 2 13 2 2" xfId="19658"/>
    <cellStyle name="Entrée 2 13 2 2 2" xfId="39726"/>
    <cellStyle name="Entrée 2 13 2 3" xfId="25949"/>
    <cellStyle name="Entrée 2 13 3" xfId="17215"/>
    <cellStyle name="Entrée 2 13 3 2" xfId="37283"/>
    <cellStyle name="Entrée 2 13 4" xfId="25948"/>
    <cellStyle name="Entrée 2 14" xfId="4617"/>
    <cellStyle name="Entrée 2 14 2" xfId="4618"/>
    <cellStyle name="Entrée 2 14 2 2" xfId="19659"/>
    <cellStyle name="Entrée 2 14 2 2 2" xfId="39727"/>
    <cellStyle name="Entrée 2 14 2 3" xfId="25951"/>
    <cellStyle name="Entrée 2 14 3" xfId="17385"/>
    <cellStyle name="Entrée 2 14 3 2" xfId="37453"/>
    <cellStyle name="Entrée 2 14 4" xfId="25950"/>
    <cellStyle name="Entrée 2 15" xfId="4619"/>
    <cellStyle name="Entrée 2 15 2" xfId="4620"/>
    <cellStyle name="Entrée 2 15 2 2" xfId="19660"/>
    <cellStyle name="Entrée 2 15 2 2 2" xfId="39728"/>
    <cellStyle name="Entrée 2 15 2 3" xfId="25953"/>
    <cellStyle name="Entrée 2 15 3" xfId="17513"/>
    <cellStyle name="Entrée 2 15 3 2" xfId="37581"/>
    <cellStyle name="Entrée 2 15 4" xfId="25952"/>
    <cellStyle name="Entrée 2 16" xfId="4621"/>
    <cellStyle name="Entrée 2 16 2" xfId="4622"/>
    <cellStyle name="Entrée 2 16 2 2" xfId="19661"/>
    <cellStyle name="Entrée 2 16 2 2 2" xfId="39729"/>
    <cellStyle name="Entrée 2 16 2 3" xfId="25955"/>
    <cellStyle name="Entrée 2 16 3" xfId="15447"/>
    <cellStyle name="Entrée 2 16 3 2" xfId="35515"/>
    <cellStyle name="Entrée 2 16 4" xfId="25954"/>
    <cellStyle name="Entrée 2 17" xfId="4623"/>
    <cellStyle name="Entrée 2 17 2" xfId="4624"/>
    <cellStyle name="Entrée 2 17 2 2" xfId="19662"/>
    <cellStyle name="Entrée 2 17 2 2 2" xfId="39730"/>
    <cellStyle name="Entrée 2 17 2 3" xfId="25957"/>
    <cellStyle name="Entrée 2 17 3" xfId="17764"/>
    <cellStyle name="Entrée 2 17 3 2" xfId="37832"/>
    <cellStyle name="Entrée 2 17 4" xfId="25956"/>
    <cellStyle name="Entrée 2 18" xfId="4625"/>
    <cellStyle name="Entrée 2 18 2" xfId="4626"/>
    <cellStyle name="Entrée 2 18 2 2" xfId="19663"/>
    <cellStyle name="Entrée 2 18 2 2 2" xfId="39731"/>
    <cellStyle name="Entrée 2 18 2 3" xfId="25959"/>
    <cellStyle name="Entrée 2 18 3" xfId="17893"/>
    <cellStyle name="Entrée 2 18 3 2" xfId="37961"/>
    <cellStyle name="Entrée 2 18 4" xfId="25958"/>
    <cellStyle name="Entrée 2 19" xfId="4627"/>
    <cellStyle name="Entrée 2 19 2" xfId="4628"/>
    <cellStyle name="Entrée 2 19 2 2" xfId="19664"/>
    <cellStyle name="Entrée 2 19 2 2 2" xfId="39732"/>
    <cellStyle name="Entrée 2 19 2 3" xfId="25961"/>
    <cellStyle name="Entrée 2 19 3" xfId="18043"/>
    <cellStyle name="Entrée 2 19 3 2" xfId="38111"/>
    <cellStyle name="Entrée 2 19 4" xfId="25960"/>
    <cellStyle name="Entrée 2 2" xfId="4629"/>
    <cellStyle name="Entrée 2 2 2" xfId="4630"/>
    <cellStyle name="Entrée 2 2 2 2" xfId="19665"/>
    <cellStyle name="Entrée 2 2 2 2 2" xfId="39733"/>
    <cellStyle name="Entrée 2 2 2 3" xfId="25963"/>
    <cellStyle name="Entrée 2 2 3" xfId="14629"/>
    <cellStyle name="Entrée 2 2 3 2" xfId="34697"/>
    <cellStyle name="Entrée 2 2 4" xfId="25962"/>
    <cellStyle name="Entrée 2 20" xfId="4631"/>
    <cellStyle name="Entrée 2 20 2" xfId="4632"/>
    <cellStyle name="Entrée 2 20 2 2" xfId="19666"/>
    <cellStyle name="Entrée 2 20 2 2 2" xfId="39734"/>
    <cellStyle name="Entrée 2 20 2 3" xfId="25965"/>
    <cellStyle name="Entrée 2 20 3" xfId="18160"/>
    <cellStyle name="Entrée 2 20 3 2" xfId="38228"/>
    <cellStyle name="Entrée 2 20 4" xfId="25964"/>
    <cellStyle name="Entrée 2 21" xfId="4633"/>
    <cellStyle name="Entrée 2 21 2" xfId="4634"/>
    <cellStyle name="Entrée 2 21 2 2" xfId="19667"/>
    <cellStyle name="Entrée 2 21 2 2 2" xfId="39735"/>
    <cellStyle name="Entrée 2 21 2 3" xfId="25967"/>
    <cellStyle name="Entrée 2 21 3" xfId="15558"/>
    <cellStyle name="Entrée 2 21 3 2" xfId="35626"/>
    <cellStyle name="Entrée 2 21 4" xfId="25966"/>
    <cellStyle name="Entrée 2 22" xfId="4635"/>
    <cellStyle name="Entrée 2 22 2" xfId="4636"/>
    <cellStyle name="Entrée 2 22 2 2" xfId="19668"/>
    <cellStyle name="Entrée 2 22 2 2 2" xfId="39736"/>
    <cellStyle name="Entrée 2 22 2 3" xfId="25969"/>
    <cellStyle name="Entrée 2 22 3" xfId="18355"/>
    <cellStyle name="Entrée 2 22 3 2" xfId="38423"/>
    <cellStyle name="Entrée 2 22 4" xfId="25968"/>
    <cellStyle name="Entrée 2 23" xfId="4637"/>
    <cellStyle name="Entrée 2 23 2" xfId="4638"/>
    <cellStyle name="Entrée 2 23 2 2" xfId="19669"/>
    <cellStyle name="Entrée 2 23 2 2 2" xfId="39737"/>
    <cellStyle name="Entrée 2 23 2 3" xfId="25971"/>
    <cellStyle name="Entrée 2 23 3" xfId="18499"/>
    <cellStyle name="Entrée 2 23 3 2" xfId="38567"/>
    <cellStyle name="Entrée 2 23 4" xfId="25970"/>
    <cellStyle name="Entrée 2 24" xfId="4639"/>
    <cellStyle name="Entrée 2 24 2" xfId="4640"/>
    <cellStyle name="Entrée 2 24 2 2" xfId="19670"/>
    <cellStyle name="Entrée 2 24 2 2 2" xfId="39738"/>
    <cellStyle name="Entrée 2 24 2 3" xfId="25973"/>
    <cellStyle name="Entrée 2 24 3" xfId="18610"/>
    <cellStyle name="Entrée 2 24 3 2" xfId="38678"/>
    <cellStyle name="Entrée 2 24 4" xfId="25972"/>
    <cellStyle name="Entrée 2 25" xfId="4641"/>
    <cellStyle name="Entrée 2 25 2" xfId="4642"/>
    <cellStyle name="Entrée 2 25 2 2" xfId="19671"/>
    <cellStyle name="Entrée 2 25 2 2 2" xfId="39739"/>
    <cellStyle name="Entrée 2 25 2 3" xfId="25975"/>
    <cellStyle name="Entrée 2 25 3" xfId="18710"/>
    <cellStyle name="Entrée 2 25 3 2" xfId="38778"/>
    <cellStyle name="Entrée 2 25 4" xfId="25974"/>
    <cellStyle name="Entrée 2 26" xfId="4643"/>
    <cellStyle name="Entrée 2 26 2" xfId="4644"/>
    <cellStyle name="Entrée 2 26 2 2" xfId="19672"/>
    <cellStyle name="Entrée 2 26 2 2 2" xfId="39740"/>
    <cellStyle name="Entrée 2 26 2 3" xfId="25977"/>
    <cellStyle name="Entrée 2 26 3" xfId="18810"/>
    <cellStyle name="Entrée 2 26 3 2" xfId="38878"/>
    <cellStyle name="Entrée 2 26 4" xfId="25976"/>
    <cellStyle name="Entrée 2 27" xfId="4645"/>
    <cellStyle name="Entrée 2 27 2" xfId="19654"/>
    <cellStyle name="Entrée 2 27 2 2" xfId="39722"/>
    <cellStyle name="Entrée 2 27 3" xfId="25978"/>
    <cellStyle name="Entrée 2 28" xfId="13959"/>
    <cellStyle name="Entrée 2 28 2" xfId="34027"/>
    <cellStyle name="Entrée 2 29" xfId="25941"/>
    <cellStyle name="Entrée 2 3" xfId="4646"/>
    <cellStyle name="Entrée 2 3 2" xfId="4647"/>
    <cellStyle name="Entrée 2 3 2 2" xfId="19673"/>
    <cellStyle name="Entrée 2 3 2 2 2" xfId="39741"/>
    <cellStyle name="Entrée 2 3 2 3" xfId="25980"/>
    <cellStyle name="Entrée 2 3 3" xfId="14748"/>
    <cellStyle name="Entrée 2 3 3 2" xfId="34816"/>
    <cellStyle name="Entrée 2 3 4" xfId="25979"/>
    <cellStyle name="Entrée 2 4" xfId="4648"/>
    <cellStyle name="Entrée 2 4 2" xfId="4649"/>
    <cellStyle name="Entrée 2 4 2 2" xfId="19674"/>
    <cellStyle name="Entrée 2 4 2 2 2" xfId="39742"/>
    <cellStyle name="Entrée 2 4 2 3" xfId="25982"/>
    <cellStyle name="Entrée 2 4 3" xfId="14867"/>
    <cellStyle name="Entrée 2 4 3 2" xfId="34935"/>
    <cellStyle name="Entrée 2 4 4" xfId="25981"/>
    <cellStyle name="Entrée 2 5" xfId="4650"/>
    <cellStyle name="Entrée 2 5 2" xfId="4651"/>
    <cellStyle name="Entrée 2 5 2 2" xfId="19675"/>
    <cellStyle name="Entrée 2 5 2 2 2" xfId="39743"/>
    <cellStyle name="Entrée 2 5 2 3" xfId="25984"/>
    <cellStyle name="Entrée 2 5 3" xfId="15036"/>
    <cellStyle name="Entrée 2 5 3 2" xfId="35104"/>
    <cellStyle name="Entrée 2 5 4" xfId="25983"/>
    <cellStyle name="Entrée 2 6" xfId="4652"/>
    <cellStyle name="Entrée 2 6 2" xfId="4653"/>
    <cellStyle name="Entrée 2 6 2 2" xfId="19676"/>
    <cellStyle name="Entrée 2 6 2 2 2" xfId="39744"/>
    <cellStyle name="Entrée 2 6 2 3" xfId="25986"/>
    <cellStyle name="Entrée 2 6 3" xfId="14130"/>
    <cellStyle name="Entrée 2 6 3 2" xfId="34198"/>
    <cellStyle name="Entrée 2 6 4" xfId="25985"/>
    <cellStyle name="Entrée 2 7" xfId="4654"/>
    <cellStyle name="Entrée 2 7 2" xfId="4655"/>
    <cellStyle name="Entrée 2 7 2 2" xfId="19677"/>
    <cellStyle name="Entrée 2 7 2 2 2" xfId="39745"/>
    <cellStyle name="Entrée 2 7 2 3" xfId="25988"/>
    <cellStyle name="Entrée 2 7 3" xfId="15179"/>
    <cellStyle name="Entrée 2 7 3 2" xfId="35247"/>
    <cellStyle name="Entrée 2 7 4" xfId="25987"/>
    <cellStyle name="Entrée 2 8" xfId="4656"/>
    <cellStyle name="Entrée 2 8 2" xfId="4657"/>
    <cellStyle name="Entrée 2 8 2 2" xfId="19678"/>
    <cellStyle name="Entrée 2 8 2 2 2" xfId="39746"/>
    <cellStyle name="Entrée 2 8 2 3" xfId="25990"/>
    <cellStyle name="Entrée 2 8 3" xfId="15365"/>
    <cellStyle name="Entrée 2 8 3 2" xfId="35433"/>
    <cellStyle name="Entrée 2 8 4" xfId="25989"/>
    <cellStyle name="Entrée 2 9" xfId="4658"/>
    <cellStyle name="Entrée 2 9 2" xfId="4659"/>
    <cellStyle name="Entrée 2 9 2 2" xfId="19679"/>
    <cellStyle name="Entrée 2 9 2 2 2" xfId="39747"/>
    <cellStyle name="Entrée 2 9 2 3" xfId="25992"/>
    <cellStyle name="Entrée 2 9 3" xfId="16533"/>
    <cellStyle name="Entrée 2 9 3 2" xfId="36601"/>
    <cellStyle name="Entrée 2 9 4" xfId="25991"/>
    <cellStyle name="Entrée 20" xfId="4660"/>
    <cellStyle name="Entrée 20 2" xfId="4661"/>
    <cellStyle name="Entrée 20 2 2" xfId="19680"/>
    <cellStyle name="Entrée 20 2 2 2" xfId="39748"/>
    <cellStyle name="Entrée 20 2 3" xfId="25994"/>
    <cellStyle name="Entrée 20 3" xfId="15595"/>
    <cellStyle name="Entrée 20 3 2" xfId="35663"/>
    <cellStyle name="Entrée 20 4" xfId="25993"/>
    <cellStyle name="Entrée 21" xfId="4662"/>
    <cellStyle name="Entrée 21 2" xfId="4663"/>
    <cellStyle name="Entrée 21 2 2" xfId="19681"/>
    <cellStyle name="Entrée 21 2 2 2" xfId="39749"/>
    <cellStyle name="Entrée 21 2 3" xfId="25996"/>
    <cellStyle name="Entrée 21 3" xfId="15680"/>
    <cellStyle name="Entrée 21 3 2" xfId="35748"/>
    <cellStyle name="Entrée 21 4" xfId="25995"/>
    <cellStyle name="Entrée 22" xfId="4664"/>
    <cellStyle name="Entrée 22 2" xfId="4665"/>
    <cellStyle name="Entrée 22 2 2" xfId="19682"/>
    <cellStyle name="Entrée 22 2 2 2" xfId="39750"/>
    <cellStyle name="Entrée 22 2 3" xfId="25998"/>
    <cellStyle name="Entrée 22 3" xfId="17669"/>
    <cellStyle name="Entrée 22 3 2" xfId="37737"/>
    <cellStyle name="Entrée 22 4" xfId="25997"/>
    <cellStyle name="Entrée 23" xfId="4666"/>
    <cellStyle name="Entrée 23 2" xfId="4667"/>
    <cellStyle name="Entrée 23 2 2" xfId="19683"/>
    <cellStyle name="Entrée 23 2 2 2" xfId="39751"/>
    <cellStyle name="Entrée 23 2 3" xfId="26000"/>
    <cellStyle name="Entrée 23 3" xfId="17858"/>
    <cellStyle name="Entrée 23 3 2" xfId="37926"/>
    <cellStyle name="Entrée 23 4" xfId="25999"/>
    <cellStyle name="Entrée 24" xfId="4668"/>
    <cellStyle name="Entrée 24 2" xfId="4669"/>
    <cellStyle name="Entrée 24 2 2" xfId="19684"/>
    <cellStyle name="Entrée 24 2 2 2" xfId="39752"/>
    <cellStyle name="Entrée 24 2 3" xfId="26002"/>
    <cellStyle name="Entrée 24 3" xfId="15692"/>
    <cellStyle name="Entrée 24 3 2" xfId="35760"/>
    <cellStyle name="Entrée 24 4" xfId="26001"/>
    <cellStyle name="Entrée 25" xfId="4670"/>
    <cellStyle name="Entrée 25 2" xfId="4671"/>
    <cellStyle name="Entrée 25 2 2" xfId="19685"/>
    <cellStyle name="Entrée 25 2 2 2" xfId="39753"/>
    <cellStyle name="Entrée 25 2 3" xfId="26004"/>
    <cellStyle name="Entrée 25 3" xfId="16384"/>
    <cellStyle name="Entrée 25 3 2" xfId="36452"/>
    <cellStyle name="Entrée 25 4" xfId="26003"/>
    <cellStyle name="Entrée 26" xfId="4672"/>
    <cellStyle name="Entrée 26 2" xfId="4673"/>
    <cellStyle name="Entrée 26 2 2" xfId="19686"/>
    <cellStyle name="Entrée 26 2 2 2" xfId="39754"/>
    <cellStyle name="Entrée 26 2 3" xfId="26006"/>
    <cellStyle name="Entrée 26 3" xfId="15976"/>
    <cellStyle name="Entrée 26 3 2" xfId="36044"/>
    <cellStyle name="Entrée 26 4" xfId="26005"/>
    <cellStyle name="Entrée 27" xfId="4674"/>
    <cellStyle name="Entrée 27 2" xfId="4675"/>
    <cellStyle name="Entrée 27 2 2" xfId="19687"/>
    <cellStyle name="Entrée 27 2 2 2" xfId="39755"/>
    <cellStyle name="Entrée 27 2 3" xfId="26008"/>
    <cellStyle name="Entrée 27 3" xfId="15943"/>
    <cellStyle name="Entrée 27 3 2" xfId="36011"/>
    <cellStyle name="Entrée 27 4" xfId="26007"/>
    <cellStyle name="Entrée 28" xfId="4676"/>
    <cellStyle name="Entrée 28 2" xfId="19643"/>
    <cellStyle name="Entrée 28 2 2" xfId="39711"/>
    <cellStyle name="Entrée 28 3" xfId="26009"/>
    <cellStyle name="Entrée 29" xfId="13865"/>
    <cellStyle name="Entrée 29 2" xfId="33933"/>
    <cellStyle name="Entrée 3" xfId="4677"/>
    <cellStyle name="Entrée 3 2" xfId="4678"/>
    <cellStyle name="Entrée 3 2 2" xfId="19688"/>
    <cellStyle name="Entrée 3 2 2 2" xfId="39756"/>
    <cellStyle name="Entrée 3 2 3" xfId="26011"/>
    <cellStyle name="Entrée 3 3" xfId="14255"/>
    <cellStyle name="Entrée 3 3 2" xfId="34323"/>
    <cellStyle name="Entrée 3 4" xfId="26010"/>
    <cellStyle name="Entrée 30" xfId="25920"/>
    <cellStyle name="Entrée 4" xfId="4679"/>
    <cellStyle name="Entrée 4 2" xfId="4680"/>
    <cellStyle name="Entrée 4 2 2" xfId="19689"/>
    <cellStyle name="Entrée 4 2 2 2" xfId="39757"/>
    <cellStyle name="Entrée 4 2 3" xfId="26013"/>
    <cellStyle name="Entrée 4 3" xfId="14064"/>
    <cellStyle name="Entrée 4 3 2" xfId="34132"/>
    <cellStyle name="Entrée 4 4" xfId="26012"/>
    <cellStyle name="Entrée 5" xfId="4681"/>
    <cellStyle name="Entrée 5 2" xfId="4682"/>
    <cellStyle name="Entrée 5 2 2" xfId="19690"/>
    <cellStyle name="Entrée 5 2 2 2" xfId="39758"/>
    <cellStyle name="Entrée 5 2 3" xfId="26015"/>
    <cellStyle name="Entrée 5 3" xfId="14358"/>
    <cellStyle name="Entrée 5 3 2" xfId="34426"/>
    <cellStyle name="Entrée 5 4" xfId="26014"/>
    <cellStyle name="Entrée 6" xfId="4683"/>
    <cellStyle name="Entrée 6 2" xfId="4684"/>
    <cellStyle name="Entrée 6 2 2" xfId="19691"/>
    <cellStyle name="Entrée 6 2 2 2" xfId="39759"/>
    <cellStyle name="Entrée 6 2 3" xfId="26017"/>
    <cellStyle name="Entrée 6 3" xfId="14324"/>
    <cellStyle name="Entrée 6 3 2" xfId="34392"/>
    <cellStyle name="Entrée 6 4" xfId="26016"/>
    <cellStyle name="Entrée 7" xfId="4685"/>
    <cellStyle name="Entrée 7 2" xfId="4686"/>
    <cellStyle name="Entrée 7 2 2" xfId="19692"/>
    <cellStyle name="Entrée 7 2 2 2" xfId="39760"/>
    <cellStyle name="Entrée 7 2 3" xfId="26019"/>
    <cellStyle name="Entrée 7 3" xfId="14326"/>
    <cellStyle name="Entrée 7 3 2" xfId="34394"/>
    <cellStyle name="Entrée 7 4" xfId="26018"/>
    <cellStyle name="Entrée 8" xfId="4687"/>
    <cellStyle name="Entrée 8 2" xfId="4688"/>
    <cellStyle name="Entrée 8 2 2" xfId="19693"/>
    <cellStyle name="Entrée 8 2 2 2" xfId="39761"/>
    <cellStyle name="Entrée 8 2 3" xfId="26021"/>
    <cellStyle name="Entrée 8 3" xfId="14033"/>
    <cellStyle name="Entrée 8 3 2" xfId="34101"/>
    <cellStyle name="Entrée 8 4" xfId="26020"/>
    <cellStyle name="Entrée 9" xfId="4689"/>
    <cellStyle name="Entrée 9 2" xfId="4690"/>
    <cellStyle name="Entrée 9 2 2" xfId="19694"/>
    <cellStyle name="Entrée 9 2 2 2" xfId="39762"/>
    <cellStyle name="Entrée 9 2 3" xfId="26023"/>
    <cellStyle name="Entrée 9 3" xfId="15271"/>
    <cellStyle name="Entrée 9 3 2" xfId="35339"/>
    <cellStyle name="Entrée 9 4" xfId="26022"/>
    <cellStyle name="Entrée_2012-2013" xfId="4691"/>
    <cellStyle name="Euro" xfId="4692"/>
    <cellStyle name="Explanatory Text" xfId="19" builtinId="53" customBuiltin="1"/>
    <cellStyle name="Explanatory Text 2" xfId="4693"/>
    <cellStyle name="Explanatory Text 2 2" xfId="4694"/>
    <cellStyle name="Explanatory Text 2 3" xfId="4695"/>
    <cellStyle name="Explanatory Text 2 4" xfId="4696"/>
    <cellStyle name="Explanatory Text 2 5" xfId="4697"/>
    <cellStyle name="Explanatory Text 3" xfId="4698"/>
    <cellStyle name="Explanatory Text 3 2" xfId="4699"/>
    <cellStyle name="Explanatory Text 3 3" xfId="4700"/>
    <cellStyle name="Explanatory Text 4" xfId="4701"/>
    <cellStyle name="Explanatory Text 4 2" xfId="4702"/>
    <cellStyle name="Explanatory Text 5" xfId="4703"/>
    <cellStyle name="Form Title" xfId="4704"/>
    <cellStyle name="Form Title 2" xfId="4705"/>
    <cellStyle name="Form Title 2 2" xfId="4706"/>
    <cellStyle name="Form Title 2 2 2" xfId="4707"/>
    <cellStyle name="Form Title 2 2 2 2" xfId="4708"/>
    <cellStyle name="Form Title 2 2 2 2 2" xfId="15382"/>
    <cellStyle name="Form Title 2 2 2 2 2 2" xfId="35450"/>
    <cellStyle name="Form Title 2 2 2 2 3" xfId="26024"/>
    <cellStyle name="Form Title 2 2 2 3" xfId="13979"/>
    <cellStyle name="Form Title 2 2 2 3 2" xfId="34047"/>
    <cellStyle name="Form Title 2 2 2 4" xfId="24476"/>
    <cellStyle name="Form Title 2 2 2 4 2" xfId="43952"/>
    <cellStyle name="Form Title 2 2 3" xfId="4709"/>
    <cellStyle name="Form Title 2 2 3 2" xfId="15377"/>
    <cellStyle name="Form Title 2 2 3 2 2" xfId="35445"/>
    <cellStyle name="Form Title 2 2 3 3" xfId="26025"/>
    <cellStyle name="Form Title 2 2 4" xfId="13972"/>
    <cellStyle name="Form Title 2 2 4 2" xfId="34040"/>
    <cellStyle name="Form Title 2 2 5" xfId="23899"/>
    <cellStyle name="Form Title 2 2 5 2" xfId="43944"/>
    <cellStyle name="Form Title 2 3" xfId="4710"/>
    <cellStyle name="Form Title 2 3 2" xfId="4711"/>
    <cellStyle name="Form Title 2 3 2 2" xfId="14418"/>
    <cellStyle name="Form Title 2 3 2 2 2" xfId="34486"/>
    <cellStyle name="Form Title 2 3 2 3" xfId="26026"/>
    <cellStyle name="Form Title 2 3 3" xfId="13976"/>
    <cellStyle name="Form Title 2 3 3 2" xfId="34044"/>
    <cellStyle name="Form Title 2 3 4" xfId="24207"/>
    <cellStyle name="Form Title 2 3 4 2" xfId="43949"/>
    <cellStyle name="Form Title 2 4" xfId="4712"/>
    <cellStyle name="Form Title 2 4 2" xfId="15374"/>
    <cellStyle name="Form Title 2 4 2 2" xfId="35442"/>
    <cellStyle name="Form Title 2 4 3" xfId="26027"/>
    <cellStyle name="Form Title 2 5" xfId="13969"/>
    <cellStyle name="Form Title 2 5 2" xfId="34037"/>
    <cellStyle name="Form Title 2 6" xfId="23924"/>
    <cellStyle name="Form Title 2 6 2" xfId="43945"/>
    <cellStyle name="Form Title 2_Look Back" xfId="4713"/>
    <cellStyle name="Form Title 3" xfId="4714"/>
    <cellStyle name="Form Title 3 2" xfId="4715"/>
    <cellStyle name="Form Title 3 2 2" xfId="4716"/>
    <cellStyle name="Form Title 3 2 2 2" xfId="4717"/>
    <cellStyle name="Form Title 3 2 2 2 2" xfId="15383"/>
    <cellStyle name="Form Title 3 2 2 2 2 2" xfId="35451"/>
    <cellStyle name="Form Title 3 2 2 2 3" xfId="26028"/>
    <cellStyle name="Form Title 3 2 2 3" xfId="13980"/>
    <cellStyle name="Form Title 3 2 2 3 2" xfId="34048"/>
    <cellStyle name="Form Title 3 2 2 4" xfId="24474"/>
    <cellStyle name="Form Title 3 2 2 4 2" xfId="43950"/>
    <cellStyle name="Form Title 3 2 3" xfId="4718"/>
    <cellStyle name="Form Title 3 2 3 2" xfId="15378"/>
    <cellStyle name="Form Title 3 2 3 2 2" xfId="35446"/>
    <cellStyle name="Form Title 3 2 3 3" xfId="26029"/>
    <cellStyle name="Form Title 3 2 4" xfId="13973"/>
    <cellStyle name="Form Title 3 2 4 2" xfId="34041"/>
    <cellStyle name="Form Title 3 2 5" xfId="24479"/>
    <cellStyle name="Form Title 3 2 5 2" xfId="43955"/>
    <cellStyle name="Form Title 3 3" xfId="4719"/>
    <cellStyle name="Form Title 3 3 2" xfId="4720"/>
    <cellStyle name="Form Title 3 3 2 2" xfId="15381"/>
    <cellStyle name="Form Title 3 3 2 2 2" xfId="35449"/>
    <cellStyle name="Form Title 3 3 2 3" xfId="26030"/>
    <cellStyle name="Form Title 3 3 3" xfId="13977"/>
    <cellStyle name="Form Title 3 3 3 2" xfId="34045"/>
    <cellStyle name="Form Title 3 3 4" xfId="24108"/>
    <cellStyle name="Form Title 3 3 4 2" xfId="43947"/>
    <cellStyle name="Form Title 3 4" xfId="4721"/>
    <cellStyle name="Form Title 3 4 2" xfId="15375"/>
    <cellStyle name="Form Title 3 4 2 2" xfId="35443"/>
    <cellStyle name="Form Title 3 4 3" xfId="26031"/>
    <cellStyle name="Form Title 3 5" xfId="13970"/>
    <cellStyle name="Form Title 3 5 2" xfId="34038"/>
    <cellStyle name="Form Title 3 6" xfId="24481"/>
    <cellStyle name="Form Title 3 6 2" xfId="43957"/>
    <cellStyle name="Form Title 3_Look Back" xfId="4722"/>
    <cellStyle name="Form Title 4" xfId="4723"/>
    <cellStyle name="Form Title 4 2" xfId="4724"/>
    <cellStyle name="Form Title 4 2 2" xfId="4725"/>
    <cellStyle name="Form Title 4 2 2 2" xfId="15384"/>
    <cellStyle name="Form Title 4 2 2 2 2" xfId="35452"/>
    <cellStyle name="Form Title 4 2 2 3" xfId="26032"/>
    <cellStyle name="Form Title 4 2 3" xfId="13981"/>
    <cellStyle name="Form Title 4 2 3 2" xfId="34049"/>
    <cellStyle name="Form Title 4 2 4" xfId="24475"/>
    <cellStyle name="Form Title 4 2 4 2" xfId="43951"/>
    <cellStyle name="Form Title 4 3" xfId="4726"/>
    <cellStyle name="Form Title 4 3 2" xfId="15379"/>
    <cellStyle name="Form Title 4 3 2 2" xfId="35447"/>
    <cellStyle name="Form Title 4 3 3" xfId="26033"/>
    <cellStyle name="Form Title 4 4" xfId="13974"/>
    <cellStyle name="Form Title 4 4 2" xfId="34042"/>
    <cellStyle name="Form Title 4 5" xfId="24478"/>
    <cellStyle name="Form Title 4 5 2" xfId="43954"/>
    <cellStyle name="Form Title 5" xfId="4727"/>
    <cellStyle name="Form Title 5 2" xfId="4728"/>
    <cellStyle name="Form Title 5 2 2" xfId="4729"/>
    <cellStyle name="Form Title 5 2 2 2" xfId="14240"/>
    <cellStyle name="Form Title 5 2 2 2 2" xfId="34308"/>
    <cellStyle name="Form Title 5 2 2 3" xfId="26034"/>
    <cellStyle name="Form Title 5 2 3" xfId="13978"/>
    <cellStyle name="Form Title 5 2 3 2" xfId="34046"/>
    <cellStyle name="Form Title 5 2 4" xfId="24477"/>
    <cellStyle name="Form Title 5 2 4 2" xfId="43953"/>
    <cellStyle name="Form Title 5 3" xfId="4730"/>
    <cellStyle name="Form Title 5 3 2" xfId="15376"/>
    <cellStyle name="Form Title 5 3 2 2" xfId="35444"/>
    <cellStyle name="Form Title 5 3 3" xfId="26035"/>
    <cellStyle name="Form Title 5 4" xfId="13971"/>
    <cellStyle name="Form Title 5 4 2" xfId="34039"/>
    <cellStyle name="Form Title 5 5" xfId="24480"/>
    <cellStyle name="Form Title 5 5 2" xfId="43956"/>
    <cellStyle name="Form Title 6" xfId="4731"/>
    <cellStyle name="Form Title 6 2" xfId="4732"/>
    <cellStyle name="Form Title 6 2 2" xfId="15380"/>
    <cellStyle name="Form Title 6 2 2 2" xfId="35448"/>
    <cellStyle name="Form Title 6 2 3" xfId="26036"/>
    <cellStyle name="Form Title 6 3" xfId="13975"/>
    <cellStyle name="Form Title 6 3 2" xfId="34043"/>
    <cellStyle name="Form Title 6 4" xfId="24179"/>
    <cellStyle name="Form Title 6 4 2" xfId="43948"/>
    <cellStyle name="Form Title 7" xfId="4733"/>
    <cellStyle name="Form Title 7 2" xfId="14294"/>
    <cellStyle name="Form Title 7 2 2" xfId="34362"/>
    <cellStyle name="Form Title 7 3" xfId="26037"/>
    <cellStyle name="Form Title 8" xfId="13848"/>
    <cellStyle name="Form Title 8 2" xfId="33916"/>
    <cellStyle name="Form Title 9" xfId="23948"/>
    <cellStyle name="Form Title 9 2" xfId="43946"/>
    <cellStyle name="Form Title_Look Back" xfId="4734"/>
    <cellStyle name="Formula$" xfId="52"/>
    <cellStyle name="Formula$Bold" xfId="4735"/>
    <cellStyle name="Formula%" xfId="4736"/>
    <cellStyle name="Freetype" xfId="53"/>
    <cellStyle name="GLJAdjustment" xfId="4737"/>
    <cellStyle name="GLJAdjustment 2" xfId="4738"/>
    <cellStyle name="GLJAdjustment 2 2" xfId="4739"/>
    <cellStyle name="GLJAdjustment 2 3" xfId="4740"/>
    <cellStyle name="GLJAdjustment 3" xfId="4741"/>
    <cellStyle name="GLJAdjustment 4" xfId="4742"/>
    <cellStyle name="GLJAdjustment_BUDGET SHAPE" xfId="4743"/>
    <cellStyle name="Good" xfId="1" builtinId="26" customBuiltin="1"/>
    <cellStyle name="Good 2" xfId="4744"/>
    <cellStyle name="Good 2 2" xfId="4745"/>
    <cellStyle name="Good 2 3" xfId="4746"/>
    <cellStyle name="Good 2 4" xfId="4747"/>
    <cellStyle name="Good 2 5" xfId="4748"/>
    <cellStyle name="Good 3" xfId="4749"/>
    <cellStyle name="Good 3 2" xfId="4750"/>
    <cellStyle name="Good 3 3" xfId="4751"/>
    <cellStyle name="Good 4" xfId="4752"/>
    <cellStyle name="Good 4 2" xfId="4753"/>
    <cellStyle name="Good 5" xfId="4754"/>
    <cellStyle name="Heading 1" xfId="6" builtinId="16" customBuiltin="1"/>
    <cellStyle name="Heading 1 2" xfId="4755"/>
    <cellStyle name="Heading 1 2 2" xfId="4756"/>
    <cellStyle name="Heading 1 2 3" xfId="4757"/>
    <cellStyle name="Heading 1 2 4" xfId="4758"/>
    <cellStyle name="Heading 1 2 5" xfId="4759"/>
    <cellStyle name="Heading 1 2_IN" xfId="4760"/>
    <cellStyle name="Heading 1 3" xfId="4761"/>
    <cellStyle name="Heading 1 3 2" xfId="4762"/>
    <cellStyle name="Heading 1 3 3" xfId="4763"/>
    <cellStyle name="Heading 1 4" xfId="4764"/>
    <cellStyle name="Heading 1 4 2" xfId="4765"/>
    <cellStyle name="Heading 1 5" xfId="4766"/>
    <cellStyle name="Heading 2" xfId="7" builtinId="17" customBuiltin="1"/>
    <cellStyle name="Heading 2 2" xfId="4767"/>
    <cellStyle name="Heading 2 2 2" xfId="4768"/>
    <cellStyle name="Heading 2 2 3" xfId="4769"/>
    <cellStyle name="Heading 2 2 4" xfId="4770"/>
    <cellStyle name="Heading 2 2 5" xfId="4771"/>
    <cellStyle name="Heading 2 2_ANC_Create or Delete" xfId="4772"/>
    <cellStyle name="Heading 2 3" xfId="4773"/>
    <cellStyle name="Heading 2 3 2" xfId="4774"/>
    <cellStyle name="Heading 2 3 3" xfId="4775"/>
    <cellStyle name="Heading 2 4" xfId="4776"/>
    <cellStyle name="Heading 2 4 2" xfId="4777"/>
    <cellStyle name="Heading 2 5" xfId="4778"/>
    <cellStyle name="Heading 3" xfId="8" builtinId="18" customBuiltin="1"/>
    <cellStyle name="Heading 3 2" xfId="4779"/>
    <cellStyle name="Heading 3 2 2" xfId="4780"/>
    <cellStyle name="Heading 3 2 3" xfId="4781"/>
    <cellStyle name="Heading 3 2 4" xfId="4782"/>
    <cellStyle name="Heading 3 2 5" xfId="4783"/>
    <cellStyle name="Heading 3 2_IN" xfId="4784"/>
    <cellStyle name="Heading 3 3" xfId="4785"/>
    <cellStyle name="Heading 3 3 2" xfId="4786"/>
    <cellStyle name="Heading 3 3 3" xfId="4787"/>
    <cellStyle name="Heading 3 4" xfId="4788"/>
    <cellStyle name="Heading 3 4 2" xfId="4789"/>
    <cellStyle name="Heading 3 5" xfId="4790"/>
    <cellStyle name="Heading 4" xfId="9" builtinId="19" customBuiltin="1"/>
    <cellStyle name="Heading 4 2" xfId="4791"/>
    <cellStyle name="Heading 4 2 2" xfId="4792"/>
    <cellStyle name="Heading 4 2 3" xfId="4793"/>
    <cellStyle name="Heading 4 2 4" xfId="4794"/>
    <cellStyle name="Heading 4 2 5" xfId="4795"/>
    <cellStyle name="Heading 4 2_IN" xfId="4796"/>
    <cellStyle name="Heading 4 3" xfId="4797"/>
    <cellStyle name="Heading 4 3 2" xfId="4798"/>
    <cellStyle name="Heading 4 3 3" xfId="4799"/>
    <cellStyle name="Heading 4 4" xfId="4800"/>
    <cellStyle name="Heading 4 4 2" xfId="4801"/>
    <cellStyle name="Heading 4 5" xfId="4802"/>
    <cellStyle name="Hyperlink" xfId="2" builtinId="8"/>
    <cellStyle name="Hyperlink 2" xfId="45"/>
    <cellStyle name="Hyperlink 2 2" xfId="4803"/>
    <cellStyle name="Hyperlink 3" xfId="47"/>
    <cellStyle name="Hyperlink 3 2" xfId="4804"/>
    <cellStyle name="Hyperlink 4" xfId="4805"/>
    <cellStyle name="Hyperlink 4 2" xfId="43975"/>
    <cellStyle name="Input" xfId="12" builtinId="20" customBuiltin="1"/>
    <cellStyle name="Input 2" xfId="4806"/>
    <cellStyle name="Input 2 10" xfId="4807"/>
    <cellStyle name="Input 2 10 2" xfId="4808"/>
    <cellStyle name="Input 2 10 2 2" xfId="19696"/>
    <cellStyle name="Input 2 10 2 2 2" xfId="39764"/>
    <cellStyle name="Input 2 10 2 3" xfId="26040"/>
    <cellStyle name="Input 2 10 3" xfId="14342"/>
    <cellStyle name="Input 2 10 3 2" xfId="34410"/>
    <cellStyle name="Input 2 10 4" xfId="26039"/>
    <cellStyle name="Input 2 11" xfId="4809"/>
    <cellStyle name="Input 2 11 2" xfId="4810"/>
    <cellStyle name="Input 2 11 2 2" xfId="19697"/>
    <cellStyle name="Input 2 11 2 2 2" xfId="39765"/>
    <cellStyle name="Input 2 11 2 3" xfId="26042"/>
    <cellStyle name="Input 2 11 3" xfId="14179"/>
    <cellStyle name="Input 2 11 3 2" xfId="34247"/>
    <cellStyle name="Input 2 11 4" xfId="26041"/>
    <cellStyle name="Input 2 12" xfId="4811"/>
    <cellStyle name="Input 2 12 2" xfId="4812"/>
    <cellStyle name="Input 2 12 2 2" xfId="19698"/>
    <cellStyle name="Input 2 12 2 2 2" xfId="39766"/>
    <cellStyle name="Input 2 12 2 3" xfId="26044"/>
    <cellStyle name="Input 2 12 3" xfId="14011"/>
    <cellStyle name="Input 2 12 3 2" xfId="34079"/>
    <cellStyle name="Input 2 12 4" xfId="26043"/>
    <cellStyle name="Input 2 13" xfId="4813"/>
    <cellStyle name="Input 2 13 2" xfId="4814"/>
    <cellStyle name="Input 2 13 2 2" xfId="19699"/>
    <cellStyle name="Input 2 13 2 2 2" xfId="39767"/>
    <cellStyle name="Input 2 13 2 3" xfId="26046"/>
    <cellStyle name="Input 2 13 3" xfId="15272"/>
    <cellStyle name="Input 2 13 3 2" xfId="35340"/>
    <cellStyle name="Input 2 13 4" xfId="26045"/>
    <cellStyle name="Input 2 14" xfId="4815"/>
    <cellStyle name="Input 2 14 2" xfId="4816"/>
    <cellStyle name="Input 2 14 2 2" xfId="19700"/>
    <cellStyle name="Input 2 14 2 2 2" xfId="39768"/>
    <cellStyle name="Input 2 14 2 3" xfId="26048"/>
    <cellStyle name="Input 2 14 3" xfId="16369"/>
    <cellStyle name="Input 2 14 3 2" xfId="36437"/>
    <cellStyle name="Input 2 14 4" xfId="26047"/>
    <cellStyle name="Input 2 15" xfId="4817"/>
    <cellStyle name="Input 2 15 2" xfId="4818"/>
    <cellStyle name="Input 2 15 2 2" xfId="19701"/>
    <cellStyle name="Input 2 15 2 2 2" xfId="39769"/>
    <cellStyle name="Input 2 15 2 3" xfId="26050"/>
    <cellStyle name="Input 2 15 3" xfId="15415"/>
    <cellStyle name="Input 2 15 3 2" xfId="35483"/>
    <cellStyle name="Input 2 15 4" xfId="26049"/>
    <cellStyle name="Input 2 16" xfId="4819"/>
    <cellStyle name="Input 2 16 2" xfId="4820"/>
    <cellStyle name="Input 2 16 2 2" xfId="19702"/>
    <cellStyle name="Input 2 16 2 2 2" xfId="39770"/>
    <cellStyle name="Input 2 16 2 3" xfId="26052"/>
    <cellStyle name="Input 2 16 3" xfId="15517"/>
    <cellStyle name="Input 2 16 3 2" xfId="35585"/>
    <cellStyle name="Input 2 16 4" xfId="26051"/>
    <cellStyle name="Input 2 17" xfId="4821"/>
    <cellStyle name="Input 2 17 2" xfId="4822"/>
    <cellStyle name="Input 2 17 2 2" xfId="19703"/>
    <cellStyle name="Input 2 17 2 2 2" xfId="39771"/>
    <cellStyle name="Input 2 17 2 3" xfId="26054"/>
    <cellStyle name="Input 2 17 3" xfId="16025"/>
    <cellStyle name="Input 2 17 3 2" xfId="36093"/>
    <cellStyle name="Input 2 17 4" xfId="26053"/>
    <cellStyle name="Input 2 18" xfId="4823"/>
    <cellStyle name="Input 2 18 2" xfId="4824"/>
    <cellStyle name="Input 2 18 2 2" xfId="19704"/>
    <cellStyle name="Input 2 18 2 2 2" xfId="39772"/>
    <cellStyle name="Input 2 18 2 3" xfId="26056"/>
    <cellStyle name="Input 2 18 3" xfId="16096"/>
    <cellStyle name="Input 2 18 3 2" xfId="36164"/>
    <cellStyle name="Input 2 18 4" xfId="26055"/>
    <cellStyle name="Input 2 19" xfId="4825"/>
    <cellStyle name="Input 2 19 2" xfId="4826"/>
    <cellStyle name="Input 2 19 2 2" xfId="19705"/>
    <cellStyle name="Input 2 19 2 2 2" xfId="39773"/>
    <cellStyle name="Input 2 19 2 3" xfId="26058"/>
    <cellStyle name="Input 2 19 3" xfId="15515"/>
    <cellStyle name="Input 2 19 3 2" xfId="35583"/>
    <cellStyle name="Input 2 19 4" xfId="26057"/>
    <cellStyle name="Input 2 2" xfId="4827"/>
    <cellStyle name="Input 2 2 10" xfId="4828"/>
    <cellStyle name="Input 2 2 10 2" xfId="4829"/>
    <cellStyle name="Input 2 2 10 2 2" xfId="19707"/>
    <cellStyle name="Input 2 2 10 2 2 2" xfId="39775"/>
    <cellStyle name="Input 2 2 10 2 3" xfId="26061"/>
    <cellStyle name="Input 2 2 10 3" xfId="16370"/>
    <cellStyle name="Input 2 2 10 3 2" xfId="36438"/>
    <cellStyle name="Input 2 2 10 4" xfId="26060"/>
    <cellStyle name="Input 2 2 11" xfId="4830"/>
    <cellStyle name="Input 2 2 11 2" xfId="4831"/>
    <cellStyle name="Input 2 2 11 2 2" xfId="19708"/>
    <cellStyle name="Input 2 2 11 2 2 2" xfId="39776"/>
    <cellStyle name="Input 2 2 11 2 3" xfId="26063"/>
    <cellStyle name="Input 2 2 11 3" xfId="15414"/>
    <cellStyle name="Input 2 2 11 3 2" xfId="35482"/>
    <cellStyle name="Input 2 2 11 4" xfId="26062"/>
    <cellStyle name="Input 2 2 12" xfId="4832"/>
    <cellStyle name="Input 2 2 12 2" xfId="4833"/>
    <cellStyle name="Input 2 2 12 2 2" xfId="19709"/>
    <cellStyle name="Input 2 2 12 2 2 2" xfId="39777"/>
    <cellStyle name="Input 2 2 12 2 3" xfId="26065"/>
    <cellStyle name="Input 2 2 12 3" xfId="16434"/>
    <cellStyle name="Input 2 2 12 3 2" xfId="36502"/>
    <cellStyle name="Input 2 2 12 4" xfId="26064"/>
    <cellStyle name="Input 2 2 13" xfId="4834"/>
    <cellStyle name="Input 2 2 13 2" xfId="4835"/>
    <cellStyle name="Input 2 2 13 2 2" xfId="19710"/>
    <cellStyle name="Input 2 2 13 2 2 2" xfId="39778"/>
    <cellStyle name="Input 2 2 13 2 3" xfId="26067"/>
    <cellStyle name="Input 2 2 13 3" xfId="16023"/>
    <cellStyle name="Input 2 2 13 3 2" xfId="36091"/>
    <cellStyle name="Input 2 2 13 4" xfId="26066"/>
    <cellStyle name="Input 2 2 14" xfId="4836"/>
    <cellStyle name="Input 2 2 14 2" xfId="4837"/>
    <cellStyle name="Input 2 2 14 2 2" xfId="19711"/>
    <cellStyle name="Input 2 2 14 2 2 2" xfId="39779"/>
    <cellStyle name="Input 2 2 14 2 3" xfId="26069"/>
    <cellStyle name="Input 2 2 14 3" xfId="15686"/>
    <cellStyle name="Input 2 2 14 3 2" xfId="35754"/>
    <cellStyle name="Input 2 2 14 4" xfId="26068"/>
    <cellStyle name="Input 2 2 15" xfId="4838"/>
    <cellStyle name="Input 2 2 15 2" xfId="4839"/>
    <cellStyle name="Input 2 2 15 2 2" xfId="19712"/>
    <cellStyle name="Input 2 2 15 2 2 2" xfId="39780"/>
    <cellStyle name="Input 2 2 15 2 3" xfId="26071"/>
    <cellStyle name="Input 2 2 15 3" xfId="15476"/>
    <cellStyle name="Input 2 2 15 3 2" xfId="35544"/>
    <cellStyle name="Input 2 2 15 4" xfId="26070"/>
    <cellStyle name="Input 2 2 16" xfId="4840"/>
    <cellStyle name="Input 2 2 16 2" xfId="4841"/>
    <cellStyle name="Input 2 2 16 2 2" xfId="19713"/>
    <cellStyle name="Input 2 2 16 2 2 2" xfId="39781"/>
    <cellStyle name="Input 2 2 16 2 3" xfId="26073"/>
    <cellStyle name="Input 2 2 16 3" xfId="16111"/>
    <cellStyle name="Input 2 2 16 3 2" xfId="36179"/>
    <cellStyle name="Input 2 2 16 4" xfId="26072"/>
    <cellStyle name="Input 2 2 17" xfId="4842"/>
    <cellStyle name="Input 2 2 17 2" xfId="4843"/>
    <cellStyle name="Input 2 2 17 2 2" xfId="19714"/>
    <cellStyle name="Input 2 2 17 2 2 2" xfId="39782"/>
    <cellStyle name="Input 2 2 17 2 3" xfId="26075"/>
    <cellStyle name="Input 2 2 17 3" xfId="17675"/>
    <cellStyle name="Input 2 2 17 3 2" xfId="37743"/>
    <cellStyle name="Input 2 2 17 4" xfId="26074"/>
    <cellStyle name="Input 2 2 18" xfId="4844"/>
    <cellStyle name="Input 2 2 18 2" xfId="4845"/>
    <cellStyle name="Input 2 2 18 2 2" xfId="19715"/>
    <cellStyle name="Input 2 2 18 2 2 2" xfId="39783"/>
    <cellStyle name="Input 2 2 18 2 3" xfId="26077"/>
    <cellStyle name="Input 2 2 18 3" xfId="17484"/>
    <cellStyle name="Input 2 2 18 3 2" xfId="37552"/>
    <cellStyle name="Input 2 2 18 4" xfId="26076"/>
    <cellStyle name="Input 2 2 19" xfId="4846"/>
    <cellStyle name="Input 2 2 19 2" xfId="4847"/>
    <cellStyle name="Input 2 2 19 2 2" xfId="19716"/>
    <cellStyle name="Input 2 2 19 2 2 2" xfId="39784"/>
    <cellStyle name="Input 2 2 19 2 3" xfId="26079"/>
    <cellStyle name="Input 2 2 19 3" xfId="16169"/>
    <cellStyle name="Input 2 2 19 3 2" xfId="36237"/>
    <cellStyle name="Input 2 2 19 4" xfId="26078"/>
    <cellStyle name="Input 2 2 2" xfId="4848"/>
    <cellStyle name="Input 2 2 2 10" xfId="4849"/>
    <cellStyle name="Input 2 2 2 10 2" xfId="4850"/>
    <cellStyle name="Input 2 2 2 10 2 2" xfId="19718"/>
    <cellStyle name="Input 2 2 2 10 2 2 2" xfId="39786"/>
    <cellStyle name="Input 2 2 2 10 2 3" xfId="26082"/>
    <cellStyle name="Input 2 2 2 10 3" xfId="16926"/>
    <cellStyle name="Input 2 2 2 10 3 2" xfId="36994"/>
    <cellStyle name="Input 2 2 2 10 4" xfId="26081"/>
    <cellStyle name="Input 2 2 2 11" xfId="4851"/>
    <cellStyle name="Input 2 2 2 11 2" xfId="4852"/>
    <cellStyle name="Input 2 2 2 11 2 2" xfId="19719"/>
    <cellStyle name="Input 2 2 2 11 2 2 2" xfId="39787"/>
    <cellStyle name="Input 2 2 2 11 2 3" xfId="26084"/>
    <cellStyle name="Input 2 2 2 11 3" xfId="17061"/>
    <cellStyle name="Input 2 2 2 11 3 2" xfId="37129"/>
    <cellStyle name="Input 2 2 2 11 4" xfId="26083"/>
    <cellStyle name="Input 2 2 2 12" xfId="4853"/>
    <cellStyle name="Input 2 2 2 12 2" xfId="4854"/>
    <cellStyle name="Input 2 2 2 12 2 2" xfId="19720"/>
    <cellStyle name="Input 2 2 2 12 2 2 2" xfId="39788"/>
    <cellStyle name="Input 2 2 2 12 2 3" xfId="26086"/>
    <cellStyle name="Input 2 2 2 12 3" xfId="17233"/>
    <cellStyle name="Input 2 2 2 12 3 2" xfId="37301"/>
    <cellStyle name="Input 2 2 2 12 4" xfId="26085"/>
    <cellStyle name="Input 2 2 2 13" xfId="4855"/>
    <cellStyle name="Input 2 2 2 13 2" xfId="4856"/>
    <cellStyle name="Input 2 2 2 13 2 2" xfId="19721"/>
    <cellStyle name="Input 2 2 2 13 2 2 2" xfId="39789"/>
    <cellStyle name="Input 2 2 2 13 2 3" xfId="26088"/>
    <cellStyle name="Input 2 2 2 13 3" xfId="17403"/>
    <cellStyle name="Input 2 2 2 13 3 2" xfId="37471"/>
    <cellStyle name="Input 2 2 2 13 4" xfId="26087"/>
    <cellStyle name="Input 2 2 2 14" xfId="4857"/>
    <cellStyle name="Input 2 2 2 14 2" xfId="4858"/>
    <cellStyle name="Input 2 2 2 14 2 2" xfId="19722"/>
    <cellStyle name="Input 2 2 2 14 2 2 2" xfId="39790"/>
    <cellStyle name="Input 2 2 2 14 2 3" xfId="26090"/>
    <cellStyle name="Input 2 2 2 14 3" xfId="17531"/>
    <cellStyle name="Input 2 2 2 14 3 2" xfId="37599"/>
    <cellStyle name="Input 2 2 2 14 4" xfId="26089"/>
    <cellStyle name="Input 2 2 2 15" xfId="4859"/>
    <cellStyle name="Input 2 2 2 15 2" xfId="4860"/>
    <cellStyle name="Input 2 2 2 15 2 2" xfId="19723"/>
    <cellStyle name="Input 2 2 2 15 2 2 2" xfId="39791"/>
    <cellStyle name="Input 2 2 2 15 2 3" xfId="26092"/>
    <cellStyle name="Input 2 2 2 15 3" xfId="15822"/>
    <cellStyle name="Input 2 2 2 15 3 2" xfId="35890"/>
    <cellStyle name="Input 2 2 2 15 4" xfId="26091"/>
    <cellStyle name="Input 2 2 2 16" xfId="4861"/>
    <cellStyle name="Input 2 2 2 16 2" xfId="4862"/>
    <cellStyle name="Input 2 2 2 16 2 2" xfId="19724"/>
    <cellStyle name="Input 2 2 2 16 2 2 2" xfId="39792"/>
    <cellStyle name="Input 2 2 2 16 2 3" xfId="26094"/>
    <cellStyle name="Input 2 2 2 16 3" xfId="17782"/>
    <cellStyle name="Input 2 2 2 16 3 2" xfId="37850"/>
    <cellStyle name="Input 2 2 2 16 4" xfId="26093"/>
    <cellStyle name="Input 2 2 2 17" xfId="4863"/>
    <cellStyle name="Input 2 2 2 17 2" xfId="4864"/>
    <cellStyle name="Input 2 2 2 17 2 2" xfId="19725"/>
    <cellStyle name="Input 2 2 2 17 2 2 2" xfId="39793"/>
    <cellStyle name="Input 2 2 2 17 2 3" xfId="26096"/>
    <cellStyle name="Input 2 2 2 17 3" xfId="17911"/>
    <cellStyle name="Input 2 2 2 17 3 2" xfId="37979"/>
    <cellStyle name="Input 2 2 2 17 4" xfId="26095"/>
    <cellStyle name="Input 2 2 2 18" xfId="4865"/>
    <cellStyle name="Input 2 2 2 18 2" xfId="4866"/>
    <cellStyle name="Input 2 2 2 18 2 2" xfId="19726"/>
    <cellStyle name="Input 2 2 2 18 2 2 2" xfId="39794"/>
    <cellStyle name="Input 2 2 2 18 2 3" xfId="26098"/>
    <cellStyle name="Input 2 2 2 18 3" xfId="18061"/>
    <cellStyle name="Input 2 2 2 18 3 2" xfId="38129"/>
    <cellStyle name="Input 2 2 2 18 4" xfId="26097"/>
    <cellStyle name="Input 2 2 2 19" xfId="4867"/>
    <cellStyle name="Input 2 2 2 19 2" xfId="4868"/>
    <cellStyle name="Input 2 2 2 19 2 2" xfId="19727"/>
    <cellStyle name="Input 2 2 2 19 2 2 2" xfId="39795"/>
    <cellStyle name="Input 2 2 2 19 2 3" xfId="26100"/>
    <cellStyle name="Input 2 2 2 19 3" xfId="18178"/>
    <cellStyle name="Input 2 2 2 19 3 2" xfId="38246"/>
    <cellStyle name="Input 2 2 2 19 4" xfId="26099"/>
    <cellStyle name="Input 2 2 2 2" xfId="4869"/>
    <cellStyle name="Input 2 2 2 2 2" xfId="4870"/>
    <cellStyle name="Input 2 2 2 2 2 2" xfId="19728"/>
    <cellStyle name="Input 2 2 2 2 2 2 2" xfId="39796"/>
    <cellStyle name="Input 2 2 2 2 2 3" xfId="26102"/>
    <cellStyle name="Input 2 2 2 2 3" xfId="14647"/>
    <cellStyle name="Input 2 2 2 2 3 2" xfId="34715"/>
    <cellStyle name="Input 2 2 2 2 4" xfId="26101"/>
    <cellStyle name="Input 2 2 2 20" xfId="4871"/>
    <cellStyle name="Input 2 2 2 20 2" xfId="4872"/>
    <cellStyle name="Input 2 2 2 20 2 2" xfId="19729"/>
    <cellStyle name="Input 2 2 2 20 2 2 2" xfId="39797"/>
    <cellStyle name="Input 2 2 2 20 2 3" xfId="26104"/>
    <cellStyle name="Input 2 2 2 20 3" xfId="16263"/>
    <cellStyle name="Input 2 2 2 20 3 2" xfId="36331"/>
    <cellStyle name="Input 2 2 2 20 4" xfId="26103"/>
    <cellStyle name="Input 2 2 2 21" xfId="4873"/>
    <cellStyle name="Input 2 2 2 21 2" xfId="4874"/>
    <cellStyle name="Input 2 2 2 21 2 2" xfId="19730"/>
    <cellStyle name="Input 2 2 2 21 2 2 2" xfId="39798"/>
    <cellStyle name="Input 2 2 2 21 2 3" xfId="26106"/>
    <cellStyle name="Input 2 2 2 21 3" xfId="18373"/>
    <cellStyle name="Input 2 2 2 21 3 2" xfId="38441"/>
    <cellStyle name="Input 2 2 2 21 4" xfId="26105"/>
    <cellStyle name="Input 2 2 2 22" xfId="4875"/>
    <cellStyle name="Input 2 2 2 22 2" xfId="4876"/>
    <cellStyle name="Input 2 2 2 22 2 2" xfId="19731"/>
    <cellStyle name="Input 2 2 2 22 2 2 2" xfId="39799"/>
    <cellStyle name="Input 2 2 2 22 2 3" xfId="26108"/>
    <cellStyle name="Input 2 2 2 22 3" xfId="18517"/>
    <cellStyle name="Input 2 2 2 22 3 2" xfId="38585"/>
    <cellStyle name="Input 2 2 2 22 4" xfId="26107"/>
    <cellStyle name="Input 2 2 2 23" xfId="4877"/>
    <cellStyle name="Input 2 2 2 23 2" xfId="4878"/>
    <cellStyle name="Input 2 2 2 23 2 2" xfId="19732"/>
    <cellStyle name="Input 2 2 2 23 2 2 2" xfId="39800"/>
    <cellStyle name="Input 2 2 2 23 2 3" xfId="26110"/>
    <cellStyle name="Input 2 2 2 23 3" xfId="18628"/>
    <cellStyle name="Input 2 2 2 23 3 2" xfId="38696"/>
    <cellStyle name="Input 2 2 2 23 4" xfId="26109"/>
    <cellStyle name="Input 2 2 2 24" xfId="4879"/>
    <cellStyle name="Input 2 2 2 24 2" xfId="4880"/>
    <cellStyle name="Input 2 2 2 24 2 2" xfId="19733"/>
    <cellStyle name="Input 2 2 2 24 2 2 2" xfId="39801"/>
    <cellStyle name="Input 2 2 2 24 2 3" xfId="26112"/>
    <cellStyle name="Input 2 2 2 24 3" xfId="18728"/>
    <cellStyle name="Input 2 2 2 24 3 2" xfId="38796"/>
    <cellStyle name="Input 2 2 2 24 4" xfId="26111"/>
    <cellStyle name="Input 2 2 2 25" xfId="4881"/>
    <cellStyle name="Input 2 2 2 25 2" xfId="4882"/>
    <cellStyle name="Input 2 2 2 25 2 2" xfId="19734"/>
    <cellStyle name="Input 2 2 2 25 2 2 2" xfId="39802"/>
    <cellStyle name="Input 2 2 2 25 2 3" xfId="26114"/>
    <cellStyle name="Input 2 2 2 25 3" xfId="18828"/>
    <cellStyle name="Input 2 2 2 25 3 2" xfId="38896"/>
    <cellStyle name="Input 2 2 2 25 4" xfId="26113"/>
    <cellStyle name="Input 2 2 2 26" xfId="4883"/>
    <cellStyle name="Input 2 2 2 26 2" xfId="19717"/>
    <cellStyle name="Input 2 2 2 26 2 2" xfId="39785"/>
    <cellStyle name="Input 2 2 2 26 3" xfId="26115"/>
    <cellStyle name="Input 2 2 2 27" xfId="14241"/>
    <cellStyle name="Input 2 2 2 27 2" xfId="34309"/>
    <cellStyle name="Input 2 2 2 28" xfId="26080"/>
    <cellStyle name="Input 2 2 2 3" xfId="4884"/>
    <cellStyle name="Input 2 2 2 3 2" xfId="4885"/>
    <cellStyle name="Input 2 2 2 3 2 2" xfId="19735"/>
    <cellStyle name="Input 2 2 2 3 2 2 2" xfId="39803"/>
    <cellStyle name="Input 2 2 2 3 2 3" xfId="26117"/>
    <cellStyle name="Input 2 2 2 3 3" xfId="14766"/>
    <cellStyle name="Input 2 2 2 3 3 2" xfId="34834"/>
    <cellStyle name="Input 2 2 2 3 4" xfId="26116"/>
    <cellStyle name="Input 2 2 2 4" xfId="4886"/>
    <cellStyle name="Input 2 2 2 4 2" xfId="4887"/>
    <cellStyle name="Input 2 2 2 4 2 2" xfId="19736"/>
    <cellStyle name="Input 2 2 2 4 2 2 2" xfId="39804"/>
    <cellStyle name="Input 2 2 2 4 2 3" xfId="26119"/>
    <cellStyle name="Input 2 2 2 4 3" xfId="14885"/>
    <cellStyle name="Input 2 2 2 4 3 2" xfId="34953"/>
    <cellStyle name="Input 2 2 2 4 4" xfId="26118"/>
    <cellStyle name="Input 2 2 2 5" xfId="4888"/>
    <cellStyle name="Input 2 2 2 5 2" xfId="4889"/>
    <cellStyle name="Input 2 2 2 5 2 2" xfId="19737"/>
    <cellStyle name="Input 2 2 2 5 2 2 2" xfId="39805"/>
    <cellStyle name="Input 2 2 2 5 2 3" xfId="26121"/>
    <cellStyle name="Input 2 2 2 5 3" xfId="15054"/>
    <cellStyle name="Input 2 2 2 5 3 2" xfId="35122"/>
    <cellStyle name="Input 2 2 2 5 4" xfId="26120"/>
    <cellStyle name="Input 2 2 2 6" xfId="4890"/>
    <cellStyle name="Input 2 2 2 6 2" xfId="4891"/>
    <cellStyle name="Input 2 2 2 6 2 2" xfId="19738"/>
    <cellStyle name="Input 2 2 2 6 2 2 2" xfId="39806"/>
    <cellStyle name="Input 2 2 2 6 2 3" xfId="26123"/>
    <cellStyle name="Input 2 2 2 6 3" xfId="14212"/>
    <cellStyle name="Input 2 2 2 6 3 2" xfId="34280"/>
    <cellStyle name="Input 2 2 2 6 4" xfId="26122"/>
    <cellStyle name="Input 2 2 2 7" xfId="4892"/>
    <cellStyle name="Input 2 2 2 7 2" xfId="4893"/>
    <cellStyle name="Input 2 2 2 7 2 2" xfId="19739"/>
    <cellStyle name="Input 2 2 2 7 2 2 2" xfId="39807"/>
    <cellStyle name="Input 2 2 2 7 2 3" xfId="26125"/>
    <cellStyle name="Input 2 2 2 7 3" xfId="15197"/>
    <cellStyle name="Input 2 2 2 7 3 2" xfId="35265"/>
    <cellStyle name="Input 2 2 2 7 4" xfId="26124"/>
    <cellStyle name="Input 2 2 2 8" xfId="4894"/>
    <cellStyle name="Input 2 2 2 8 2" xfId="4895"/>
    <cellStyle name="Input 2 2 2 8 2 2" xfId="19740"/>
    <cellStyle name="Input 2 2 2 8 2 2 2" xfId="39808"/>
    <cellStyle name="Input 2 2 2 8 2 3" xfId="26127"/>
    <cellStyle name="Input 2 2 2 8 3" xfId="16551"/>
    <cellStyle name="Input 2 2 2 8 3 2" xfId="36619"/>
    <cellStyle name="Input 2 2 2 8 4" xfId="26126"/>
    <cellStyle name="Input 2 2 2 9" xfId="4896"/>
    <cellStyle name="Input 2 2 2 9 2" xfId="4897"/>
    <cellStyle name="Input 2 2 2 9 2 2" xfId="19741"/>
    <cellStyle name="Input 2 2 2 9 2 2 2" xfId="39809"/>
    <cellStyle name="Input 2 2 2 9 2 3" xfId="26129"/>
    <cellStyle name="Input 2 2 2 9 3" xfId="16755"/>
    <cellStyle name="Input 2 2 2 9 3 2" xfId="36823"/>
    <cellStyle name="Input 2 2 2 9 4" xfId="26128"/>
    <cellStyle name="Input 2 2 20" xfId="4898"/>
    <cellStyle name="Input 2 2 20 2" xfId="4899"/>
    <cellStyle name="Input 2 2 20 2 2" xfId="19742"/>
    <cellStyle name="Input 2 2 20 2 2 2" xfId="39810"/>
    <cellStyle name="Input 2 2 20 2 3" xfId="26131"/>
    <cellStyle name="Input 2 2 20 3" xfId="15925"/>
    <cellStyle name="Input 2 2 20 3 2" xfId="35993"/>
    <cellStyle name="Input 2 2 20 4" xfId="26130"/>
    <cellStyle name="Input 2 2 21" xfId="4900"/>
    <cellStyle name="Input 2 2 21 2" xfId="4901"/>
    <cellStyle name="Input 2 2 21 2 2" xfId="19743"/>
    <cellStyle name="Input 2 2 21 2 2 2" xfId="39811"/>
    <cellStyle name="Input 2 2 21 2 3" xfId="26133"/>
    <cellStyle name="Input 2 2 21 3" xfId="16403"/>
    <cellStyle name="Input 2 2 21 3 2" xfId="36471"/>
    <cellStyle name="Input 2 2 21 4" xfId="26132"/>
    <cellStyle name="Input 2 2 22" xfId="4902"/>
    <cellStyle name="Input 2 2 22 2" xfId="4903"/>
    <cellStyle name="Input 2 2 22 2 2" xfId="19744"/>
    <cellStyle name="Input 2 2 22 2 2 2" xfId="39812"/>
    <cellStyle name="Input 2 2 22 2 3" xfId="26135"/>
    <cellStyle name="Input 2 2 22 3" xfId="15877"/>
    <cellStyle name="Input 2 2 22 3 2" xfId="35945"/>
    <cellStyle name="Input 2 2 22 4" xfId="26134"/>
    <cellStyle name="Input 2 2 23" xfId="4904"/>
    <cellStyle name="Input 2 2 23 2" xfId="4905"/>
    <cellStyle name="Input 2 2 23 2 2" xfId="19745"/>
    <cellStyle name="Input 2 2 23 2 2 2" xfId="39813"/>
    <cellStyle name="Input 2 2 23 2 3" xfId="26137"/>
    <cellStyle name="Input 2 2 23 3" xfId="15772"/>
    <cellStyle name="Input 2 2 23 3 2" xfId="35840"/>
    <cellStyle name="Input 2 2 23 4" xfId="26136"/>
    <cellStyle name="Input 2 2 24" xfId="4906"/>
    <cellStyle name="Input 2 2 24 2" xfId="4907"/>
    <cellStyle name="Input 2 2 24 2 2" xfId="19746"/>
    <cellStyle name="Input 2 2 24 2 2 2" xfId="39814"/>
    <cellStyle name="Input 2 2 24 2 3" xfId="26139"/>
    <cellStyle name="Input 2 2 24 3" xfId="17755"/>
    <cellStyle name="Input 2 2 24 3 2" xfId="37823"/>
    <cellStyle name="Input 2 2 24 4" xfId="26138"/>
    <cellStyle name="Input 2 2 25" xfId="4908"/>
    <cellStyle name="Input 2 2 25 2" xfId="4909"/>
    <cellStyle name="Input 2 2 25 2 2" xfId="19747"/>
    <cellStyle name="Input 2 2 25 2 2 2" xfId="39815"/>
    <cellStyle name="Input 2 2 25 2 3" xfId="26141"/>
    <cellStyle name="Input 2 2 25 3" xfId="15672"/>
    <cellStyle name="Input 2 2 25 3 2" xfId="35740"/>
    <cellStyle name="Input 2 2 25 4" xfId="26140"/>
    <cellStyle name="Input 2 2 26" xfId="4910"/>
    <cellStyle name="Input 2 2 26 2" xfId="4911"/>
    <cellStyle name="Input 2 2 26 2 2" xfId="19748"/>
    <cellStyle name="Input 2 2 26 2 2 2" xfId="39816"/>
    <cellStyle name="Input 2 2 26 2 3" xfId="26143"/>
    <cellStyle name="Input 2 2 26 3" xfId="17995"/>
    <cellStyle name="Input 2 2 26 3 2" xfId="38063"/>
    <cellStyle name="Input 2 2 26 4" xfId="26142"/>
    <cellStyle name="Input 2 2 27" xfId="4912"/>
    <cellStyle name="Input 2 2 27 2" xfId="4913"/>
    <cellStyle name="Input 2 2 27 2 2" xfId="19749"/>
    <cellStyle name="Input 2 2 27 2 2 2" xfId="39817"/>
    <cellStyle name="Input 2 2 27 2 3" xfId="26145"/>
    <cellStyle name="Input 2 2 27 3" xfId="17001"/>
    <cellStyle name="Input 2 2 27 3 2" xfId="37069"/>
    <cellStyle name="Input 2 2 27 4" xfId="26144"/>
    <cellStyle name="Input 2 2 28" xfId="4914"/>
    <cellStyle name="Input 2 2 28 2" xfId="19706"/>
    <cellStyle name="Input 2 2 28 2 2" xfId="39774"/>
    <cellStyle name="Input 2 2 28 3" xfId="26146"/>
    <cellStyle name="Input 2 2 29" xfId="13867"/>
    <cellStyle name="Input 2 2 29 2" xfId="33935"/>
    <cellStyle name="Input 2 2 3" xfId="4915"/>
    <cellStyle name="Input 2 2 3 2" xfId="4916"/>
    <cellStyle name="Input 2 2 3 2 2" xfId="19750"/>
    <cellStyle name="Input 2 2 3 2 2 2" xfId="39818"/>
    <cellStyle name="Input 2 2 3 2 3" xfId="26148"/>
    <cellStyle name="Input 2 2 3 3" xfId="14254"/>
    <cellStyle name="Input 2 2 3 3 2" xfId="34322"/>
    <cellStyle name="Input 2 2 3 4" xfId="26147"/>
    <cellStyle name="Input 2 2 30" xfId="26059"/>
    <cellStyle name="Input 2 2 4" xfId="4917"/>
    <cellStyle name="Input 2 2 4 2" xfId="4918"/>
    <cellStyle name="Input 2 2 4 2 2" xfId="19751"/>
    <cellStyle name="Input 2 2 4 2 2 2" xfId="39819"/>
    <cellStyle name="Input 2 2 4 2 3" xfId="26150"/>
    <cellStyle name="Input 2 2 4 3" xfId="14018"/>
    <cellStyle name="Input 2 2 4 3 2" xfId="34086"/>
    <cellStyle name="Input 2 2 4 4" xfId="26149"/>
    <cellStyle name="Input 2 2 5" xfId="4919"/>
    <cellStyle name="Input 2 2 5 2" xfId="4920"/>
    <cellStyle name="Input 2 2 5 2 2" xfId="19752"/>
    <cellStyle name="Input 2 2 5 2 2 2" xfId="39820"/>
    <cellStyle name="Input 2 2 5 2 3" xfId="26152"/>
    <cellStyle name="Input 2 2 5 3" xfId="14455"/>
    <cellStyle name="Input 2 2 5 3 2" xfId="34523"/>
    <cellStyle name="Input 2 2 5 4" xfId="26151"/>
    <cellStyle name="Input 2 2 6" xfId="4921"/>
    <cellStyle name="Input 2 2 6 2" xfId="4922"/>
    <cellStyle name="Input 2 2 6 2 2" xfId="19753"/>
    <cellStyle name="Input 2 2 6 2 2 2" xfId="39821"/>
    <cellStyle name="Input 2 2 6 2 3" xfId="26154"/>
    <cellStyle name="Input 2 2 6 3" xfId="14622"/>
    <cellStyle name="Input 2 2 6 3 2" xfId="34690"/>
    <cellStyle name="Input 2 2 6 4" xfId="26153"/>
    <cellStyle name="Input 2 2 7" xfId="4923"/>
    <cellStyle name="Input 2 2 7 2" xfId="4924"/>
    <cellStyle name="Input 2 2 7 2 2" xfId="19754"/>
    <cellStyle name="Input 2 2 7 2 2 2" xfId="39822"/>
    <cellStyle name="Input 2 2 7 2 3" xfId="26156"/>
    <cellStyle name="Input 2 2 7 3" xfId="13985"/>
    <cellStyle name="Input 2 2 7 3 2" xfId="34053"/>
    <cellStyle name="Input 2 2 7 4" xfId="26155"/>
    <cellStyle name="Input 2 2 8" xfId="4925"/>
    <cellStyle name="Input 2 2 8 2" xfId="4926"/>
    <cellStyle name="Input 2 2 8 2 2" xfId="19755"/>
    <cellStyle name="Input 2 2 8 2 2 2" xfId="39823"/>
    <cellStyle name="Input 2 2 8 2 3" xfId="26158"/>
    <cellStyle name="Input 2 2 8 3" xfId="15137"/>
    <cellStyle name="Input 2 2 8 3 2" xfId="35205"/>
    <cellStyle name="Input 2 2 8 4" xfId="26157"/>
    <cellStyle name="Input 2 2 9" xfId="4927"/>
    <cellStyle name="Input 2 2 9 2" xfId="4928"/>
    <cellStyle name="Input 2 2 9 2 2" xfId="19756"/>
    <cellStyle name="Input 2 2 9 2 2 2" xfId="39824"/>
    <cellStyle name="Input 2 2 9 2 3" xfId="26160"/>
    <cellStyle name="Input 2 2 9 3" xfId="15273"/>
    <cellStyle name="Input 2 2 9 3 2" xfId="35341"/>
    <cellStyle name="Input 2 2 9 4" xfId="26159"/>
    <cellStyle name="Input 2 20" xfId="4929"/>
    <cellStyle name="Input 2 20 2" xfId="4930"/>
    <cellStyle name="Input 2 20 2 2" xfId="19757"/>
    <cellStyle name="Input 2 20 2 2 2" xfId="39825"/>
    <cellStyle name="Input 2 20 2 3" xfId="26162"/>
    <cellStyle name="Input 2 20 3" xfId="15867"/>
    <cellStyle name="Input 2 20 3 2" xfId="35935"/>
    <cellStyle name="Input 2 20 4" xfId="26161"/>
    <cellStyle name="Input 2 21" xfId="4931"/>
    <cellStyle name="Input 2 21 2" xfId="4932"/>
    <cellStyle name="Input 2 21 2 2" xfId="19758"/>
    <cellStyle name="Input 2 21 2 2 2" xfId="39826"/>
    <cellStyle name="Input 2 21 2 3" xfId="26164"/>
    <cellStyle name="Input 2 21 3" xfId="15890"/>
    <cellStyle name="Input 2 21 3 2" xfId="35958"/>
    <cellStyle name="Input 2 21 4" xfId="26163"/>
    <cellStyle name="Input 2 22" xfId="4933"/>
    <cellStyle name="Input 2 22 2" xfId="4934"/>
    <cellStyle name="Input 2 22 2 2" xfId="19759"/>
    <cellStyle name="Input 2 22 2 2 2" xfId="39827"/>
    <cellStyle name="Input 2 22 2 3" xfId="26166"/>
    <cellStyle name="Input 2 22 3" xfId="17003"/>
    <cellStyle name="Input 2 22 3 2" xfId="37071"/>
    <cellStyle name="Input 2 22 4" xfId="26165"/>
    <cellStyle name="Input 2 23" xfId="4935"/>
    <cellStyle name="Input 2 23 2" xfId="4936"/>
    <cellStyle name="Input 2 23 2 2" xfId="19760"/>
    <cellStyle name="Input 2 23 2 2 2" xfId="39828"/>
    <cellStyle name="Input 2 23 2 3" xfId="26168"/>
    <cellStyle name="Input 2 23 3" xfId="16134"/>
    <cellStyle name="Input 2 23 3 2" xfId="36202"/>
    <cellStyle name="Input 2 23 4" xfId="26167"/>
    <cellStyle name="Input 2 24" xfId="4937"/>
    <cellStyle name="Input 2 24 2" xfId="4938"/>
    <cellStyle name="Input 2 24 2 2" xfId="19761"/>
    <cellStyle name="Input 2 24 2 2 2" xfId="39829"/>
    <cellStyle name="Input 2 24 2 3" xfId="26170"/>
    <cellStyle name="Input 2 24 3" xfId="17172"/>
    <cellStyle name="Input 2 24 3 2" xfId="37240"/>
    <cellStyle name="Input 2 24 4" xfId="26169"/>
    <cellStyle name="Input 2 25" xfId="4939"/>
    <cellStyle name="Input 2 25 2" xfId="4940"/>
    <cellStyle name="Input 2 25 2 2" xfId="19762"/>
    <cellStyle name="Input 2 25 2 2 2" xfId="39830"/>
    <cellStyle name="Input 2 25 2 3" xfId="26172"/>
    <cellStyle name="Input 2 25 3" xfId="15727"/>
    <cellStyle name="Input 2 25 3 2" xfId="35795"/>
    <cellStyle name="Input 2 25 4" xfId="26171"/>
    <cellStyle name="Input 2 26" xfId="4941"/>
    <cellStyle name="Input 2 26 2" xfId="4942"/>
    <cellStyle name="Input 2 26 2 2" xfId="19763"/>
    <cellStyle name="Input 2 26 2 2 2" xfId="39831"/>
    <cellStyle name="Input 2 26 2 3" xfId="26174"/>
    <cellStyle name="Input 2 26 3" xfId="15660"/>
    <cellStyle name="Input 2 26 3 2" xfId="35728"/>
    <cellStyle name="Input 2 26 4" xfId="26173"/>
    <cellStyle name="Input 2 27" xfId="4943"/>
    <cellStyle name="Input 2 27 2" xfId="4944"/>
    <cellStyle name="Input 2 27 2 2" xfId="19764"/>
    <cellStyle name="Input 2 27 2 2 2" xfId="39832"/>
    <cellStyle name="Input 2 27 2 3" xfId="26176"/>
    <cellStyle name="Input 2 27 3" xfId="18265"/>
    <cellStyle name="Input 2 27 3 2" xfId="38333"/>
    <cellStyle name="Input 2 27 4" xfId="26175"/>
    <cellStyle name="Input 2 28" xfId="4945"/>
    <cellStyle name="Input 2 28 2" xfId="4946"/>
    <cellStyle name="Input 2 28 2 2" xfId="19765"/>
    <cellStyle name="Input 2 28 2 2 2" xfId="39833"/>
    <cellStyle name="Input 2 28 2 3" xfId="26178"/>
    <cellStyle name="Input 2 28 3" xfId="15797"/>
    <cellStyle name="Input 2 28 3 2" xfId="35865"/>
    <cellStyle name="Input 2 28 4" xfId="26177"/>
    <cellStyle name="Input 2 29" xfId="4947"/>
    <cellStyle name="Input 2 29 2" xfId="4948"/>
    <cellStyle name="Input 2 29 2 2" xfId="19766"/>
    <cellStyle name="Input 2 29 2 2 2" xfId="39834"/>
    <cellStyle name="Input 2 29 2 3" xfId="26180"/>
    <cellStyle name="Input 2 29 3" xfId="17358"/>
    <cellStyle name="Input 2 29 3 2" xfId="37426"/>
    <cellStyle name="Input 2 29 4" xfId="26179"/>
    <cellStyle name="Input 2 3" xfId="4949"/>
    <cellStyle name="Input 2 3 10" xfId="4950"/>
    <cellStyle name="Input 2 3 10 2" xfId="4951"/>
    <cellStyle name="Input 2 3 10 2 2" xfId="19768"/>
    <cellStyle name="Input 2 3 10 2 2 2" xfId="39836"/>
    <cellStyle name="Input 2 3 10 2 3" xfId="26183"/>
    <cellStyle name="Input 2 3 10 3" xfId="16371"/>
    <cellStyle name="Input 2 3 10 3 2" xfId="36439"/>
    <cellStyle name="Input 2 3 10 4" xfId="26182"/>
    <cellStyle name="Input 2 3 11" xfId="4952"/>
    <cellStyle name="Input 2 3 11 2" xfId="4953"/>
    <cellStyle name="Input 2 3 11 2 2" xfId="19769"/>
    <cellStyle name="Input 2 3 11 2 2 2" xfId="39837"/>
    <cellStyle name="Input 2 3 11 2 3" xfId="26185"/>
    <cellStyle name="Input 2 3 11 3" xfId="15413"/>
    <cellStyle name="Input 2 3 11 3 2" xfId="35481"/>
    <cellStyle name="Input 2 3 11 4" xfId="26184"/>
    <cellStyle name="Input 2 3 12" xfId="4954"/>
    <cellStyle name="Input 2 3 12 2" xfId="4955"/>
    <cellStyle name="Input 2 3 12 2 2" xfId="19770"/>
    <cellStyle name="Input 2 3 12 2 2 2" xfId="39838"/>
    <cellStyle name="Input 2 3 12 2 3" xfId="26187"/>
    <cellStyle name="Input 2 3 12 3" xfId="15518"/>
    <cellStyle name="Input 2 3 12 3 2" xfId="35586"/>
    <cellStyle name="Input 2 3 12 4" xfId="26186"/>
    <cellStyle name="Input 2 3 13" xfId="4956"/>
    <cellStyle name="Input 2 3 13 2" xfId="4957"/>
    <cellStyle name="Input 2 3 13 2 2" xfId="19771"/>
    <cellStyle name="Input 2 3 13 2 2 2" xfId="39839"/>
    <cellStyle name="Input 2 3 13 2 3" xfId="26189"/>
    <cellStyle name="Input 2 3 13 3" xfId="16022"/>
    <cellStyle name="Input 2 3 13 3 2" xfId="36090"/>
    <cellStyle name="Input 2 3 13 4" xfId="26188"/>
    <cellStyle name="Input 2 3 14" xfId="4958"/>
    <cellStyle name="Input 2 3 14 2" xfId="4959"/>
    <cellStyle name="Input 2 3 14 2 2" xfId="19772"/>
    <cellStyle name="Input 2 3 14 2 2 2" xfId="39840"/>
    <cellStyle name="Input 2 3 14 2 3" xfId="26191"/>
    <cellStyle name="Input 2 3 14 3" xfId="16097"/>
    <cellStyle name="Input 2 3 14 3 2" xfId="36165"/>
    <cellStyle name="Input 2 3 14 4" xfId="26190"/>
    <cellStyle name="Input 2 3 15" xfId="4960"/>
    <cellStyle name="Input 2 3 15 2" xfId="4961"/>
    <cellStyle name="Input 2 3 15 2 2" xfId="19773"/>
    <cellStyle name="Input 2 3 15 2 2 2" xfId="39841"/>
    <cellStyle name="Input 2 3 15 2 3" xfId="26193"/>
    <cellStyle name="Input 2 3 15 3" xfId="16067"/>
    <cellStyle name="Input 2 3 15 3 2" xfId="36135"/>
    <cellStyle name="Input 2 3 15 4" xfId="26192"/>
    <cellStyle name="Input 2 3 16" xfId="4962"/>
    <cellStyle name="Input 2 3 16 2" xfId="4963"/>
    <cellStyle name="Input 2 3 16 2 2" xfId="19774"/>
    <cellStyle name="Input 2 3 16 2 2 2" xfId="39842"/>
    <cellStyle name="Input 2 3 16 2 3" xfId="26195"/>
    <cellStyle name="Input 2 3 16 3" xfId="16112"/>
    <cellStyle name="Input 2 3 16 3 2" xfId="36180"/>
    <cellStyle name="Input 2 3 16 4" xfId="26194"/>
    <cellStyle name="Input 2 3 17" xfId="4964"/>
    <cellStyle name="Input 2 3 17 2" xfId="4965"/>
    <cellStyle name="Input 2 3 17 2 2" xfId="19775"/>
    <cellStyle name="Input 2 3 17 2 2 2" xfId="39843"/>
    <cellStyle name="Input 2 3 17 2 3" xfId="26197"/>
    <cellStyle name="Input 2 3 17 3" xfId="17673"/>
    <cellStyle name="Input 2 3 17 3 2" xfId="37741"/>
    <cellStyle name="Input 2 3 17 4" xfId="26196"/>
    <cellStyle name="Input 2 3 18" xfId="4966"/>
    <cellStyle name="Input 2 3 18 2" xfId="4967"/>
    <cellStyle name="Input 2 3 18 2 2" xfId="19776"/>
    <cellStyle name="Input 2 3 18 2 2 2" xfId="39844"/>
    <cellStyle name="Input 2 3 18 2 3" xfId="26199"/>
    <cellStyle name="Input 2 3 18 3" xfId="15770"/>
    <cellStyle name="Input 2 3 18 3 2" xfId="35838"/>
    <cellStyle name="Input 2 3 18 4" xfId="26198"/>
    <cellStyle name="Input 2 3 19" xfId="4968"/>
    <cellStyle name="Input 2 3 19 2" xfId="4969"/>
    <cellStyle name="Input 2 3 19 2 2" xfId="19777"/>
    <cellStyle name="Input 2 3 19 2 2 2" xfId="39845"/>
    <cellStyle name="Input 2 3 19 2 3" xfId="26201"/>
    <cellStyle name="Input 2 3 19 3" xfId="17680"/>
    <cellStyle name="Input 2 3 19 3 2" xfId="37748"/>
    <cellStyle name="Input 2 3 19 4" xfId="26200"/>
    <cellStyle name="Input 2 3 2" xfId="4970"/>
    <cellStyle name="Input 2 3 2 10" xfId="4971"/>
    <cellStyle name="Input 2 3 2 10 2" xfId="4972"/>
    <cellStyle name="Input 2 3 2 10 2 2" xfId="19779"/>
    <cellStyle name="Input 2 3 2 10 2 2 2" xfId="39847"/>
    <cellStyle name="Input 2 3 2 10 2 3" xfId="26204"/>
    <cellStyle name="Input 2 3 2 10 3" xfId="16927"/>
    <cellStyle name="Input 2 3 2 10 3 2" xfId="36995"/>
    <cellStyle name="Input 2 3 2 10 4" xfId="26203"/>
    <cellStyle name="Input 2 3 2 11" xfId="4973"/>
    <cellStyle name="Input 2 3 2 11 2" xfId="4974"/>
    <cellStyle name="Input 2 3 2 11 2 2" xfId="19780"/>
    <cellStyle name="Input 2 3 2 11 2 2 2" xfId="39848"/>
    <cellStyle name="Input 2 3 2 11 2 3" xfId="26206"/>
    <cellStyle name="Input 2 3 2 11 3" xfId="17062"/>
    <cellStyle name="Input 2 3 2 11 3 2" xfId="37130"/>
    <cellStyle name="Input 2 3 2 11 4" xfId="26205"/>
    <cellStyle name="Input 2 3 2 12" xfId="4975"/>
    <cellStyle name="Input 2 3 2 12 2" xfId="4976"/>
    <cellStyle name="Input 2 3 2 12 2 2" xfId="19781"/>
    <cellStyle name="Input 2 3 2 12 2 2 2" xfId="39849"/>
    <cellStyle name="Input 2 3 2 12 2 3" xfId="26208"/>
    <cellStyle name="Input 2 3 2 12 3" xfId="17234"/>
    <cellStyle name="Input 2 3 2 12 3 2" xfId="37302"/>
    <cellStyle name="Input 2 3 2 12 4" xfId="26207"/>
    <cellStyle name="Input 2 3 2 13" xfId="4977"/>
    <cellStyle name="Input 2 3 2 13 2" xfId="4978"/>
    <cellStyle name="Input 2 3 2 13 2 2" xfId="19782"/>
    <cellStyle name="Input 2 3 2 13 2 2 2" xfId="39850"/>
    <cellStyle name="Input 2 3 2 13 2 3" xfId="26210"/>
    <cellStyle name="Input 2 3 2 13 3" xfId="17404"/>
    <cellStyle name="Input 2 3 2 13 3 2" xfId="37472"/>
    <cellStyle name="Input 2 3 2 13 4" xfId="26209"/>
    <cellStyle name="Input 2 3 2 14" xfId="4979"/>
    <cellStyle name="Input 2 3 2 14 2" xfId="4980"/>
    <cellStyle name="Input 2 3 2 14 2 2" xfId="19783"/>
    <cellStyle name="Input 2 3 2 14 2 2 2" xfId="39851"/>
    <cellStyle name="Input 2 3 2 14 2 3" xfId="26212"/>
    <cellStyle name="Input 2 3 2 14 3" xfId="17532"/>
    <cellStyle name="Input 2 3 2 14 3 2" xfId="37600"/>
    <cellStyle name="Input 2 3 2 14 4" xfId="26211"/>
    <cellStyle name="Input 2 3 2 15" xfId="4981"/>
    <cellStyle name="Input 2 3 2 15 2" xfId="4982"/>
    <cellStyle name="Input 2 3 2 15 2 2" xfId="19784"/>
    <cellStyle name="Input 2 3 2 15 2 2 2" xfId="39852"/>
    <cellStyle name="Input 2 3 2 15 2 3" xfId="26214"/>
    <cellStyle name="Input 2 3 2 15 3" xfId="16727"/>
    <cellStyle name="Input 2 3 2 15 3 2" xfId="36795"/>
    <cellStyle name="Input 2 3 2 15 4" xfId="26213"/>
    <cellStyle name="Input 2 3 2 16" xfId="4983"/>
    <cellStyle name="Input 2 3 2 16 2" xfId="4984"/>
    <cellStyle name="Input 2 3 2 16 2 2" xfId="19785"/>
    <cellStyle name="Input 2 3 2 16 2 2 2" xfId="39853"/>
    <cellStyle name="Input 2 3 2 16 2 3" xfId="26216"/>
    <cellStyle name="Input 2 3 2 16 3" xfId="17783"/>
    <cellStyle name="Input 2 3 2 16 3 2" xfId="37851"/>
    <cellStyle name="Input 2 3 2 16 4" xfId="26215"/>
    <cellStyle name="Input 2 3 2 17" xfId="4985"/>
    <cellStyle name="Input 2 3 2 17 2" xfId="4986"/>
    <cellStyle name="Input 2 3 2 17 2 2" xfId="19786"/>
    <cellStyle name="Input 2 3 2 17 2 2 2" xfId="39854"/>
    <cellStyle name="Input 2 3 2 17 2 3" xfId="26218"/>
    <cellStyle name="Input 2 3 2 17 3" xfId="17912"/>
    <cellStyle name="Input 2 3 2 17 3 2" xfId="37980"/>
    <cellStyle name="Input 2 3 2 17 4" xfId="26217"/>
    <cellStyle name="Input 2 3 2 18" xfId="4987"/>
    <cellStyle name="Input 2 3 2 18 2" xfId="4988"/>
    <cellStyle name="Input 2 3 2 18 2 2" xfId="19787"/>
    <cellStyle name="Input 2 3 2 18 2 2 2" xfId="39855"/>
    <cellStyle name="Input 2 3 2 18 2 3" xfId="26220"/>
    <cellStyle name="Input 2 3 2 18 3" xfId="18062"/>
    <cellStyle name="Input 2 3 2 18 3 2" xfId="38130"/>
    <cellStyle name="Input 2 3 2 18 4" xfId="26219"/>
    <cellStyle name="Input 2 3 2 19" xfId="4989"/>
    <cellStyle name="Input 2 3 2 19 2" xfId="4990"/>
    <cellStyle name="Input 2 3 2 19 2 2" xfId="19788"/>
    <cellStyle name="Input 2 3 2 19 2 2 2" xfId="39856"/>
    <cellStyle name="Input 2 3 2 19 2 3" xfId="26222"/>
    <cellStyle name="Input 2 3 2 19 3" xfId="18179"/>
    <cellStyle name="Input 2 3 2 19 3 2" xfId="38247"/>
    <cellStyle name="Input 2 3 2 19 4" xfId="26221"/>
    <cellStyle name="Input 2 3 2 2" xfId="4991"/>
    <cellStyle name="Input 2 3 2 2 2" xfId="4992"/>
    <cellStyle name="Input 2 3 2 2 2 2" xfId="19789"/>
    <cellStyle name="Input 2 3 2 2 2 2 2" xfId="39857"/>
    <cellStyle name="Input 2 3 2 2 2 3" xfId="26224"/>
    <cellStyle name="Input 2 3 2 2 3" xfId="14648"/>
    <cellStyle name="Input 2 3 2 2 3 2" xfId="34716"/>
    <cellStyle name="Input 2 3 2 2 4" xfId="26223"/>
    <cellStyle name="Input 2 3 2 20" xfId="4993"/>
    <cellStyle name="Input 2 3 2 20 2" xfId="4994"/>
    <cellStyle name="Input 2 3 2 20 2 2" xfId="19790"/>
    <cellStyle name="Input 2 3 2 20 2 2 2" xfId="39858"/>
    <cellStyle name="Input 2 3 2 20 2 3" xfId="26226"/>
    <cellStyle name="Input 2 3 2 20 3" xfId="18134"/>
    <cellStyle name="Input 2 3 2 20 3 2" xfId="38202"/>
    <cellStyle name="Input 2 3 2 20 4" xfId="26225"/>
    <cellStyle name="Input 2 3 2 21" xfId="4995"/>
    <cellStyle name="Input 2 3 2 21 2" xfId="4996"/>
    <cellStyle name="Input 2 3 2 21 2 2" xfId="19791"/>
    <cellStyle name="Input 2 3 2 21 2 2 2" xfId="39859"/>
    <cellStyle name="Input 2 3 2 21 2 3" xfId="26228"/>
    <cellStyle name="Input 2 3 2 21 3" xfId="18374"/>
    <cellStyle name="Input 2 3 2 21 3 2" xfId="38442"/>
    <cellStyle name="Input 2 3 2 21 4" xfId="26227"/>
    <cellStyle name="Input 2 3 2 22" xfId="4997"/>
    <cellStyle name="Input 2 3 2 22 2" xfId="4998"/>
    <cellStyle name="Input 2 3 2 22 2 2" xfId="19792"/>
    <cellStyle name="Input 2 3 2 22 2 2 2" xfId="39860"/>
    <cellStyle name="Input 2 3 2 22 2 3" xfId="26230"/>
    <cellStyle name="Input 2 3 2 22 3" xfId="18518"/>
    <cellStyle name="Input 2 3 2 22 3 2" xfId="38586"/>
    <cellStyle name="Input 2 3 2 22 4" xfId="26229"/>
    <cellStyle name="Input 2 3 2 23" xfId="4999"/>
    <cellStyle name="Input 2 3 2 23 2" xfId="5000"/>
    <cellStyle name="Input 2 3 2 23 2 2" xfId="19793"/>
    <cellStyle name="Input 2 3 2 23 2 2 2" xfId="39861"/>
    <cellStyle name="Input 2 3 2 23 2 3" xfId="26232"/>
    <cellStyle name="Input 2 3 2 23 3" xfId="18629"/>
    <cellStyle name="Input 2 3 2 23 3 2" xfId="38697"/>
    <cellStyle name="Input 2 3 2 23 4" xfId="26231"/>
    <cellStyle name="Input 2 3 2 24" xfId="5001"/>
    <cellStyle name="Input 2 3 2 24 2" xfId="5002"/>
    <cellStyle name="Input 2 3 2 24 2 2" xfId="19794"/>
    <cellStyle name="Input 2 3 2 24 2 2 2" xfId="39862"/>
    <cellStyle name="Input 2 3 2 24 2 3" xfId="26234"/>
    <cellStyle name="Input 2 3 2 24 3" xfId="18729"/>
    <cellStyle name="Input 2 3 2 24 3 2" xfId="38797"/>
    <cellStyle name="Input 2 3 2 24 4" xfId="26233"/>
    <cellStyle name="Input 2 3 2 25" xfId="5003"/>
    <cellStyle name="Input 2 3 2 25 2" xfId="5004"/>
    <cellStyle name="Input 2 3 2 25 2 2" xfId="19795"/>
    <cellStyle name="Input 2 3 2 25 2 2 2" xfId="39863"/>
    <cellStyle name="Input 2 3 2 25 2 3" xfId="26236"/>
    <cellStyle name="Input 2 3 2 25 3" xfId="18829"/>
    <cellStyle name="Input 2 3 2 25 3 2" xfId="38897"/>
    <cellStyle name="Input 2 3 2 25 4" xfId="26235"/>
    <cellStyle name="Input 2 3 2 26" xfId="5005"/>
    <cellStyle name="Input 2 3 2 26 2" xfId="19778"/>
    <cellStyle name="Input 2 3 2 26 2 2" xfId="39846"/>
    <cellStyle name="Input 2 3 2 26 3" xfId="26237"/>
    <cellStyle name="Input 2 3 2 27" xfId="14387"/>
    <cellStyle name="Input 2 3 2 27 2" xfId="34455"/>
    <cellStyle name="Input 2 3 2 28" xfId="26202"/>
    <cellStyle name="Input 2 3 2 3" xfId="5006"/>
    <cellStyle name="Input 2 3 2 3 2" xfId="5007"/>
    <cellStyle name="Input 2 3 2 3 2 2" xfId="19796"/>
    <cellStyle name="Input 2 3 2 3 2 2 2" xfId="39864"/>
    <cellStyle name="Input 2 3 2 3 2 3" xfId="26239"/>
    <cellStyle name="Input 2 3 2 3 3" xfId="14767"/>
    <cellStyle name="Input 2 3 2 3 3 2" xfId="34835"/>
    <cellStyle name="Input 2 3 2 3 4" xfId="26238"/>
    <cellStyle name="Input 2 3 2 4" xfId="5008"/>
    <cellStyle name="Input 2 3 2 4 2" xfId="5009"/>
    <cellStyle name="Input 2 3 2 4 2 2" xfId="19797"/>
    <cellStyle name="Input 2 3 2 4 2 2 2" xfId="39865"/>
    <cellStyle name="Input 2 3 2 4 2 3" xfId="26241"/>
    <cellStyle name="Input 2 3 2 4 3" xfId="14886"/>
    <cellStyle name="Input 2 3 2 4 3 2" xfId="34954"/>
    <cellStyle name="Input 2 3 2 4 4" xfId="26240"/>
    <cellStyle name="Input 2 3 2 5" xfId="5010"/>
    <cellStyle name="Input 2 3 2 5 2" xfId="5011"/>
    <cellStyle name="Input 2 3 2 5 2 2" xfId="19798"/>
    <cellStyle name="Input 2 3 2 5 2 2 2" xfId="39866"/>
    <cellStyle name="Input 2 3 2 5 2 3" xfId="26243"/>
    <cellStyle name="Input 2 3 2 5 3" xfId="15055"/>
    <cellStyle name="Input 2 3 2 5 3 2" xfId="35123"/>
    <cellStyle name="Input 2 3 2 5 4" xfId="26242"/>
    <cellStyle name="Input 2 3 2 6" xfId="5012"/>
    <cellStyle name="Input 2 3 2 6 2" xfId="5013"/>
    <cellStyle name="Input 2 3 2 6 2 2" xfId="19799"/>
    <cellStyle name="Input 2 3 2 6 2 2 2" xfId="39867"/>
    <cellStyle name="Input 2 3 2 6 2 3" xfId="26245"/>
    <cellStyle name="Input 2 3 2 6 3" xfId="14222"/>
    <cellStyle name="Input 2 3 2 6 3 2" xfId="34290"/>
    <cellStyle name="Input 2 3 2 6 4" xfId="26244"/>
    <cellStyle name="Input 2 3 2 7" xfId="5014"/>
    <cellStyle name="Input 2 3 2 7 2" xfId="5015"/>
    <cellStyle name="Input 2 3 2 7 2 2" xfId="19800"/>
    <cellStyle name="Input 2 3 2 7 2 2 2" xfId="39868"/>
    <cellStyle name="Input 2 3 2 7 2 3" xfId="26247"/>
    <cellStyle name="Input 2 3 2 7 3" xfId="15198"/>
    <cellStyle name="Input 2 3 2 7 3 2" xfId="35266"/>
    <cellStyle name="Input 2 3 2 7 4" xfId="26246"/>
    <cellStyle name="Input 2 3 2 8" xfId="5016"/>
    <cellStyle name="Input 2 3 2 8 2" xfId="5017"/>
    <cellStyle name="Input 2 3 2 8 2 2" xfId="19801"/>
    <cellStyle name="Input 2 3 2 8 2 2 2" xfId="39869"/>
    <cellStyle name="Input 2 3 2 8 2 3" xfId="26249"/>
    <cellStyle name="Input 2 3 2 8 3" xfId="16552"/>
    <cellStyle name="Input 2 3 2 8 3 2" xfId="36620"/>
    <cellStyle name="Input 2 3 2 8 4" xfId="26248"/>
    <cellStyle name="Input 2 3 2 9" xfId="5018"/>
    <cellStyle name="Input 2 3 2 9 2" xfId="5019"/>
    <cellStyle name="Input 2 3 2 9 2 2" xfId="19802"/>
    <cellStyle name="Input 2 3 2 9 2 2 2" xfId="39870"/>
    <cellStyle name="Input 2 3 2 9 2 3" xfId="26251"/>
    <cellStyle name="Input 2 3 2 9 3" xfId="16756"/>
    <cellStyle name="Input 2 3 2 9 3 2" xfId="36824"/>
    <cellStyle name="Input 2 3 2 9 4" xfId="26250"/>
    <cellStyle name="Input 2 3 20" xfId="5020"/>
    <cellStyle name="Input 2 3 20 2" xfId="5021"/>
    <cellStyle name="Input 2 3 20 2 2" xfId="19803"/>
    <cellStyle name="Input 2 3 20 2 2 2" xfId="39871"/>
    <cellStyle name="Input 2 3 20 2 3" xfId="26253"/>
    <cellStyle name="Input 2 3 20 3" xfId="16170"/>
    <cellStyle name="Input 2 3 20 3 2" xfId="36238"/>
    <cellStyle name="Input 2 3 20 4" xfId="26252"/>
    <cellStyle name="Input 2 3 21" xfId="5022"/>
    <cellStyle name="Input 2 3 21 2" xfId="5023"/>
    <cellStyle name="Input 2 3 21 2 2" xfId="19804"/>
    <cellStyle name="Input 2 3 21 2 2 2" xfId="39872"/>
    <cellStyle name="Input 2 3 21 2 3" xfId="26255"/>
    <cellStyle name="Input 2 3 21 3" xfId="16084"/>
    <cellStyle name="Input 2 3 21 3 2" xfId="36152"/>
    <cellStyle name="Input 2 3 21 4" xfId="26254"/>
    <cellStyle name="Input 2 3 22" xfId="5024"/>
    <cellStyle name="Input 2 3 22 2" xfId="5025"/>
    <cellStyle name="Input 2 3 22 2 2" xfId="19805"/>
    <cellStyle name="Input 2 3 22 2 2 2" xfId="39873"/>
    <cellStyle name="Input 2 3 22 2 3" xfId="26257"/>
    <cellStyle name="Input 2 3 22 3" xfId="17493"/>
    <cellStyle name="Input 2 3 22 3 2" xfId="37561"/>
    <cellStyle name="Input 2 3 22 4" xfId="26256"/>
    <cellStyle name="Input 2 3 23" xfId="5026"/>
    <cellStyle name="Input 2 3 23 2" xfId="5027"/>
    <cellStyle name="Input 2 3 23 2 2" xfId="19806"/>
    <cellStyle name="Input 2 3 23 2 2 2" xfId="39874"/>
    <cellStyle name="Input 2 3 23 2 3" xfId="26259"/>
    <cellStyle name="Input 2 3 23 3" xfId="18266"/>
    <cellStyle name="Input 2 3 23 3 2" xfId="38334"/>
    <cellStyle name="Input 2 3 23 4" xfId="26258"/>
    <cellStyle name="Input 2 3 24" xfId="5028"/>
    <cellStyle name="Input 2 3 24 2" xfId="5029"/>
    <cellStyle name="Input 2 3 24 2 2" xfId="19807"/>
    <cellStyle name="Input 2 3 24 2 2 2" xfId="39875"/>
    <cellStyle name="Input 2 3 24 2 3" xfId="26261"/>
    <cellStyle name="Input 2 3 24 3" xfId="15768"/>
    <cellStyle name="Input 2 3 24 3 2" xfId="35836"/>
    <cellStyle name="Input 2 3 24 4" xfId="26260"/>
    <cellStyle name="Input 2 3 25" xfId="5030"/>
    <cellStyle name="Input 2 3 25 2" xfId="5031"/>
    <cellStyle name="Input 2 3 25 2 2" xfId="19808"/>
    <cellStyle name="Input 2 3 25 2 2 2" xfId="39876"/>
    <cellStyle name="Input 2 3 25 2 3" xfId="26263"/>
    <cellStyle name="Input 2 3 25 3" xfId="15765"/>
    <cellStyle name="Input 2 3 25 3 2" xfId="35833"/>
    <cellStyle name="Input 2 3 25 4" xfId="26262"/>
    <cellStyle name="Input 2 3 26" xfId="5032"/>
    <cellStyle name="Input 2 3 26 2" xfId="5033"/>
    <cellStyle name="Input 2 3 26 2 2" xfId="19809"/>
    <cellStyle name="Input 2 3 26 2 2 2" xfId="39877"/>
    <cellStyle name="Input 2 3 26 2 3" xfId="26265"/>
    <cellStyle name="Input 2 3 26 3" xfId="16100"/>
    <cellStyle name="Input 2 3 26 3 2" xfId="36168"/>
    <cellStyle name="Input 2 3 26 4" xfId="26264"/>
    <cellStyle name="Input 2 3 27" xfId="5034"/>
    <cellStyle name="Input 2 3 27 2" xfId="5035"/>
    <cellStyle name="Input 2 3 27 2 2" xfId="19810"/>
    <cellStyle name="Input 2 3 27 2 2 2" xfId="39878"/>
    <cellStyle name="Input 2 3 27 2 3" xfId="26267"/>
    <cellStyle name="Input 2 3 27 3" xfId="16321"/>
    <cellStyle name="Input 2 3 27 3 2" xfId="36389"/>
    <cellStyle name="Input 2 3 27 4" xfId="26266"/>
    <cellStyle name="Input 2 3 28" xfId="5036"/>
    <cellStyle name="Input 2 3 28 2" xfId="19767"/>
    <cellStyle name="Input 2 3 28 2 2" xfId="39835"/>
    <cellStyle name="Input 2 3 28 3" xfId="26268"/>
    <cellStyle name="Input 2 3 29" xfId="13868"/>
    <cellStyle name="Input 2 3 29 2" xfId="33936"/>
    <cellStyle name="Input 2 3 3" xfId="5037"/>
    <cellStyle name="Input 2 3 3 2" xfId="5038"/>
    <cellStyle name="Input 2 3 3 2 2" xfId="19811"/>
    <cellStyle name="Input 2 3 3 2 2 2" xfId="39879"/>
    <cellStyle name="Input 2 3 3 2 3" xfId="26270"/>
    <cellStyle name="Input 2 3 3 3" xfId="14100"/>
    <cellStyle name="Input 2 3 3 3 2" xfId="34168"/>
    <cellStyle name="Input 2 3 3 4" xfId="26269"/>
    <cellStyle name="Input 2 3 30" xfId="26181"/>
    <cellStyle name="Input 2 3 4" xfId="5039"/>
    <cellStyle name="Input 2 3 4 2" xfId="5040"/>
    <cellStyle name="Input 2 3 4 2 2" xfId="19812"/>
    <cellStyle name="Input 2 3 4 2 2 2" xfId="39880"/>
    <cellStyle name="Input 2 3 4 2 3" xfId="26272"/>
    <cellStyle name="Input 2 3 4 3" xfId="14134"/>
    <cellStyle name="Input 2 3 4 3 2" xfId="34202"/>
    <cellStyle name="Input 2 3 4 4" xfId="26271"/>
    <cellStyle name="Input 2 3 5" xfId="5041"/>
    <cellStyle name="Input 2 3 5 2" xfId="5042"/>
    <cellStyle name="Input 2 3 5 2 2" xfId="19813"/>
    <cellStyle name="Input 2 3 5 2 2 2" xfId="39881"/>
    <cellStyle name="Input 2 3 5 2 3" xfId="26274"/>
    <cellStyle name="Input 2 3 5 3" xfId="14017"/>
    <cellStyle name="Input 2 3 5 3 2" xfId="34085"/>
    <cellStyle name="Input 2 3 5 4" xfId="26273"/>
    <cellStyle name="Input 2 3 6" xfId="5043"/>
    <cellStyle name="Input 2 3 6 2" xfId="5044"/>
    <cellStyle name="Input 2 3 6 2 2" xfId="19814"/>
    <cellStyle name="Input 2 3 6 2 2 2" xfId="39882"/>
    <cellStyle name="Input 2 3 6 2 3" xfId="26276"/>
    <cellStyle name="Input 2 3 6 3" xfId="14844"/>
    <cellStyle name="Input 2 3 6 3 2" xfId="34912"/>
    <cellStyle name="Input 2 3 6 4" xfId="26275"/>
    <cellStyle name="Input 2 3 7" xfId="5045"/>
    <cellStyle name="Input 2 3 7 2" xfId="5046"/>
    <cellStyle name="Input 2 3 7 2 2" xfId="19815"/>
    <cellStyle name="Input 2 3 7 2 2 2" xfId="39883"/>
    <cellStyle name="Input 2 3 7 2 3" xfId="26278"/>
    <cellStyle name="Input 2 3 7 3" xfId="14730"/>
    <cellStyle name="Input 2 3 7 3 2" xfId="34798"/>
    <cellStyle name="Input 2 3 7 4" xfId="26277"/>
    <cellStyle name="Input 2 3 8" xfId="5047"/>
    <cellStyle name="Input 2 3 8 2" xfId="5048"/>
    <cellStyle name="Input 2 3 8 2 2" xfId="19816"/>
    <cellStyle name="Input 2 3 8 2 2 2" xfId="39884"/>
    <cellStyle name="Input 2 3 8 2 3" xfId="26280"/>
    <cellStyle name="Input 2 3 8 3" xfId="14032"/>
    <cellStyle name="Input 2 3 8 3 2" xfId="34100"/>
    <cellStyle name="Input 2 3 8 4" xfId="26279"/>
    <cellStyle name="Input 2 3 9" xfId="5049"/>
    <cellStyle name="Input 2 3 9 2" xfId="5050"/>
    <cellStyle name="Input 2 3 9 2 2" xfId="19817"/>
    <cellStyle name="Input 2 3 9 2 2 2" xfId="39885"/>
    <cellStyle name="Input 2 3 9 2 3" xfId="26282"/>
    <cellStyle name="Input 2 3 9 3" xfId="15274"/>
    <cellStyle name="Input 2 3 9 3 2" xfId="35342"/>
    <cellStyle name="Input 2 3 9 4" xfId="26281"/>
    <cellStyle name="Input 2 30" xfId="5051"/>
    <cellStyle name="Input 2 30 2" xfId="5052"/>
    <cellStyle name="Input 2 30 2 2" xfId="19818"/>
    <cellStyle name="Input 2 30 2 2 2" xfId="39886"/>
    <cellStyle name="Input 2 30 2 3" xfId="26284"/>
    <cellStyle name="Input 2 30 3" xfId="17994"/>
    <cellStyle name="Input 2 30 3 2" xfId="38062"/>
    <cellStyle name="Input 2 30 4" xfId="26283"/>
    <cellStyle name="Input 2 31" xfId="5053"/>
    <cellStyle name="Input 2 31 2" xfId="5054"/>
    <cellStyle name="Input 2 31 2 2" xfId="19819"/>
    <cellStyle name="Input 2 31 2 2 2" xfId="39887"/>
    <cellStyle name="Input 2 31 2 3" xfId="26286"/>
    <cellStyle name="Input 2 31 3" xfId="17507"/>
    <cellStyle name="Input 2 31 3 2" xfId="37575"/>
    <cellStyle name="Input 2 31 4" xfId="26285"/>
    <cellStyle name="Input 2 32" xfId="5055"/>
    <cellStyle name="Input 2 32 2" xfId="19695"/>
    <cellStyle name="Input 2 32 2 2" xfId="39763"/>
    <cellStyle name="Input 2 32 3" xfId="26287"/>
    <cellStyle name="Input 2 33" xfId="13866"/>
    <cellStyle name="Input 2 33 2" xfId="33934"/>
    <cellStyle name="Input 2 34" xfId="26038"/>
    <cellStyle name="Input 2 4" xfId="5056"/>
    <cellStyle name="Input 2 4 10" xfId="5057"/>
    <cellStyle name="Input 2 4 10 2" xfId="5058"/>
    <cellStyle name="Input 2 4 10 2 2" xfId="19821"/>
    <cellStyle name="Input 2 4 10 2 2 2" xfId="39889"/>
    <cellStyle name="Input 2 4 10 2 3" xfId="26290"/>
    <cellStyle name="Input 2 4 10 3" xfId="16372"/>
    <cellStyle name="Input 2 4 10 3 2" xfId="36440"/>
    <cellStyle name="Input 2 4 10 4" xfId="26289"/>
    <cellStyle name="Input 2 4 11" xfId="5059"/>
    <cellStyle name="Input 2 4 11 2" xfId="5060"/>
    <cellStyle name="Input 2 4 11 2 2" xfId="19822"/>
    <cellStyle name="Input 2 4 11 2 2 2" xfId="39890"/>
    <cellStyle name="Input 2 4 11 2 3" xfId="26292"/>
    <cellStyle name="Input 2 4 11 3" xfId="15412"/>
    <cellStyle name="Input 2 4 11 3 2" xfId="35480"/>
    <cellStyle name="Input 2 4 11 4" xfId="26291"/>
    <cellStyle name="Input 2 4 12" xfId="5061"/>
    <cellStyle name="Input 2 4 12 2" xfId="5062"/>
    <cellStyle name="Input 2 4 12 2 2" xfId="19823"/>
    <cellStyle name="Input 2 4 12 2 2 2" xfId="39891"/>
    <cellStyle name="Input 2 4 12 2 3" xfId="26294"/>
    <cellStyle name="Input 2 4 12 3" xfId="15519"/>
    <cellStyle name="Input 2 4 12 3 2" xfId="35587"/>
    <cellStyle name="Input 2 4 12 4" xfId="26293"/>
    <cellStyle name="Input 2 4 13" xfId="5063"/>
    <cellStyle name="Input 2 4 13 2" xfId="5064"/>
    <cellStyle name="Input 2 4 13 2 2" xfId="19824"/>
    <cellStyle name="Input 2 4 13 2 2 2" xfId="39892"/>
    <cellStyle name="Input 2 4 13 2 3" xfId="26296"/>
    <cellStyle name="Input 2 4 13 3" xfId="16524"/>
    <cellStyle name="Input 2 4 13 3 2" xfId="36592"/>
    <cellStyle name="Input 2 4 13 4" xfId="26295"/>
    <cellStyle name="Input 2 4 14" xfId="5065"/>
    <cellStyle name="Input 2 4 14 2" xfId="5066"/>
    <cellStyle name="Input 2 4 14 2 2" xfId="19825"/>
    <cellStyle name="Input 2 4 14 2 2 2" xfId="39893"/>
    <cellStyle name="Input 2 4 14 2 3" xfId="26298"/>
    <cellStyle name="Input 2 4 14 3" xfId="15951"/>
    <cellStyle name="Input 2 4 14 3 2" xfId="36019"/>
    <cellStyle name="Input 2 4 14 4" xfId="26297"/>
    <cellStyle name="Input 2 4 15" xfId="5067"/>
    <cellStyle name="Input 2 4 15 2" xfId="5068"/>
    <cellStyle name="Input 2 4 15 2 2" xfId="19826"/>
    <cellStyle name="Input 2 4 15 2 2 2" xfId="39894"/>
    <cellStyle name="Input 2 4 15 2 3" xfId="26300"/>
    <cellStyle name="Input 2 4 15 3" xfId="16135"/>
    <cellStyle name="Input 2 4 15 3 2" xfId="36203"/>
    <cellStyle name="Input 2 4 15 4" xfId="26299"/>
    <cellStyle name="Input 2 4 16" xfId="5069"/>
    <cellStyle name="Input 2 4 16 2" xfId="5070"/>
    <cellStyle name="Input 2 4 16 2 2" xfId="19827"/>
    <cellStyle name="Input 2 4 16 2 2 2" xfId="39895"/>
    <cellStyle name="Input 2 4 16 2 3" xfId="26302"/>
    <cellStyle name="Input 2 4 16 3" xfId="15846"/>
    <cellStyle name="Input 2 4 16 3 2" xfId="35914"/>
    <cellStyle name="Input 2 4 16 4" xfId="26301"/>
    <cellStyle name="Input 2 4 17" xfId="5071"/>
    <cellStyle name="Input 2 4 17 2" xfId="5072"/>
    <cellStyle name="Input 2 4 17 2 2" xfId="19828"/>
    <cellStyle name="Input 2 4 17 2 2 2" xfId="39896"/>
    <cellStyle name="Input 2 4 17 2 3" xfId="26304"/>
    <cellStyle name="Input 2 4 17 3" xfId="16352"/>
    <cellStyle name="Input 2 4 17 3 2" xfId="36420"/>
    <cellStyle name="Input 2 4 17 4" xfId="26303"/>
    <cellStyle name="Input 2 4 18" xfId="5073"/>
    <cellStyle name="Input 2 4 18 2" xfId="5074"/>
    <cellStyle name="Input 2 4 18 2 2" xfId="19829"/>
    <cellStyle name="Input 2 4 18 2 2 2" xfId="39897"/>
    <cellStyle name="Input 2 4 18 2 3" xfId="26306"/>
    <cellStyle name="Input 2 4 18 3" xfId="17485"/>
    <cellStyle name="Input 2 4 18 3 2" xfId="37553"/>
    <cellStyle name="Input 2 4 18 4" xfId="26305"/>
    <cellStyle name="Input 2 4 19" xfId="5075"/>
    <cellStyle name="Input 2 4 19 2" xfId="5076"/>
    <cellStyle name="Input 2 4 19 2 2" xfId="19830"/>
    <cellStyle name="Input 2 4 19 2 2 2" xfId="39898"/>
    <cellStyle name="Input 2 4 19 2 3" xfId="26308"/>
    <cellStyle name="Input 2 4 19 3" xfId="17679"/>
    <cellStyle name="Input 2 4 19 3 2" xfId="37747"/>
    <cellStyle name="Input 2 4 19 4" xfId="26307"/>
    <cellStyle name="Input 2 4 2" xfId="5077"/>
    <cellStyle name="Input 2 4 2 10" xfId="5078"/>
    <cellStyle name="Input 2 4 2 10 2" xfId="5079"/>
    <cellStyle name="Input 2 4 2 10 2 2" xfId="19832"/>
    <cellStyle name="Input 2 4 2 10 2 2 2" xfId="39900"/>
    <cellStyle name="Input 2 4 2 10 2 3" xfId="26311"/>
    <cellStyle name="Input 2 4 2 10 3" xfId="16928"/>
    <cellStyle name="Input 2 4 2 10 3 2" xfId="36996"/>
    <cellStyle name="Input 2 4 2 10 4" xfId="26310"/>
    <cellStyle name="Input 2 4 2 11" xfId="5080"/>
    <cellStyle name="Input 2 4 2 11 2" xfId="5081"/>
    <cellStyle name="Input 2 4 2 11 2 2" xfId="19833"/>
    <cellStyle name="Input 2 4 2 11 2 2 2" xfId="39901"/>
    <cellStyle name="Input 2 4 2 11 2 3" xfId="26313"/>
    <cellStyle name="Input 2 4 2 11 3" xfId="17063"/>
    <cellStyle name="Input 2 4 2 11 3 2" xfId="37131"/>
    <cellStyle name="Input 2 4 2 11 4" xfId="26312"/>
    <cellStyle name="Input 2 4 2 12" xfId="5082"/>
    <cellStyle name="Input 2 4 2 12 2" xfId="5083"/>
    <cellStyle name="Input 2 4 2 12 2 2" xfId="19834"/>
    <cellStyle name="Input 2 4 2 12 2 2 2" xfId="39902"/>
    <cellStyle name="Input 2 4 2 12 2 3" xfId="26315"/>
    <cellStyle name="Input 2 4 2 12 3" xfId="17235"/>
    <cellStyle name="Input 2 4 2 12 3 2" xfId="37303"/>
    <cellStyle name="Input 2 4 2 12 4" xfId="26314"/>
    <cellStyle name="Input 2 4 2 13" xfId="5084"/>
    <cellStyle name="Input 2 4 2 13 2" xfId="5085"/>
    <cellStyle name="Input 2 4 2 13 2 2" xfId="19835"/>
    <cellStyle name="Input 2 4 2 13 2 2 2" xfId="39903"/>
    <cellStyle name="Input 2 4 2 13 2 3" xfId="26317"/>
    <cellStyle name="Input 2 4 2 13 3" xfId="17405"/>
    <cellStyle name="Input 2 4 2 13 3 2" xfId="37473"/>
    <cellStyle name="Input 2 4 2 13 4" xfId="26316"/>
    <cellStyle name="Input 2 4 2 14" xfId="5086"/>
    <cellStyle name="Input 2 4 2 14 2" xfId="5087"/>
    <cellStyle name="Input 2 4 2 14 2 2" xfId="19836"/>
    <cellStyle name="Input 2 4 2 14 2 2 2" xfId="39904"/>
    <cellStyle name="Input 2 4 2 14 2 3" xfId="26319"/>
    <cellStyle name="Input 2 4 2 14 3" xfId="17533"/>
    <cellStyle name="Input 2 4 2 14 3 2" xfId="37601"/>
    <cellStyle name="Input 2 4 2 14 4" xfId="26318"/>
    <cellStyle name="Input 2 4 2 15" xfId="5088"/>
    <cellStyle name="Input 2 4 2 15 2" xfId="5089"/>
    <cellStyle name="Input 2 4 2 15 2 2" xfId="19837"/>
    <cellStyle name="Input 2 4 2 15 2 2 2" xfId="39905"/>
    <cellStyle name="Input 2 4 2 15 2 3" xfId="26321"/>
    <cellStyle name="Input 2 4 2 15 3" xfId="17634"/>
    <cellStyle name="Input 2 4 2 15 3 2" xfId="37702"/>
    <cellStyle name="Input 2 4 2 15 4" xfId="26320"/>
    <cellStyle name="Input 2 4 2 16" xfId="5090"/>
    <cellStyle name="Input 2 4 2 16 2" xfId="5091"/>
    <cellStyle name="Input 2 4 2 16 2 2" xfId="19838"/>
    <cellStyle name="Input 2 4 2 16 2 2 2" xfId="39906"/>
    <cellStyle name="Input 2 4 2 16 2 3" xfId="26323"/>
    <cellStyle name="Input 2 4 2 16 3" xfId="17784"/>
    <cellStyle name="Input 2 4 2 16 3 2" xfId="37852"/>
    <cellStyle name="Input 2 4 2 16 4" xfId="26322"/>
    <cellStyle name="Input 2 4 2 17" xfId="5092"/>
    <cellStyle name="Input 2 4 2 17 2" xfId="5093"/>
    <cellStyle name="Input 2 4 2 17 2 2" xfId="19839"/>
    <cellStyle name="Input 2 4 2 17 2 2 2" xfId="39907"/>
    <cellStyle name="Input 2 4 2 17 2 3" xfId="26325"/>
    <cellStyle name="Input 2 4 2 17 3" xfId="17913"/>
    <cellStyle name="Input 2 4 2 17 3 2" xfId="37981"/>
    <cellStyle name="Input 2 4 2 17 4" xfId="26324"/>
    <cellStyle name="Input 2 4 2 18" xfId="5094"/>
    <cellStyle name="Input 2 4 2 18 2" xfId="5095"/>
    <cellStyle name="Input 2 4 2 18 2 2" xfId="19840"/>
    <cellStyle name="Input 2 4 2 18 2 2 2" xfId="39908"/>
    <cellStyle name="Input 2 4 2 18 2 3" xfId="26327"/>
    <cellStyle name="Input 2 4 2 18 3" xfId="18063"/>
    <cellStyle name="Input 2 4 2 18 3 2" xfId="38131"/>
    <cellStyle name="Input 2 4 2 18 4" xfId="26326"/>
    <cellStyle name="Input 2 4 2 19" xfId="5096"/>
    <cellStyle name="Input 2 4 2 19 2" xfId="5097"/>
    <cellStyle name="Input 2 4 2 19 2 2" xfId="19841"/>
    <cellStyle name="Input 2 4 2 19 2 2 2" xfId="39909"/>
    <cellStyle name="Input 2 4 2 19 2 3" xfId="26329"/>
    <cellStyle name="Input 2 4 2 19 3" xfId="18180"/>
    <cellStyle name="Input 2 4 2 19 3 2" xfId="38248"/>
    <cellStyle name="Input 2 4 2 19 4" xfId="26328"/>
    <cellStyle name="Input 2 4 2 2" xfId="5098"/>
    <cellStyle name="Input 2 4 2 2 2" xfId="5099"/>
    <cellStyle name="Input 2 4 2 2 2 2" xfId="19842"/>
    <cellStyle name="Input 2 4 2 2 2 2 2" xfId="39910"/>
    <cellStyle name="Input 2 4 2 2 2 3" xfId="26331"/>
    <cellStyle name="Input 2 4 2 2 3" xfId="14649"/>
    <cellStyle name="Input 2 4 2 2 3 2" xfId="34717"/>
    <cellStyle name="Input 2 4 2 2 4" xfId="26330"/>
    <cellStyle name="Input 2 4 2 20" xfId="5100"/>
    <cellStyle name="Input 2 4 2 20 2" xfId="5101"/>
    <cellStyle name="Input 2 4 2 20 2 2" xfId="19843"/>
    <cellStyle name="Input 2 4 2 20 2 2 2" xfId="39911"/>
    <cellStyle name="Input 2 4 2 20 2 3" xfId="26333"/>
    <cellStyle name="Input 2 4 2 20 3" xfId="16224"/>
    <cellStyle name="Input 2 4 2 20 3 2" xfId="36292"/>
    <cellStyle name="Input 2 4 2 20 4" xfId="26332"/>
    <cellStyle name="Input 2 4 2 21" xfId="5102"/>
    <cellStyle name="Input 2 4 2 21 2" xfId="5103"/>
    <cellStyle name="Input 2 4 2 21 2 2" xfId="19844"/>
    <cellStyle name="Input 2 4 2 21 2 2 2" xfId="39912"/>
    <cellStyle name="Input 2 4 2 21 2 3" xfId="26335"/>
    <cellStyle name="Input 2 4 2 21 3" xfId="18375"/>
    <cellStyle name="Input 2 4 2 21 3 2" xfId="38443"/>
    <cellStyle name="Input 2 4 2 21 4" xfId="26334"/>
    <cellStyle name="Input 2 4 2 22" xfId="5104"/>
    <cellStyle name="Input 2 4 2 22 2" xfId="5105"/>
    <cellStyle name="Input 2 4 2 22 2 2" xfId="19845"/>
    <cellStyle name="Input 2 4 2 22 2 2 2" xfId="39913"/>
    <cellStyle name="Input 2 4 2 22 2 3" xfId="26337"/>
    <cellStyle name="Input 2 4 2 22 3" xfId="18519"/>
    <cellStyle name="Input 2 4 2 22 3 2" xfId="38587"/>
    <cellStyle name="Input 2 4 2 22 4" xfId="26336"/>
    <cellStyle name="Input 2 4 2 23" xfId="5106"/>
    <cellStyle name="Input 2 4 2 23 2" xfId="5107"/>
    <cellStyle name="Input 2 4 2 23 2 2" xfId="19846"/>
    <cellStyle name="Input 2 4 2 23 2 2 2" xfId="39914"/>
    <cellStyle name="Input 2 4 2 23 2 3" xfId="26339"/>
    <cellStyle name="Input 2 4 2 23 3" xfId="18630"/>
    <cellStyle name="Input 2 4 2 23 3 2" xfId="38698"/>
    <cellStyle name="Input 2 4 2 23 4" xfId="26338"/>
    <cellStyle name="Input 2 4 2 24" xfId="5108"/>
    <cellStyle name="Input 2 4 2 24 2" xfId="5109"/>
    <cellStyle name="Input 2 4 2 24 2 2" xfId="19847"/>
    <cellStyle name="Input 2 4 2 24 2 2 2" xfId="39915"/>
    <cellStyle name="Input 2 4 2 24 2 3" xfId="26341"/>
    <cellStyle name="Input 2 4 2 24 3" xfId="18730"/>
    <cellStyle name="Input 2 4 2 24 3 2" xfId="38798"/>
    <cellStyle name="Input 2 4 2 24 4" xfId="26340"/>
    <cellStyle name="Input 2 4 2 25" xfId="5110"/>
    <cellStyle name="Input 2 4 2 25 2" xfId="5111"/>
    <cellStyle name="Input 2 4 2 25 2 2" xfId="19848"/>
    <cellStyle name="Input 2 4 2 25 2 2 2" xfId="39916"/>
    <cellStyle name="Input 2 4 2 25 2 3" xfId="26343"/>
    <cellStyle name="Input 2 4 2 25 3" xfId="18830"/>
    <cellStyle name="Input 2 4 2 25 3 2" xfId="38898"/>
    <cellStyle name="Input 2 4 2 25 4" xfId="26342"/>
    <cellStyle name="Input 2 4 2 26" xfId="5112"/>
    <cellStyle name="Input 2 4 2 26 2" xfId="19831"/>
    <cellStyle name="Input 2 4 2 26 2 2" xfId="39899"/>
    <cellStyle name="Input 2 4 2 26 3" xfId="26344"/>
    <cellStyle name="Input 2 4 2 27" xfId="14171"/>
    <cellStyle name="Input 2 4 2 27 2" xfId="34239"/>
    <cellStyle name="Input 2 4 2 28" xfId="26309"/>
    <cellStyle name="Input 2 4 2 3" xfId="5113"/>
    <cellStyle name="Input 2 4 2 3 2" xfId="5114"/>
    <cellStyle name="Input 2 4 2 3 2 2" xfId="19849"/>
    <cellStyle name="Input 2 4 2 3 2 2 2" xfId="39917"/>
    <cellStyle name="Input 2 4 2 3 2 3" xfId="26346"/>
    <cellStyle name="Input 2 4 2 3 3" xfId="14768"/>
    <cellStyle name="Input 2 4 2 3 3 2" xfId="34836"/>
    <cellStyle name="Input 2 4 2 3 4" xfId="26345"/>
    <cellStyle name="Input 2 4 2 4" xfId="5115"/>
    <cellStyle name="Input 2 4 2 4 2" xfId="5116"/>
    <cellStyle name="Input 2 4 2 4 2 2" xfId="19850"/>
    <cellStyle name="Input 2 4 2 4 2 2 2" xfId="39918"/>
    <cellStyle name="Input 2 4 2 4 2 3" xfId="26348"/>
    <cellStyle name="Input 2 4 2 4 3" xfId="14887"/>
    <cellStyle name="Input 2 4 2 4 3 2" xfId="34955"/>
    <cellStyle name="Input 2 4 2 4 4" xfId="26347"/>
    <cellStyle name="Input 2 4 2 5" xfId="5117"/>
    <cellStyle name="Input 2 4 2 5 2" xfId="5118"/>
    <cellStyle name="Input 2 4 2 5 2 2" xfId="19851"/>
    <cellStyle name="Input 2 4 2 5 2 2 2" xfId="39919"/>
    <cellStyle name="Input 2 4 2 5 2 3" xfId="26350"/>
    <cellStyle name="Input 2 4 2 5 3" xfId="15056"/>
    <cellStyle name="Input 2 4 2 5 3 2" xfId="35124"/>
    <cellStyle name="Input 2 4 2 5 4" xfId="26349"/>
    <cellStyle name="Input 2 4 2 6" xfId="5119"/>
    <cellStyle name="Input 2 4 2 6 2" xfId="5120"/>
    <cellStyle name="Input 2 4 2 6 2 2" xfId="19852"/>
    <cellStyle name="Input 2 4 2 6 2 2 2" xfId="39920"/>
    <cellStyle name="Input 2 4 2 6 2 3" xfId="26352"/>
    <cellStyle name="Input 2 4 2 6 3" xfId="14528"/>
    <cellStyle name="Input 2 4 2 6 3 2" xfId="34596"/>
    <cellStyle name="Input 2 4 2 6 4" xfId="26351"/>
    <cellStyle name="Input 2 4 2 7" xfId="5121"/>
    <cellStyle name="Input 2 4 2 7 2" xfId="5122"/>
    <cellStyle name="Input 2 4 2 7 2 2" xfId="19853"/>
    <cellStyle name="Input 2 4 2 7 2 2 2" xfId="39921"/>
    <cellStyle name="Input 2 4 2 7 2 3" xfId="26354"/>
    <cellStyle name="Input 2 4 2 7 3" xfId="15199"/>
    <cellStyle name="Input 2 4 2 7 3 2" xfId="35267"/>
    <cellStyle name="Input 2 4 2 7 4" xfId="26353"/>
    <cellStyle name="Input 2 4 2 8" xfId="5123"/>
    <cellStyle name="Input 2 4 2 8 2" xfId="5124"/>
    <cellStyle name="Input 2 4 2 8 2 2" xfId="19854"/>
    <cellStyle name="Input 2 4 2 8 2 2 2" xfId="39922"/>
    <cellStyle name="Input 2 4 2 8 2 3" xfId="26356"/>
    <cellStyle name="Input 2 4 2 8 3" xfId="16553"/>
    <cellStyle name="Input 2 4 2 8 3 2" xfId="36621"/>
    <cellStyle name="Input 2 4 2 8 4" xfId="26355"/>
    <cellStyle name="Input 2 4 2 9" xfId="5125"/>
    <cellStyle name="Input 2 4 2 9 2" xfId="5126"/>
    <cellStyle name="Input 2 4 2 9 2 2" xfId="19855"/>
    <cellStyle name="Input 2 4 2 9 2 2 2" xfId="39923"/>
    <cellStyle name="Input 2 4 2 9 2 3" xfId="26358"/>
    <cellStyle name="Input 2 4 2 9 3" xfId="16757"/>
    <cellStyle name="Input 2 4 2 9 3 2" xfId="36825"/>
    <cellStyle name="Input 2 4 2 9 4" xfId="26357"/>
    <cellStyle name="Input 2 4 20" xfId="5127"/>
    <cellStyle name="Input 2 4 20 2" xfId="5128"/>
    <cellStyle name="Input 2 4 20 2 2" xfId="19856"/>
    <cellStyle name="Input 2 4 20 2 2 2" xfId="39924"/>
    <cellStyle name="Input 2 4 20 2 3" xfId="26360"/>
    <cellStyle name="Input 2 4 20 3" xfId="16106"/>
    <cellStyle name="Input 2 4 20 3 2" xfId="36174"/>
    <cellStyle name="Input 2 4 20 4" xfId="26359"/>
    <cellStyle name="Input 2 4 21" xfId="5129"/>
    <cellStyle name="Input 2 4 21 2" xfId="5130"/>
    <cellStyle name="Input 2 4 21 2 2" xfId="19857"/>
    <cellStyle name="Input 2 4 21 2 2 2" xfId="39925"/>
    <cellStyle name="Input 2 4 21 2 3" xfId="26362"/>
    <cellStyle name="Input 2 4 21 3" xfId="17754"/>
    <cellStyle name="Input 2 4 21 3 2" xfId="37822"/>
    <cellStyle name="Input 2 4 21 4" xfId="26361"/>
    <cellStyle name="Input 2 4 22" xfId="5131"/>
    <cellStyle name="Input 2 4 22 2" xfId="5132"/>
    <cellStyle name="Input 2 4 22 2 2" xfId="19858"/>
    <cellStyle name="Input 2 4 22 2 2 2" xfId="39926"/>
    <cellStyle name="Input 2 4 22 2 3" xfId="26364"/>
    <cellStyle name="Input 2 4 22 3" xfId="16167"/>
    <cellStyle name="Input 2 4 22 3 2" xfId="36235"/>
    <cellStyle name="Input 2 4 22 4" xfId="26363"/>
    <cellStyle name="Input 2 4 23" xfId="5133"/>
    <cellStyle name="Input 2 4 23 2" xfId="5134"/>
    <cellStyle name="Input 2 4 23 2 2" xfId="19859"/>
    <cellStyle name="Input 2 4 23 2 2 2" xfId="39927"/>
    <cellStyle name="Input 2 4 23 2 3" xfId="26366"/>
    <cellStyle name="Input 2 4 23 3" xfId="18267"/>
    <cellStyle name="Input 2 4 23 3 2" xfId="38335"/>
    <cellStyle name="Input 2 4 23 4" xfId="26365"/>
    <cellStyle name="Input 2 4 24" xfId="5135"/>
    <cellStyle name="Input 2 4 24 2" xfId="5136"/>
    <cellStyle name="Input 2 4 24 2 2" xfId="19860"/>
    <cellStyle name="Input 2 4 24 2 2 2" xfId="39928"/>
    <cellStyle name="Input 2 4 24 2 3" xfId="26368"/>
    <cellStyle name="Input 2 4 24 3" xfId="15909"/>
    <cellStyle name="Input 2 4 24 3 2" xfId="35977"/>
    <cellStyle name="Input 2 4 24 4" xfId="26367"/>
    <cellStyle name="Input 2 4 25" xfId="5137"/>
    <cellStyle name="Input 2 4 25 2" xfId="5138"/>
    <cellStyle name="Input 2 4 25 2 2" xfId="19861"/>
    <cellStyle name="Input 2 4 25 2 2 2" xfId="39929"/>
    <cellStyle name="Input 2 4 25 2 3" xfId="26370"/>
    <cellStyle name="Input 2 4 25 3" xfId="16399"/>
    <cellStyle name="Input 2 4 25 3 2" xfId="36467"/>
    <cellStyle name="Input 2 4 25 4" xfId="26369"/>
    <cellStyle name="Input 2 4 26" xfId="5139"/>
    <cellStyle name="Input 2 4 26 2" xfId="5140"/>
    <cellStyle name="Input 2 4 26 2 2" xfId="19862"/>
    <cellStyle name="Input 2 4 26 2 2 2" xfId="39930"/>
    <cellStyle name="Input 2 4 26 2 3" xfId="26372"/>
    <cellStyle name="Input 2 4 26 3" xfId="18351"/>
    <cellStyle name="Input 2 4 26 3 2" xfId="38419"/>
    <cellStyle name="Input 2 4 26 4" xfId="26371"/>
    <cellStyle name="Input 2 4 27" xfId="5141"/>
    <cellStyle name="Input 2 4 27 2" xfId="5142"/>
    <cellStyle name="Input 2 4 27 2 2" xfId="19863"/>
    <cellStyle name="Input 2 4 27 2 2 2" xfId="39931"/>
    <cellStyle name="Input 2 4 27 2 3" xfId="26374"/>
    <cellStyle name="Input 2 4 27 3" xfId="18496"/>
    <cellStyle name="Input 2 4 27 3 2" xfId="38564"/>
    <cellStyle name="Input 2 4 27 4" xfId="26373"/>
    <cellStyle name="Input 2 4 28" xfId="5143"/>
    <cellStyle name="Input 2 4 28 2" xfId="19820"/>
    <cellStyle name="Input 2 4 28 2 2" xfId="39888"/>
    <cellStyle name="Input 2 4 28 3" xfId="26375"/>
    <cellStyle name="Input 2 4 29" xfId="13869"/>
    <cellStyle name="Input 2 4 29 2" xfId="33937"/>
    <cellStyle name="Input 2 4 3" xfId="5144"/>
    <cellStyle name="Input 2 4 3 2" xfId="5145"/>
    <cellStyle name="Input 2 4 3 2 2" xfId="19864"/>
    <cellStyle name="Input 2 4 3 2 2 2" xfId="39932"/>
    <cellStyle name="Input 2 4 3 2 3" xfId="26377"/>
    <cellStyle name="Input 2 4 3 3" xfId="14047"/>
    <cellStyle name="Input 2 4 3 3 2" xfId="34115"/>
    <cellStyle name="Input 2 4 3 4" xfId="26376"/>
    <cellStyle name="Input 2 4 30" xfId="26288"/>
    <cellStyle name="Input 2 4 4" xfId="5146"/>
    <cellStyle name="Input 2 4 4 2" xfId="5147"/>
    <cellStyle name="Input 2 4 4 2 2" xfId="19865"/>
    <cellStyle name="Input 2 4 4 2 2 2" xfId="39933"/>
    <cellStyle name="Input 2 4 4 2 3" xfId="26379"/>
    <cellStyle name="Input 2 4 4 3" xfId="14298"/>
    <cellStyle name="Input 2 4 4 3 2" xfId="34366"/>
    <cellStyle name="Input 2 4 4 4" xfId="26378"/>
    <cellStyle name="Input 2 4 5" xfId="5148"/>
    <cellStyle name="Input 2 4 5 2" xfId="5149"/>
    <cellStyle name="Input 2 4 5 2 2" xfId="19866"/>
    <cellStyle name="Input 2 4 5 2 2 2" xfId="39934"/>
    <cellStyle name="Input 2 4 5 2 3" xfId="26381"/>
    <cellStyle name="Input 2 4 5 3" xfId="13968"/>
    <cellStyle name="Input 2 4 5 3 2" xfId="34036"/>
    <cellStyle name="Input 2 4 5 4" xfId="26380"/>
    <cellStyle name="Input 2 4 6" xfId="5150"/>
    <cellStyle name="Input 2 4 6 2" xfId="5151"/>
    <cellStyle name="Input 2 4 6 2 2" xfId="19867"/>
    <cellStyle name="Input 2 4 6 2 2 2" xfId="39935"/>
    <cellStyle name="Input 2 4 6 2 3" xfId="26383"/>
    <cellStyle name="Input 2 4 6 3" xfId="14843"/>
    <cellStyle name="Input 2 4 6 3 2" xfId="34911"/>
    <cellStyle name="Input 2 4 6 4" xfId="26382"/>
    <cellStyle name="Input 2 4 7" xfId="5152"/>
    <cellStyle name="Input 2 4 7 2" xfId="5153"/>
    <cellStyle name="Input 2 4 7 2 2" xfId="19868"/>
    <cellStyle name="Input 2 4 7 2 2 2" xfId="39936"/>
    <cellStyle name="Input 2 4 7 2 3" xfId="26385"/>
    <cellStyle name="Input 2 4 7 3" xfId="14441"/>
    <cellStyle name="Input 2 4 7 3 2" xfId="34509"/>
    <cellStyle name="Input 2 4 7 4" xfId="26384"/>
    <cellStyle name="Input 2 4 8" xfId="5154"/>
    <cellStyle name="Input 2 4 8 2" xfId="5155"/>
    <cellStyle name="Input 2 4 8 2 2" xfId="19869"/>
    <cellStyle name="Input 2 4 8 2 2 2" xfId="39937"/>
    <cellStyle name="Input 2 4 8 2 3" xfId="26387"/>
    <cellStyle name="Input 2 4 8 3" xfId="14164"/>
    <cellStyle name="Input 2 4 8 3 2" xfId="34232"/>
    <cellStyle name="Input 2 4 8 4" xfId="26386"/>
    <cellStyle name="Input 2 4 9" xfId="5156"/>
    <cellStyle name="Input 2 4 9 2" xfId="5157"/>
    <cellStyle name="Input 2 4 9 2 2" xfId="19870"/>
    <cellStyle name="Input 2 4 9 2 2 2" xfId="39938"/>
    <cellStyle name="Input 2 4 9 2 3" xfId="26389"/>
    <cellStyle name="Input 2 4 9 3" xfId="15275"/>
    <cellStyle name="Input 2 4 9 3 2" xfId="35343"/>
    <cellStyle name="Input 2 4 9 4" xfId="26388"/>
    <cellStyle name="Input 2 5" xfId="5158"/>
    <cellStyle name="Input 2 5 10" xfId="5159"/>
    <cellStyle name="Input 2 5 10 2" xfId="5160"/>
    <cellStyle name="Input 2 5 10 2 2" xfId="19872"/>
    <cellStyle name="Input 2 5 10 2 2 2" xfId="39940"/>
    <cellStyle name="Input 2 5 10 2 3" xfId="26392"/>
    <cellStyle name="Input 2 5 10 3" xfId="16373"/>
    <cellStyle name="Input 2 5 10 3 2" xfId="36441"/>
    <cellStyle name="Input 2 5 10 4" xfId="26391"/>
    <cellStyle name="Input 2 5 11" xfId="5161"/>
    <cellStyle name="Input 2 5 11 2" xfId="5162"/>
    <cellStyle name="Input 2 5 11 2 2" xfId="19873"/>
    <cellStyle name="Input 2 5 11 2 2 2" xfId="39941"/>
    <cellStyle name="Input 2 5 11 2 3" xfId="26394"/>
    <cellStyle name="Input 2 5 11 3" xfId="15411"/>
    <cellStyle name="Input 2 5 11 3 2" xfId="35479"/>
    <cellStyle name="Input 2 5 11 4" xfId="26393"/>
    <cellStyle name="Input 2 5 12" xfId="5163"/>
    <cellStyle name="Input 2 5 12 2" xfId="5164"/>
    <cellStyle name="Input 2 5 12 2 2" xfId="19874"/>
    <cellStyle name="Input 2 5 12 2 2 2" xfId="39942"/>
    <cellStyle name="Input 2 5 12 2 3" xfId="26396"/>
    <cellStyle name="Input 2 5 12 3" xfId="15520"/>
    <cellStyle name="Input 2 5 12 3 2" xfId="35588"/>
    <cellStyle name="Input 2 5 12 4" xfId="26395"/>
    <cellStyle name="Input 2 5 13" xfId="5165"/>
    <cellStyle name="Input 2 5 13 2" xfId="5166"/>
    <cellStyle name="Input 2 5 13 2 2" xfId="19875"/>
    <cellStyle name="Input 2 5 13 2 2 2" xfId="39943"/>
    <cellStyle name="Input 2 5 13 2 3" xfId="26398"/>
    <cellStyle name="Input 2 5 13 3" xfId="16520"/>
    <cellStyle name="Input 2 5 13 3 2" xfId="36588"/>
    <cellStyle name="Input 2 5 13 4" xfId="26397"/>
    <cellStyle name="Input 2 5 14" xfId="5167"/>
    <cellStyle name="Input 2 5 14 2" xfId="5168"/>
    <cellStyle name="Input 2 5 14 2 2" xfId="19876"/>
    <cellStyle name="Input 2 5 14 2 2 2" xfId="39944"/>
    <cellStyle name="Input 2 5 14 2 3" xfId="26400"/>
    <cellStyle name="Input 2 5 14 3" xfId="16098"/>
    <cellStyle name="Input 2 5 14 3 2" xfId="36166"/>
    <cellStyle name="Input 2 5 14 4" xfId="26399"/>
    <cellStyle name="Input 2 5 15" xfId="5169"/>
    <cellStyle name="Input 2 5 15 2" xfId="5170"/>
    <cellStyle name="Input 2 5 15 2 2" xfId="19877"/>
    <cellStyle name="Input 2 5 15 2 2 2" xfId="39945"/>
    <cellStyle name="Input 2 5 15 2 3" xfId="26402"/>
    <cellStyle name="Input 2 5 15 3" xfId="15475"/>
    <cellStyle name="Input 2 5 15 3 2" xfId="35543"/>
    <cellStyle name="Input 2 5 15 4" xfId="26401"/>
    <cellStyle name="Input 2 5 16" xfId="5171"/>
    <cellStyle name="Input 2 5 16 2" xfId="5172"/>
    <cellStyle name="Input 2 5 16 2 2" xfId="19878"/>
    <cellStyle name="Input 2 5 16 2 2 2" xfId="39946"/>
    <cellStyle name="Input 2 5 16 2 3" xfId="26404"/>
    <cellStyle name="Input 2 5 16 3" xfId="15905"/>
    <cellStyle name="Input 2 5 16 3 2" xfId="35973"/>
    <cellStyle name="Input 2 5 16 4" xfId="26403"/>
    <cellStyle name="Input 2 5 17" xfId="5173"/>
    <cellStyle name="Input 2 5 17 2" xfId="5174"/>
    <cellStyle name="Input 2 5 17 2 2" xfId="19879"/>
    <cellStyle name="Input 2 5 17 2 2 2" xfId="39947"/>
    <cellStyle name="Input 2 5 17 2 3" xfId="26406"/>
    <cellStyle name="Input 2 5 17 3" xfId="17383"/>
    <cellStyle name="Input 2 5 17 3 2" xfId="37451"/>
    <cellStyle name="Input 2 5 17 4" xfId="26405"/>
    <cellStyle name="Input 2 5 18" xfId="5175"/>
    <cellStyle name="Input 2 5 18 2" xfId="5176"/>
    <cellStyle name="Input 2 5 18 2 2" xfId="19880"/>
    <cellStyle name="Input 2 5 18 2 2 2" xfId="39948"/>
    <cellStyle name="Input 2 5 18 2 3" xfId="26408"/>
    <cellStyle name="Input 2 5 18 3" xfId="16702"/>
    <cellStyle name="Input 2 5 18 3 2" xfId="36770"/>
    <cellStyle name="Input 2 5 18 4" xfId="26407"/>
    <cellStyle name="Input 2 5 19" xfId="5177"/>
    <cellStyle name="Input 2 5 19 2" xfId="5178"/>
    <cellStyle name="Input 2 5 19 2 2" xfId="19881"/>
    <cellStyle name="Input 2 5 19 2 2 2" xfId="39949"/>
    <cellStyle name="Input 2 5 19 2 3" xfId="26410"/>
    <cellStyle name="Input 2 5 19 3" xfId="15548"/>
    <cellStyle name="Input 2 5 19 3 2" xfId="35616"/>
    <cellStyle name="Input 2 5 19 4" xfId="26409"/>
    <cellStyle name="Input 2 5 2" xfId="5179"/>
    <cellStyle name="Input 2 5 2 10" xfId="5180"/>
    <cellStyle name="Input 2 5 2 10 2" xfId="5181"/>
    <cellStyle name="Input 2 5 2 10 2 2" xfId="19883"/>
    <cellStyle name="Input 2 5 2 10 2 2 2" xfId="39951"/>
    <cellStyle name="Input 2 5 2 10 2 3" xfId="26413"/>
    <cellStyle name="Input 2 5 2 10 3" xfId="16929"/>
    <cellStyle name="Input 2 5 2 10 3 2" xfId="36997"/>
    <cellStyle name="Input 2 5 2 10 4" xfId="26412"/>
    <cellStyle name="Input 2 5 2 11" xfId="5182"/>
    <cellStyle name="Input 2 5 2 11 2" xfId="5183"/>
    <cellStyle name="Input 2 5 2 11 2 2" xfId="19884"/>
    <cellStyle name="Input 2 5 2 11 2 2 2" xfId="39952"/>
    <cellStyle name="Input 2 5 2 11 2 3" xfId="26415"/>
    <cellStyle name="Input 2 5 2 11 3" xfId="17064"/>
    <cellStyle name="Input 2 5 2 11 3 2" xfId="37132"/>
    <cellStyle name="Input 2 5 2 11 4" xfId="26414"/>
    <cellStyle name="Input 2 5 2 12" xfId="5184"/>
    <cellStyle name="Input 2 5 2 12 2" xfId="5185"/>
    <cellStyle name="Input 2 5 2 12 2 2" xfId="19885"/>
    <cellStyle name="Input 2 5 2 12 2 2 2" xfId="39953"/>
    <cellStyle name="Input 2 5 2 12 2 3" xfId="26417"/>
    <cellStyle name="Input 2 5 2 12 3" xfId="17236"/>
    <cellStyle name="Input 2 5 2 12 3 2" xfId="37304"/>
    <cellStyle name="Input 2 5 2 12 4" xfId="26416"/>
    <cellStyle name="Input 2 5 2 13" xfId="5186"/>
    <cellStyle name="Input 2 5 2 13 2" xfId="5187"/>
    <cellStyle name="Input 2 5 2 13 2 2" xfId="19886"/>
    <cellStyle name="Input 2 5 2 13 2 2 2" xfId="39954"/>
    <cellStyle name="Input 2 5 2 13 2 3" xfId="26419"/>
    <cellStyle name="Input 2 5 2 13 3" xfId="17406"/>
    <cellStyle name="Input 2 5 2 13 3 2" xfId="37474"/>
    <cellStyle name="Input 2 5 2 13 4" xfId="26418"/>
    <cellStyle name="Input 2 5 2 14" xfId="5188"/>
    <cellStyle name="Input 2 5 2 14 2" xfId="5189"/>
    <cellStyle name="Input 2 5 2 14 2 2" xfId="19887"/>
    <cellStyle name="Input 2 5 2 14 2 2 2" xfId="39955"/>
    <cellStyle name="Input 2 5 2 14 2 3" xfId="26421"/>
    <cellStyle name="Input 2 5 2 14 3" xfId="17534"/>
    <cellStyle name="Input 2 5 2 14 3 2" xfId="37602"/>
    <cellStyle name="Input 2 5 2 14 4" xfId="26420"/>
    <cellStyle name="Input 2 5 2 15" xfId="5190"/>
    <cellStyle name="Input 2 5 2 15 2" xfId="5191"/>
    <cellStyle name="Input 2 5 2 15 2 2" xfId="19888"/>
    <cellStyle name="Input 2 5 2 15 2 2 2" xfId="39956"/>
    <cellStyle name="Input 2 5 2 15 2 3" xfId="26423"/>
    <cellStyle name="Input 2 5 2 15 3" xfId="15400"/>
    <cellStyle name="Input 2 5 2 15 3 2" xfId="35468"/>
    <cellStyle name="Input 2 5 2 15 4" xfId="26422"/>
    <cellStyle name="Input 2 5 2 16" xfId="5192"/>
    <cellStyle name="Input 2 5 2 16 2" xfId="5193"/>
    <cellStyle name="Input 2 5 2 16 2 2" xfId="19889"/>
    <cellStyle name="Input 2 5 2 16 2 2 2" xfId="39957"/>
    <cellStyle name="Input 2 5 2 16 2 3" xfId="26425"/>
    <cellStyle name="Input 2 5 2 16 3" xfId="17785"/>
    <cellStyle name="Input 2 5 2 16 3 2" xfId="37853"/>
    <cellStyle name="Input 2 5 2 16 4" xfId="26424"/>
    <cellStyle name="Input 2 5 2 17" xfId="5194"/>
    <cellStyle name="Input 2 5 2 17 2" xfId="5195"/>
    <cellStyle name="Input 2 5 2 17 2 2" xfId="19890"/>
    <cellStyle name="Input 2 5 2 17 2 2 2" xfId="39958"/>
    <cellStyle name="Input 2 5 2 17 2 3" xfId="26427"/>
    <cellStyle name="Input 2 5 2 17 3" xfId="17914"/>
    <cellStyle name="Input 2 5 2 17 3 2" xfId="37982"/>
    <cellStyle name="Input 2 5 2 17 4" xfId="26426"/>
    <cellStyle name="Input 2 5 2 18" xfId="5196"/>
    <cellStyle name="Input 2 5 2 18 2" xfId="5197"/>
    <cellStyle name="Input 2 5 2 18 2 2" xfId="19891"/>
    <cellStyle name="Input 2 5 2 18 2 2 2" xfId="39959"/>
    <cellStyle name="Input 2 5 2 18 2 3" xfId="26429"/>
    <cellStyle name="Input 2 5 2 18 3" xfId="18064"/>
    <cellStyle name="Input 2 5 2 18 3 2" xfId="38132"/>
    <cellStyle name="Input 2 5 2 18 4" xfId="26428"/>
    <cellStyle name="Input 2 5 2 19" xfId="5198"/>
    <cellStyle name="Input 2 5 2 19 2" xfId="5199"/>
    <cellStyle name="Input 2 5 2 19 2 2" xfId="19892"/>
    <cellStyle name="Input 2 5 2 19 2 2 2" xfId="39960"/>
    <cellStyle name="Input 2 5 2 19 2 3" xfId="26431"/>
    <cellStyle name="Input 2 5 2 19 3" xfId="18181"/>
    <cellStyle name="Input 2 5 2 19 3 2" xfId="38249"/>
    <cellStyle name="Input 2 5 2 19 4" xfId="26430"/>
    <cellStyle name="Input 2 5 2 2" xfId="5200"/>
    <cellStyle name="Input 2 5 2 2 2" xfId="5201"/>
    <cellStyle name="Input 2 5 2 2 2 2" xfId="19893"/>
    <cellStyle name="Input 2 5 2 2 2 2 2" xfId="39961"/>
    <cellStyle name="Input 2 5 2 2 2 3" xfId="26433"/>
    <cellStyle name="Input 2 5 2 2 3" xfId="14650"/>
    <cellStyle name="Input 2 5 2 2 3 2" xfId="34718"/>
    <cellStyle name="Input 2 5 2 2 4" xfId="26432"/>
    <cellStyle name="Input 2 5 2 20" xfId="5202"/>
    <cellStyle name="Input 2 5 2 20 2" xfId="5203"/>
    <cellStyle name="Input 2 5 2 20 2 2" xfId="19894"/>
    <cellStyle name="Input 2 5 2 20 2 2 2" xfId="39962"/>
    <cellStyle name="Input 2 5 2 20 2 3" xfId="26435"/>
    <cellStyle name="Input 2 5 2 20 3" xfId="16061"/>
    <cellStyle name="Input 2 5 2 20 3 2" xfId="36129"/>
    <cellStyle name="Input 2 5 2 20 4" xfId="26434"/>
    <cellStyle name="Input 2 5 2 21" xfId="5204"/>
    <cellStyle name="Input 2 5 2 21 2" xfId="5205"/>
    <cellStyle name="Input 2 5 2 21 2 2" xfId="19895"/>
    <cellStyle name="Input 2 5 2 21 2 2 2" xfId="39963"/>
    <cellStyle name="Input 2 5 2 21 2 3" xfId="26437"/>
    <cellStyle name="Input 2 5 2 21 3" xfId="18376"/>
    <cellStyle name="Input 2 5 2 21 3 2" xfId="38444"/>
    <cellStyle name="Input 2 5 2 21 4" xfId="26436"/>
    <cellStyle name="Input 2 5 2 22" xfId="5206"/>
    <cellStyle name="Input 2 5 2 22 2" xfId="5207"/>
    <cellStyle name="Input 2 5 2 22 2 2" xfId="19896"/>
    <cellStyle name="Input 2 5 2 22 2 2 2" xfId="39964"/>
    <cellStyle name="Input 2 5 2 22 2 3" xfId="26439"/>
    <cellStyle name="Input 2 5 2 22 3" xfId="18520"/>
    <cellStyle name="Input 2 5 2 22 3 2" xfId="38588"/>
    <cellStyle name="Input 2 5 2 22 4" xfId="26438"/>
    <cellStyle name="Input 2 5 2 23" xfId="5208"/>
    <cellStyle name="Input 2 5 2 23 2" xfId="5209"/>
    <cellStyle name="Input 2 5 2 23 2 2" xfId="19897"/>
    <cellStyle name="Input 2 5 2 23 2 2 2" xfId="39965"/>
    <cellStyle name="Input 2 5 2 23 2 3" xfId="26441"/>
    <cellStyle name="Input 2 5 2 23 3" xfId="18631"/>
    <cellStyle name="Input 2 5 2 23 3 2" xfId="38699"/>
    <cellStyle name="Input 2 5 2 23 4" xfId="26440"/>
    <cellStyle name="Input 2 5 2 24" xfId="5210"/>
    <cellStyle name="Input 2 5 2 24 2" xfId="5211"/>
    <cellStyle name="Input 2 5 2 24 2 2" xfId="19898"/>
    <cellStyle name="Input 2 5 2 24 2 2 2" xfId="39966"/>
    <cellStyle name="Input 2 5 2 24 2 3" xfId="26443"/>
    <cellStyle name="Input 2 5 2 24 3" xfId="18731"/>
    <cellStyle name="Input 2 5 2 24 3 2" xfId="38799"/>
    <cellStyle name="Input 2 5 2 24 4" xfId="26442"/>
    <cellStyle name="Input 2 5 2 25" xfId="5212"/>
    <cellStyle name="Input 2 5 2 25 2" xfId="5213"/>
    <cellStyle name="Input 2 5 2 25 2 2" xfId="19899"/>
    <cellStyle name="Input 2 5 2 25 2 2 2" xfId="39967"/>
    <cellStyle name="Input 2 5 2 25 2 3" xfId="26445"/>
    <cellStyle name="Input 2 5 2 25 3" xfId="18831"/>
    <cellStyle name="Input 2 5 2 25 3 2" xfId="38899"/>
    <cellStyle name="Input 2 5 2 25 4" xfId="26444"/>
    <cellStyle name="Input 2 5 2 26" xfId="5214"/>
    <cellStyle name="Input 2 5 2 26 2" xfId="19882"/>
    <cellStyle name="Input 2 5 2 26 2 2" xfId="39950"/>
    <cellStyle name="Input 2 5 2 26 3" xfId="26446"/>
    <cellStyle name="Input 2 5 2 27" xfId="14284"/>
    <cellStyle name="Input 2 5 2 27 2" xfId="34352"/>
    <cellStyle name="Input 2 5 2 28" xfId="26411"/>
    <cellStyle name="Input 2 5 2 3" xfId="5215"/>
    <cellStyle name="Input 2 5 2 3 2" xfId="5216"/>
    <cellStyle name="Input 2 5 2 3 2 2" xfId="19900"/>
    <cellStyle name="Input 2 5 2 3 2 2 2" xfId="39968"/>
    <cellStyle name="Input 2 5 2 3 2 3" xfId="26448"/>
    <cellStyle name="Input 2 5 2 3 3" xfId="14769"/>
    <cellStyle name="Input 2 5 2 3 3 2" xfId="34837"/>
    <cellStyle name="Input 2 5 2 3 4" xfId="26447"/>
    <cellStyle name="Input 2 5 2 4" xfId="5217"/>
    <cellStyle name="Input 2 5 2 4 2" xfId="5218"/>
    <cellStyle name="Input 2 5 2 4 2 2" xfId="19901"/>
    <cellStyle name="Input 2 5 2 4 2 2 2" xfId="39969"/>
    <cellStyle name="Input 2 5 2 4 2 3" xfId="26450"/>
    <cellStyle name="Input 2 5 2 4 3" xfId="14888"/>
    <cellStyle name="Input 2 5 2 4 3 2" xfId="34956"/>
    <cellStyle name="Input 2 5 2 4 4" xfId="26449"/>
    <cellStyle name="Input 2 5 2 5" xfId="5219"/>
    <cellStyle name="Input 2 5 2 5 2" xfId="5220"/>
    <cellStyle name="Input 2 5 2 5 2 2" xfId="19902"/>
    <cellStyle name="Input 2 5 2 5 2 2 2" xfId="39970"/>
    <cellStyle name="Input 2 5 2 5 2 3" xfId="26452"/>
    <cellStyle name="Input 2 5 2 5 3" xfId="15057"/>
    <cellStyle name="Input 2 5 2 5 3 2" xfId="35125"/>
    <cellStyle name="Input 2 5 2 5 4" xfId="26451"/>
    <cellStyle name="Input 2 5 2 6" xfId="5221"/>
    <cellStyle name="Input 2 5 2 6 2" xfId="5222"/>
    <cellStyle name="Input 2 5 2 6 2 2" xfId="19903"/>
    <cellStyle name="Input 2 5 2 6 2 2 2" xfId="39971"/>
    <cellStyle name="Input 2 5 2 6 2 3" xfId="26454"/>
    <cellStyle name="Input 2 5 2 6 3" xfId="13990"/>
    <cellStyle name="Input 2 5 2 6 3 2" xfId="34058"/>
    <cellStyle name="Input 2 5 2 6 4" xfId="26453"/>
    <cellStyle name="Input 2 5 2 7" xfId="5223"/>
    <cellStyle name="Input 2 5 2 7 2" xfId="5224"/>
    <cellStyle name="Input 2 5 2 7 2 2" xfId="19904"/>
    <cellStyle name="Input 2 5 2 7 2 2 2" xfId="39972"/>
    <cellStyle name="Input 2 5 2 7 2 3" xfId="26456"/>
    <cellStyle name="Input 2 5 2 7 3" xfId="15200"/>
    <cellStyle name="Input 2 5 2 7 3 2" xfId="35268"/>
    <cellStyle name="Input 2 5 2 7 4" xfId="26455"/>
    <cellStyle name="Input 2 5 2 8" xfId="5225"/>
    <cellStyle name="Input 2 5 2 8 2" xfId="5226"/>
    <cellStyle name="Input 2 5 2 8 2 2" xfId="19905"/>
    <cellStyle name="Input 2 5 2 8 2 2 2" xfId="39973"/>
    <cellStyle name="Input 2 5 2 8 2 3" xfId="26458"/>
    <cellStyle name="Input 2 5 2 8 3" xfId="16554"/>
    <cellStyle name="Input 2 5 2 8 3 2" xfId="36622"/>
    <cellStyle name="Input 2 5 2 8 4" xfId="26457"/>
    <cellStyle name="Input 2 5 2 9" xfId="5227"/>
    <cellStyle name="Input 2 5 2 9 2" xfId="5228"/>
    <cellStyle name="Input 2 5 2 9 2 2" xfId="19906"/>
    <cellStyle name="Input 2 5 2 9 2 2 2" xfId="39974"/>
    <cellStyle name="Input 2 5 2 9 2 3" xfId="26460"/>
    <cellStyle name="Input 2 5 2 9 3" xfId="16758"/>
    <cellStyle name="Input 2 5 2 9 3 2" xfId="36826"/>
    <cellStyle name="Input 2 5 2 9 4" xfId="26459"/>
    <cellStyle name="Input 2 5 20" xfId="5229"/>
    <cellStyle name="Input 2 5 20 2" xfId="5230"/>
    <cellStyle name="Input 2 5 20 2 2" xfId="19907"/>
    <cellStyle name="Input 2 5 20 2 2 2" xfId="39975"/>
    <cellStyle name="Input 2 5 20 2 3" xfId="26462"/>
    <cellStyle name="Input 2 5 20 3" xfId="16876"/>
    <cellStyle name="Input 2 5 20 3 2" xfId="36944"/>
    <cellStyle name="Input 2 5 20 4" xfId="26461"/>
    <cellStyle name="Input 2 5 21" xfId="5231"/>
    <cellStyle name="Input 2 5 21 2" xfId="5232"/>
    <cellStyle name="Input 2 5 21 2 2" xfId="19908"/>
    <cellStyle name="Input 2 5 21 2 2 2" xfId="39976"/>
    <cellStyle name="Input 2 5 21 2 3" xfId="26464"/>
    <cellStyle name="Input 2 5 21 3" xfId="17752"/>
    <cellStyle name="Input 2 5 21 3 2" xfId="37820"/>
    <cellStyle name="Input 2 5 21 4" xfId="26463"/>
    <cellStyle name="Input 2 5 22" xfId="5233"/>
    <cellStyle name="Input 2 5 22 2" xfId="5234"/>
    <cellStyle name="Input 2 5 22 2 2" xfId="19909"/>
    <cellStyle name="Input 2 5 22 2 2 2" xfId="39977"/>
    <cellStyle name="Input 2 5 22 2 3" xfId="26466"/>
    <cellStyle name="Input 2 5 22 3" xfId="16028"/>
    <cellStyle name="Input 2 5 22 3 2" xfId="36096"/>
    <cellStyle name="Input 2 5 22 4" xfId="26465"/>
    <cellStyle name="Input 2 5 23" xfId="5235"/>
    <cellStyle name="Input 2 5 23 2" xfId="5236"/>
    <cellStyle name="Input 2 5 23 2 2" xfId="19910"/>
    <cellStyle name="Input 2 5 23 2 2 2" xfId="39978"/>
    <cellStyle name="Input 2 5 23 2 3" xfId="26468"/>
    <cellStyle name="Input 2 5 23 3" xfId="18268"/>
    <cellStyle name="Input 2 5 23 3 2" xfId="38336"/>
    <cellStyle name="Input 2 5 23 4" xfId="26467"/>
    <cellStyle name="Input 2 5 24" xfId="5237"/>
    <cellStyle name="Input 2 5 24 2" xfId="5238"/>
    <cellStyle name="Input 2 5 24 2 2" xfId="19911"/>
    <cellStyle name="Input 2 5 24 2 2 2" xfId="39979"/>
    <cellStyle name="Input 2 5 24 2 3" xfId="26470"/>
    <cellStyle name="Input 2 5 24 3" xfId="15390"/>
    <cellStyle name="Input 2 5 24 3 2" xfId="35458"/>
    <cellStyle name="Input 2 5 24 4" xfId="26469"/>
    <cellStyle name="Input 2 5 25" xfId="5239"/>
    <cellStyle name="Input 2 5 25 2" xfId="5240"/>
    <cellStyle name="Input 2 5 25 2 2" xfId="19912"/>
    <cellStyle name="Input 2 5 25 2 2 2" xfId="39980"/>
    <cellStyle name="Input 2 5 25 2 3" xfId="26472"/>
    <cellStyle name="Input 2 5 25 3" xfId="18032"/>
    <cellStyle name="Input 2 5 25 3 2" xfId="38100"/>
    <cellStyle name="Input 2 5 25 4" xfId="26471"/>
    <cellStyle name="Input 2 5 26" xfId="5241"/>
    <cellStyle name="Input 2 5 26 2" xfId="5242"/>
    <cellStyle name="Input 2 5 26 2 2" xfId="19913"/>
    <cellStyle name="Input 2 5 26 2 2 2" xfId="39981"/>
    <cellStyle name="Input 2 5 26 2 3" xfId="26474"/>
    <cellStyle name="Input 2 5 26 3" xfId="18350"/>
    <cellStyle name="Input 2 5 26 3 2" xfId="38418"/>
    <cellStyle name="Input 2 5 26 4" xfId="26473"/>
    <cellStyle name="Input 2 5 27" xfId="5243"/>
    <cellStyle name="Input 2 5 27 2" xfId="5244"/>
    <cellStyle name="Input 2 5 27 2 2" xfId="19914"/>
    <cellStyle name="Input 2 5 27 2 2 2" xfId="39982"/>
    <cellStyle name="Input 2 5 27 2 3" xfId="26476"/>
    <cellStyle name="Input 2 5 27 3" xfId="18495"/>
    <cellStyle name="Input 2 5 27 3 2" xfId="38563"/>
    <cellStyle name="Input 2 5 27 4" xfId="26475"/>
    <cellStyle name="Input 2 5 28" xfId="5245"/>
    <cellStyle name="Input 2 5 28 2" xfId="19871"/>
    <cellStyle name="Input 2 5 28 2 2" xfId="39939"/>
    <cellStyle name="Input 2 5 28 3" xfId="26477"/>
    <cellStyle name="Input 2 5 29" xfId="13870"/>
    <cellStyle name="Input 2 5 29 2" xfId="33938"/>
    <cellStyle name="Input 2 5 3" xfId="5246"/>
    <cellStyle name="Input 2 5 3 2" xfId="5247"/>
    <cellStyle name="Input 2 5 3 2 2" xfId="19915"/>
    <cellStyle name="Input 2 5 3 2 2 2" xfId="39983"/>
    <cellStyle name="Input 2 5 3 2 3" xfId="26479"/>
    <cellStyle name="Input 2 5 3 3" xfId="14207"/>
    <cellStyle name="Input 2 5 3 3 2" xfId="34275"/>
    <cellStyle name="Input 2 5 3 4" xfId="26478"/>
    <cellStyle name="Input 2 5 30" xfId="26390"/>
    <cellStyle name="Input 2 5 4" xfId="5248"/>
    <cellStyle name="Input 2 5 4 2" xfId="5249"/>
    <cellStyle name="Input 2 5 4 2 2" xfId="19916"/>
    <cellStyle name="Input 2 5 4 2 2 2" xfId="39984"/>
    <cellStyle name="Input 2 5 4 2 3" xfId="26481"/>
    <cellStyle name="Input 2 5 4 3" xfId="13984"/>
    <cellStyle name="Input 2 5 4 3 2" xfId="34052"/>
    <cellStyle name="Input 2 5 4 4" xfId="26480"/>
    <cellStyle name="Input 2 5 5" xfId="5250"/>
    <cellStyle name="Input 2 5 5 2" xfId="5251"/>
    <cellStyle name="Input 2 5 5 2 2" xfId="19917"/>
    <cellStyle name="Input 2 5 5 2 2 2" xfId="39985"/>
    <cellStyle name="Input 2 5 5 2 3" xfId="26483"/>
    <cellStyle name="Input 2 5 5 3" xfId="14551"/>
    <cellStyle name="Input 2 5 5 3 2" xfId="34619"/>
    <cellStyle name="Input 2 5 5 4" xfId="26482"/>
    <cellStyle name="Input 2 5 6" xfId="5252"/>
    <cellStyle name="Input 2 5 6 2" xfId="5253"/>
    <cellStyle name="Input 2 5 6 2 2" xfId="19918"/>
    <cellStyle name="Input 2 5 6 2 2 2" xfId="39986"/>
    <cellStyle name="Input 2 5 6 2 3" xfId="26485"/>
    <cellStyle name="Input 2 5 6 3" xfId="14092"/>
    <cellStyle name="Input 2 5 6 3 2" xfId="34160"/>
    <cellStyle name="Input 2 5 6 4" xfId="26484"/>
    <cellStyle name="Input 2 5 7" xfId="5254"/>
    <cellStyle name="Input 2 5 7 2" xfId="5255"/>
    <cellStyle name="Input 2 5 7 2 2" xfId="19919"/>
    <cellStyle name="Input 2 5 7 2 2 2" xfId="39987"/>
    <cellStyle name="Input 2 5 7 2 3" xfId="26487"/>
    <cellStyle name="Input 2 5 7 3" xfId="14626"/>
    <cellStyle name="Input 2 5 7 3 2" xfId="34694"/>
    <cellStyle name="Input 2 5 7 4" xfId="26486"/>
    <cellStyle name="Input 2 5 8" xfId="5256"/>
    <cellStyle name="Input 2 5 8 2" xfId="5257"/>
    <cellStyle name="Input 2 5 8 2 2" xfId="19920"/>
    <cellStyle name="Input 2 5 8 2 2 2" xfId="39988"/>
    <cellStyle name="Input 2 5 8 2 3" xfId="26489"/>
    <cellStyle name="Input 2 5 8 3" xfId="14372"/>
    <cellStyle name="Input 2 5 8 3 2" xfId="34440"/>
    <cellStyle name="Input 2 5 8 4" xfId="26488"/>
    <cellStyle name="Input 2 5 9" xfId="5258"/>
    <cellStyle name="Input 2 5 9 2" xfId="5259"/>
    <cellStyle name="Input 2 5 9 2 2" xfId="19921"/>
    <cellStyle name="Input 2 5 9 2 2 2" xfId="39989"/>
    <cellStyle name="Input 2 5 9 2 3" xfId="26491"/>
    <cellStyle name="Input 2 5 9 3" xfId="15276"/>
    <cellStyle name="Input 2 5 9 3 2" xfId="35344"/>
    <cellStyle name="Input 2 5 9 4" xfId="26490"/>
    <cellStyle name="Input 2 6" xfId="5260"/>
    <cellStyle name="Input 2 6 10" xfId="5261"/>
    <cellStyle name="Input 2 6 10 2" xfId="5262"/>
    <cellStyle name="Input 2 6 10 2 2" xfId="19923"/>
    <cellStyle name="Input 2 6 10 2 2 2" xfId="39991"/>
    <cellStyle name="Input 2 6 10 2 3" xfId="26494"/>
    <cellStyle name="Input 2 6 10 3" xfId="16925"/>
    <cellStyle name="Input 2 6 10 3 2" xfId="36993"/>
    <cellStyle name="Input 2 6 10 4" xfId="26493"/>
    <cellStyle name="Input 2 6 11" xfId="5263"/>
    <cellStyle name="Input 2 6 11 2" xfId="5264"/>
    <cellStyle name="Input 2 6 11 2 2" xfId="19924"/>
    <cellStyle name="Input 2 6 11 2 2 2" xfId="39992"/>
    <cellStyle name="Input 2 6 11 2 3" xfId="26496"/>
    <cellStyle name="Input 2 6 11 3" xfId="17060"/>
    <cellStyle name="Input 2 6 11 3 2" xfId="37128"/>
    <cellStyle name="Input 2 6 11 4" xfId="26495"/>
    <cellStyle name="Input 2 6 12" xfId="5265"/>
    <cellStyle name="Input 2 6 12 2" xfId="5266"/>
    <cellStyle name="Input 2 6 12 2 2" xfId="19925"/>
    <cellStyle name="Input 2 6 12 2 2 2" xfId="39993"/>
    <cellStyle name="Input 2 6 12 2 3" xfId="26498"/>
    <cellStyle name="Input 2 6 12 3" xfId="17232"/>
    <cellStyle name="Input 2 6 12 3 2" xfId="37300"/>
    <cellStyle name="Input 2 6 12 4" xfId="26497"/>
    <cellStyle name="Input 2 6 13" xfId="5267"/>
    <cellStyle name="Input 2 6 13 2" xfId="5268"/>
    <cellStyle name="Input 2 6 13 2 2" xfId="19926"/>
    <cellStyle name="Input 2 6 13 2 2 2" xfId="39994"/>
    <cellStyle name="Input 2 6 13 2 3" xfId="26500"/>
    <cellStyle name="Input 2 6 13 3" xfId="17402"/>
    <cellStyle name="Input 2 6 13 3 2" xfId="37470"/>
    <cellStyle name="Input 2 6 13 4" xfId="26499"/>
    <cellStyle name="Input 2 6 14" xfId="5269"/>
    <cellStyle name="Input 2 6 14 2" xfId="5270"/>
    <cellStyle name="Input 2 6 14 2 2" xfId="19927"/>
    <cellStyle name="Input 2 6 14 2 2 2" xfId="39995"/>
    <cellStyle name="Input 2 6 14 2 3" xfId="26502"/>
    <cellStyle name="Input 2 6 14 3" xfId="17530"/>
    <cellStyle name="Input 2 6 14 3 2" xfId="37598"/>
    <cellStyle name="Input 2 6 14 4" xfId="26501"/>
    <cellStyle name="Input 2 6 15" xfId="5271"/>
    <cellStyle name="Input 2 6 15 2" xfId="5272"/>
    <cellStyle name="Input 2 6 15 2 2" xfId="19928"/>
    <cellStyle name="Input 2 6 15 2 2 2" xfId="39996"/>
    <cellStyle name="Input 2 6 15 2 3" xfId="26504"/>
    <cellStyle name="Input 2 6 15 3" xfId="17633"/>
    <cellStyle name="Input 2 6 15 3 2" xfId="37701"/>
    <cellStyle name="Input 2 6 15 4" xfId="26503"/>
    <cellStyle name="Input 2 6 16" xfId="5273"/>
    <cellStyle name="Input 2 6 16 2" xfId="5274"/>
    <cellStyle name="Input 2 6 16 2 2" xfId="19929"/>
    <cellStyle name="Input 2 6 16 2 2 2" xfId="39997"/>
    <cellStyle name="Input 2 6 16 2 3" xfId="26506"/>
    <cellStyle name="Input 2 6 16 3" xfId="17781"/>
    <cellStyle name="Input 2 6 16 3 2" xfId="37849"/>
    <cellStyle name="Input 2 6 16 4" xfId="26505"/>
    <cellStyle name="Input 2 6 17" xfId="5275"/>
    <cellStyle name="Input 2 6 17 2" xfId="5276"/>
    <cellStyle name="Input 2 6 17 2 2" xfId="19930"/>
    <cellStyle name="Input 2 6 17 2 2 2" xfId="39998"/>
    <cellStyle name="Input 2 6 17 2 3" xfId="26508"/>
    <cellStyle name="Input 2 6 17 3" xfId="17910"/>
    <cellStyle name="Input 2 6 17 3 2" xfId="37978"/>
    <cellStyle name="Input 2 6 17 4" xfId="26507"/>
    <cellStyle name="Input 2 6 18" xfId="5277"/>
    <cellStyle name="Input 2 6 18 2" xfId="5278"/>
    <cellStyle name="Input 2 6 18 2 2" xfId="19931"/>
    <cellStyle name="Input 2 6 18 2 2 2" xfId="39999"/>
    <cellStyle name="Input 2 6 18 2 3" xfId="26510"/>
    <cellStyle name="Input 2 6 18 3" xfId="18060"/>
    <cellStyle name="Input 2 6 18 3 2" xfId="38128"/>
    <cellStyle name="Input 2 6 18 4" xfId="26509"/>
    <cellStyle name="Input 2 6 19" xfId="5279"/>
    <cellStyle name="Input 2 6 19 2" xfId="5280"/>
    <cellStyle name="Input 2 6 19 2 2" xfId="19932"/>
    <cellStyle name="Input 2 6 19 2 2 2" xfId="40000"/>
    <cellStyle name="Input 2 6 19 2 3" xfId="26512"/>
    <cellStyle name="Input 2 6 19 3" xfId="18177"/>
    <cellStyle name="Input 2 6 19 3 2" xfId="38245"/>
    <cellStyle name="Input 2 6 19 4" xfId="26511"/>
    <cellStyle name="Input 2 6 2" xfId="5281"/>
    <cellStyle name="Input 2 6 2 2" xfId="5282"/>
    <cellStyle name="Input 2 6 2 2 2" xfId="19933"/>
    <cellStyle name="Input 2 6 2 2 2 2" xfId="40001"/>
    <cellStyle name="Input 2 6 2 2 3" xfId="26514"/>
    <cellStyle name="Input 2 6 2 3" xfId="14646"/>
    <cellStyle name="Input 2 6 2 3 2" xfId="34714"/>
    <cellStyle name="Input 2 6 2 4" xfId="26513"/>
    <cellStyle name="Input 2 6 20" xfId="5283"/>
    <cellStyle name="Input 2 6 20 2" xfId="5284"/>
    <cellStyle name="Input 2 6 20 2 2" xfId="19934"/>
    <cellStyle name="Input 2 6 20 2 2 2" xfId="40002"/>
    <cellStyle name="Input 2 6 20 2 3" xfId="26516"/>
    <cellStyle name="Input 2 6 20 3" xfId="15742"/>
    <cellStyle name="Input 2 6 20 3 2" xfId="35810"/>
    <cellStyle name="Input 2 6 20 4" xfId="26515"/>
    <cellStyle name="Input 2 6 21" xfId="5285"/>
    <cellStyle name="Input 2 6 21 2" xfId="5286"/>
    <cellStyle name="Input 2 6 21 2 2" xfId="19935"/>
    <cellStyle name="Input 2 6 21 2 2 2" xfId="40003"/>
    <cellStyle name="Input 2 6 21 2 3" xfId="26518"/>
    <cellStyle name="Input 2 6 21 3" xfId="18372"/>
    <cellStyle name="Input 2 6 21 3 2" xfId="38440"/>
    <cellStyle name="Input 2 6 21 4" xfId="26517"/>
    <cellStyle name="Input 2 6 22" xfId="5287"/>
    <cellStyle name="Input 2 6 22 2" xfId="5288"/>
    <cellStyle name="Input 2 6 22 2 2" xfId="19936"/>
    <cellStyle name="Input 2 6 22 2 2 2" xfId="40004"/>
    <cellStyle name="Input 2 6 22 2 3" xfId="26520"/>
    <cellStyle name="Input 2 6 22 3" xfId="18516"/>
    <cellStyle name="Input 2 6 22 3 2" xfId="38584"/>
    <cellStyle name="Input 2 6 22 4" xfId="26519"/>
    <cellStyle name="Input 2 6 23" xfId="5289"/>
    <cellStyle name="Input 2 6 23 2" xfId="5290"/>
    <cellStyle name="Input 2 6 23 2 2" xfId="19937"/>
    <cellStyle name="Input 2 6 23 2 2 2" xfId="40005"/>
    <cellStyle name="Input 2 6 23 2 3" xfId="26522"/>
    <cellStyle name="Input 2 6 23 3" xfId="18627"/>
    <cellStyle name="Input 2 6 23 3 2" xfId="38695"/>
    <cellStyle name="Input 2 6 23 4" xfId="26521"/>
    <cellStyle name="Input 2 6 24" xfId="5291"/>
    <cellStyle name="Input 2 6 24 2" xfId="5292"/>
    <cellStyle name="Input 2 6 24 2 2" xfId="19938"/>
    <cellStyle name="Input 2 6 24 2 2 2" xfId="40006"/>
    <cellStyle name="Input 2 6 24 2 3" xfId="26524"/>
    <cellStyle name="Input 2 6 24 3" xfId="18727"/>
    <cellStyle name="Input 2 6 24 3 2" xfId="38795"/>
    <cellStyle name="Input 2 6 24 4" xfId="26523"/>
    <cellStyle name="Input 2 6 25" xfId="5293"/>
    <cellStyle name="Input 2 6 25 2" xfId="5294"/>
    <cellStyle name="Input 2 6 25 2 2" xfId="19939"/>
    <cellStyle name="Input 2 6 25 2 2 2" xfId="40007"/>
    <cellStyle name="Input 2 6 25 2 3" xfId="26526"/>
    <cellStyle name="Input 2 6 25 3" xfId="18827"/>
    <cellStyle name="Input 2 6 25 3 2" xfId="38895"/>
    <cellStyle name="Input 2 6 25 4" xfId="26525"/>
    <cellStyle name="Input 2 6 26" xfId="5295"/>
    <cellStyle name="Input 2 6 26 2" xfId="19922"/>
    <cellStyle name="Input 2 6 26 2 2" xfId="39990"/>
    <cellStyle name="Input 2 6 26 3" xfId="26527"/>
    <cellStyle name="Input 2 6 27" xfId="14015"/>
    <cellStyle name="Input 2 6 27 2" xfId="34083"/>
    <cellStyle name="Input 2 6 28" xfId="26492"/>
    <cellStyle name="Input 2 6 3" xfId="5296"/>
    <cellStyle name="Input 2 6 3 2" xfId="5297"/>
    <cellStyle name="Input 2 6 3 2 2" xfId="19940"/>
    <cellStyle name="Input 2 6 3 2 2 2" xfId="40008"/>
    <cellStyle name="Input 2 6 3 2 3" xfId="26529"/>
    <cellStyle name="Input 2 6 3 3" xfId="14765"/>
    <cellStyle name="Input 2 6 3 3 2" xfId="34833"/>
    <cellStyle name="Input 2 6 3 4" xfId="26528"/>
    <cellStyle name="Input 2 6 4" xfId="5298"/>
    <cellStyle name="Input 2 6 4 2" xfId="5299"/>
    <cellStyle name="Input 2 6 4 2 2" xfId="19941"/>
    <cellStyle name="Input 2 6 4 2 2 2" xfId="40009"/>
    <cellStyle name="Input 2 6 4 2 3" xfId="26531"/>
    <cellStyle name="Input 2 6 4 3" xfId="14884"/>
    <cellStyle name="Input 2 6 4 3 2" xfId="34952"/>
    <cellStyle name="Input 2 6 4 4" xfId="26530"/>
    <cellStyle name="Input 2 6 5" xfId="5300"/>
    <cellStyle name="Input 2 6 5 2" xfId="5301"/>
    <cellStyle name="Input 2 6 5 2 2" xfId="19942"/>
    <cellStyle name="Input 2 6 5 2 2 2" xfId="40010"/>
    <cellStyle name="Input 2 6 5 2 3" xfId="26533"/>
    <cellStyle name="Input 2 6 5 3" xfId="15053"/>
    <cellStyle name="Input 2 6 5 3 2" xfId="35121"/>
    <cellStyle name="Input 2 6 5 4" xfId="26532"/>
    <cellStyle name="Input 2 6 6" xfId="5302"/>
    <cellStyle name="Input 2 6 6 2" xfId="5303"/>
    <cellStyle name="Input 2 6 6 2 2" xfId="19943"/>
    <cellStyle name="Input 2 6 6 2 2 2" xfId="40011"/>
    <cellStyle name="Input 2 6 6 2 3" xfId="26535"/>
    <cellStyle name="Input 2 6 6 3" xfId="14165"/>
    <cellStyle name="Input 2 6 6 3 2" xfId="34233"/>
    <cellStyle name="Input 2 6 6 4" xfId="26534"/>
    <cellStyle name="Input 2 6 7" xfId="5304"/>
    <cellStyle name="Input 2 6 7 2" xfId="5305"/>
    <cellStyle name="Input 2 6 7 2 2" xfId="19944"/>
    <cellStyle name="Input 2 6 7 2 2 2" xfId="40012"/>
    <cellStyle name="Input 2 6 7 2 3" xfId="26537"/>
    <cellStyle name="Input 2 6 7 3" xfId="15196"/>
    <cellStyle name="Input 2 6 7 3 2" xfId="35264"/>
    <cellStyle name="Input 2 6 7 4" xfId="26536"/>
    <cellStyle name="Input 2 6 8" xfId="5306"/>
    <cellStyle name="Input 2 6 8 2" xfId="5307"/>
    <cellStyle name="Input 2 6 8 2 2" xfId="19945"/>
    <cellStyle name="Input 2 6 8 2 2 2" xfId="40013"/>
    <cellStyle name="Input 2 6 8 2 3" xfId="26539"/>
    <cellStyle name="Input 2 6 8 3" xfId="16550"/>
    <cellStyle name="Input 2 6 8 3 2" xfId="36618"/>
    <cellStyle name="Input 2 6 8 4" xfId="26538"/>
    <cellStyle name="Input 2 6 9" xfId="5308"/>
    <cellStyle name="Input 2 6 9 2" xfId="5309"/>
    <cellStyle name="Input 2 6 9 2 2" xfId="19946"/>
    <cellStyle name="Input 2 6 9 2 2 2" xfId="40014"/>
    <cellStyle name="Input 2 6 9 2 3" xfId="26541"/>
    <cellStyle name="Input 2 6 9 3" xfId="16754"/>
    <cellStyle name="Input 2 6 9 3 2" xfId="36822"/>
    <cellStyle name="Input 2 6 9 4" xfId="26540"/>
    <cellStyle name="Input 2 7" xfId="5310"/>
    <cellStyle name="Input 2 7 2" xfId="5311"/>
    <cellStyle name="Input 2 7 2 2" xfId="19947"/>
    <cellStyle name="Input 2 7 2 2 2" xfId="40015"/>
    <cellStyle name="Input 2 7 2 3" xfId="26543"/>
    <cellStyle name="Input 2 7 3" xfId="14523"/>
    <cellStyle name="Input 2 7 3 2" xfId="34591"/>
    <cellStyle name="Input 2 7 4" xfId="26542"/>
    <cellStyle name="Input 2 8" xfId="5312"/>
    <cellStyle name="Input 2 8 2" xfId="5313"/>
    <cellStyle name="Input 2 8 2 2" xfId="19948"/>
    <cellStyle name="Input 2 8 2 2 2" xfId="40016"/>
    <cellStyle name="Input 2 8 2 3" xfId="26545"/>
    <cellStyle name="Input 2 8 3" xfId="14345"/>
    <cellStyle name="Input 2 8 3 2" xfId="34413"/>
    <cellStyle name="Input 2 8 4" xfId="26544"/>
    <cellStyle name="Input 2 9" xfId="5314"/>
    <cellStyle name="Input 2 9 2" xfId="5315"/>
    <cellStyle name="Input 2 9 2 2" xfId="19949"/>
    <cellStyle name="Input 2 9 2 2 2" xfId="40017"/>
    <cellStyle name="Input 2 9 2 3" xfId="26547"/>
    <cellStyle name="Input 2 9 3" xfId="14407"/>
    <cellStyle name="Input 2 9 3 2" xfId="34475"/>
    <cellStyle name="Input 2 9 4" xfId="26546"/>
    <cellStyle name="Input 2_2011-2012" xfId="5316"/>
    <cellStyle name="Input 3" xfId="5317"/>
    <cellStyle name="Input 3 10" xfId="5318"/>
    <cellStyle name="Input 3 10 2" xfId="5319"/>
    <cellStyle name="Input 3 10 2 2" xfId="19951"/>
    <cellStyle name="Input 3 10 2 2 2" xfId="40019"/>
    <cellStyle name="Input 3 10 2 3" xfId="26550"/>
    <cellStyle name="Input 3 10 3" xfId="14499"/>
    <cellStyle name="Input 3 10 3 2" xfId="34567"/>
    <cellStyle name="Input 3 10 4" xfId="26549"/>
    <cellStyle name="Input 3 11" xfId="5320"/>
    <cellStyle name="Input 3 11 2" xfId="5321"/>
    <cellStyle name="Input 3 11 2 2" xfId="19952"/>
    <cellStyle name="Input 3 11 2 2 2" xfId="40020"/>
    <cellStyle name="Input 3 11 2 3" xfId="26552"/>
    <cellStyle name="Input 3 11 3" xfId="15277"/>
    <cellStyle name="Input 3 11 3 2" xfId="35345"/>
    <cellStyle name="Input 3 11 4" xfId="26551"/>
    <cellStyle name="Input 3 12" xfId="5322"/>
    <cellStyle name="Input 3 12 2" xfId="5323"/>
    <cellStyle name="Input 3 12 2 2" xfId="19953"/>
    <cellStyle name="Input 3 12 2 2 2" xfId="40021"/>
    <cellStyle name="Input 3 12 2 3" xfId="26554"/>
    <cellStyle name="Input 3 12 3" xfId="16374"/>
    <cellStyle name="Input 3 12 3 2" xfId="36442"/>
    <cellStyle name="Input 3 12 4" xfId="26553"/>
    <cellStyle name="Input 3 13" xfId="5324"/>
    <cellStyle name="Input 3 13 2" xfId="5325"/>
    <cellStyle name="Input 3 13 2 2" xfId="19954"/>
    <cellStyle name="Input 3 13 2 2 2" xfId="40022"/>
    <cellStyle name="Input 3 13 2 3" xfId="26556"/>
    <cellStyle name="Input 3 13 3" xfId="15836"/>
    <cellStyle name="Input 3 13 3 2" xfId="35904"/>
    <cellStyle name="Input 3 13 4" xfId="26555"/>
    <cellStyle name="Input 3 14" xfId="5326"/>
    <cellStyle name="Input 3 14 2" xfId="5327"/>
    <cellStyle name="Input 3 14 2 2" xfId="19955"/>
    <cellStyle name="Input 3 14 2 2 2" xfId="40023"/>
    <cellStyle name="Input 3 14 2 3" xfId="26558"/>
    <cellStyle name="Input 3 14 3" xfId="15978"/>
    <cellStyle name="Input 3 14 3 2" xfId="36046"/>
    <cellStyle name="Input 3 14 4" xfId="26557"/>
    <cellStyle name="Input 3 15" xfId="5328"/>
    <cellStyle name="Input 3 15 2" xfId="5329"/>
    <cellStyle name="Input 3 15 2 2" xfId="19956"/>
    <cellStyle name="Input 3 15 2 2 2" xfId="40024"/>
    <cellStyle name="Input 3 15 2 3" xfId="26560"/>
    <cellStyle name="Input 3 15 3" xfId="16026"/>
    <cellStyle name="Input 3 15 3 2" xfId="36094"/>
    <cellStyle name="Input 3 15 4" xfId="26559"/>
    <cellStyle name="Input 3 16" xfId="5330"/>
    <cellStyle name="Input 3 16 2" xfId="5331"/>
    <cellStyle name="Input 3 16 2 2" xfId="19957"/>
    <cellStyle name="Input 3 16 2 2 2" xfId="40025"/>
    <cellStyle name="Input 3 16 2 3" xfId="26562"/>
    <cellStyle name="Input 3 16 3" xfId="16099"/>
    <cellStyle name="Input 3 16 3 2" xfId="36167"/>
    <cellStyle name="Input 3 16 4" xfId="26561"/>
    <cellStyle name="Input 3 17" xfId="5332"/>
    <cellStyle name="Input 3 17 2" xfId="5333"/>
    <cellStyle name="Input 3 17 2 2" xfId="19958"/>
    <cellStyle name="Input 3 17 2 2 2" xfId="40026"/>
    <cellStyle name="Input 3 17 2 3" xfId="26564"/>
    <cellStyle name="Input 3 17 3" xfId="15912"/>
    <cellStyle name="Input 3 17 3 2" xfId="35980"/>
    <cellStyle name="Input 3 17 4" xfId="26563"/>
    <cellStyle name="Input 3 18" xfId="5334"/>
    <cellStyle name="Input 3 18 2" xfId="5335"/>
    <cellStyle name="Input 3 18 2 2" xfId="19959"/>
    <cellStyle name="Input 3 18 2 2 2" xfId="40027"/>
    <cellStyle name="Input 3 18 2 3" xfId="26566"/>
    <cellStyle name="Input 3 18 3" xfId="15641"/>
    <cellStyle name="Input 3 18 3 2" xfId="35709"/>
    <cellStyle name="Input 3 18 4" xfId="26565"/>
    <cellStyle name="Input 3 19" xfId="5336"/>
    <cellStyle name="Input 3 19 2" xfId="5337"/>
    <cellStyle name="Input 3 19 2 2" xfId="19960"/>
    <cellStyle name="Input 3 19 2 2 2" xfId="40028"/>
    <cellStyle name="Input 3 19 2 3" xfId="26568"/>
    <cellStyle name="Input 3 19 3" xfId="16052"/>
    <cellStyle name="Input 3 19 3 2" xfId="36120"/>
    <cellStyle name="Input 3 19 4" xfId="26567"/>
    <cellStyle name="Input 3 2" xfId="5338"/>
    <cellStyle name="Input 3 2 10" xfId="5339"/>
    <cellStyle name="Input 3 2 10 2" xfId="5340"/>
    <cellStyle name="Input 3 2 10 2 2" xfId="19962"/>
    <cellStyle name="Input 3 2 10 2 2 2" xfId="40030"/>
    <cellStyle name="Input 3 2 10 2 3" xfId="26571"/>
    <cellStyle name="Input 3 2 10 3" xfId="16375"/>
    <cellStyle name="Input 3 2 10 3 2" xfId="36443"/>
    <cellStyle name="Input 3 2 10 4" xfId="26570"/>
    <cellStyle name="Input 3 2 11" xfId="5341"/>
    <cellStyle name="Input 3 2 11 2" xfId="5342"/>
    <cellStyle name="Input 3 2 11 2 2" xfId="19963"/>
    <cellStyle name="Input 3 2 11 2 2 2" xfId="40031"/>
    <cellStyle name="Input 3 2 11 2 3" xfId="26573"/>
    <cellStyle name="Input 3 2 11 3" xfId="15410"/>
    <cellStyle name="Input 3 2 11 3 2" xfId="35478"/>
    <cellStyle name="Input 3 2 11 4" xfId="26572"/>
    <cellStyle name="Input 3 2 12" xfId="5343"/>
    <cellStyle name="Input 3 2 12 2" xfId="5344"/>
    <cellStyle name="Input 3 2 12 2 2" xfId="19964"/>
    <cellStyle name="Input 3 2 12 2 2 2" xfId="40032"/>
    <cellStyle name="Input 3 2 12 2 3" xfId="26575"/>
    <cellStyle name="Input 3 2 12 3" xfId="15521"/>
    <cellStyle name="Input 3 2 12 3 2" xfId="35589"/>
    <cellStyle name="Input 3 2 12 4" xfId="26574"/>
    <cellStyle name="Input 3 2 13" xfId="5345"/>
    <cellStyle name="Input 3 2 13 2" xfId="5346"/>
    <cellStyle name="Input 3 2 13 2 2" xfId="19965"/>
    <cellStyle name="Input 3 2 13 2 2 2" xfId="40033"/>
    <cellStyle name="Input 3 2 13 2 3" xfId="26577"/>
    <cellStyle name="Input 3 2 13 3" xfId="15569"/>
    <cellStyle name="Input 3 2 13 3 2" xfId="35637"/>
    <cellStyle name="Input 3 2 13 4" xfId="26576"/>
    <cellStyle name="Input 3 2 14" xfId="5347"/>
    <cellStyle name="Input 3 2 14 2" xfId="5348"/>
    <cellStyle name="Input 3 2 14 2 2" xfId="19966"/>
    <cellStyle name="Input 3 2 14 2 2 2" xfId="40034"/>
    <cellStyle name="Input 3 2 14 2 3" xfId="26579"/>
    <cellStyle name="Input 3 2 14 3" xfId="16364"/>
    <cellStyle name="Input 3 2 14 3 2" xfId="36432"/>
    <cellStyle name="Input 3 2 14 4" xfId="26578"/>
    <cellStyle name="Input 3 2 15" xfId="5349"/>
    <cellStyle name="Input 3 2 15 2" xfId="5350"/>
    <cellStyle name="Input 3 2 15 2 2" xfId="19967"/>
    <cellStyle name="Input 3 2 15 2 2 2" xfId="40035"/>
    <cellStyle name="Input 3 2 15 2 3" xfId="26581"/>
    <cellStyle name="Input 3 2 15 3" xfId="16893"/>
    <cellStyle name="Input 3 2 15 3 2" xfId="36961"/>
    <cellStyle name="Input 3 2 15 4" xfId="26580"/>
    <cellStyle name="Input 3 2 16" xfId="5351"/>
    <cellStyle name="Input 3 2 16 2" xfId="5352"/>
    <cellStyle name="Input 3 2 16 2 2" xfId="19968"/>
    <cellStyle name="Input 3 2 16 2 2 2" xfId="40036"/>
    <cellStyle name="Input 3 2 16 2 3" xfId="26583"/>
    <cellStyle name="Input 3 2 16 3" xfId="15906"/>
    <cellStyle name="Input 3 2 16 3 2" xfId="35974"/>
    <cellStyle name="Input 3 2 16 4" xfId="26582"/>
    <cellStyle name="Input 3 2 17" xfId="5353"/>
    <cellStyle name="Input 3 2 17 2" xfId="5354"/>
    <cellStyle name="Input 3 2 17 2 2" xfId="19969"/>
    <cellStyle name="Input 3 2 17 2 2 2" xfId="40037"/>
    <cellStyle name="Input 3 2 17 2 3" xfId="26585"/>
    <cellStyle name="Input 3 2 17 3" xfId="15664"/>
    <cellStyle name="Input 3 2 17 3 2" xfId="35732"/>
    <cellStyle name="Input 3 2 17 4" xfId="26584"/>
    <cellStyle name="Input 3 2 18" xfId="5355"/>
    <cellStyle name="Input 3 2 18 2" xfId="5356"/>
    <cellStyle name="Input 3 2 18 2 2" xfId="19970"/>
    <cellStyle name="Input 3 2 18 2 2 2" xfId="40038"/>
    <cellStyle name="Input 3 2 18 2 3" xfId="26587"/>
    <cellStyle name="Input 3 2 18 3" xfId="17486"/>
    <cellStyle name="Input 3 2 18 3 2" xfId="37554"/>
    <cellStyle name="Input 3 2 18 4" xfId="26586"/>
    <cellStyle name="Input 3 2 19" xfId="5357"/>
    <cellStyle name="Input 3 2 19 2" xfId="5358"/>
    <cellStyle name="Input 3 2 19 2 2" xfId="19971"/>
    <cellStyle name="Input 3 2 19 2 2 2" xfId="40039"/>
    <cellStyle name="Input 3 2 19 2 3" xfId="26589"/>
    <cellStyle name="Input 3 2 19 3" xfId="16166"/>
    <cellStyle name="Input 3 2 19 3 2" xfId="36234"/>
    <cellStyle name="Input 3 2 19 4" xfId="26588"/>
    <cellStyle name="Input 3 2 2" xfId="5359"/>
    <cellStyle name="Input 3 2 2 10" xfId="5360"/>
    <cellStyle name="Input 3 2 2 10 2" xfId="5361"/>
    <cellStyle name="Input 3 2 2 10 2 2" xfId="19973"/>
    <cellStyle name="Input 3 2 2 10 2 2 2" xfId="40041"/>
    <cellStyle name="Input 3 2 2 10 2 3" xfId="26592"/>
    <cellStyle name="Input 3 2 2 10 3" xfId="16931"/>
    <cellStyle name="Input 3 2 2 10 3 2" xfId="36999"/>
    <cellStyle name="Input 3 2 2 10 4" xfId="26591"/>
    <cellStyle name="Input 3 2 2 11" xfId="5362"/>
    <cellStyle name="Input 3 2 2 11 2" xfId="5363"/>
    <cellStyle name="Input 3 2 2 11 2 2" xfId="19974"/>
    <cellStyle name="Input 3 2 2 11 2 2 2" xfId="40042"/>
    <cellStyle name="Input 3 2 2 11 2 3" xfId="26594"/>
    <cellStyle name="Input 3 2 2 11 3" xfId="17066"/>
    <cellStyle name="Input 3 2 2 11 3 2" xfId="37134"/>
    <cellStyle name="Input 3 2 2 11 4" xfId="26593"/>
    <cellStyle name="Input 3 2 2 12" xfId="5364"/>
    <cellStyle name="Input 3 2 2 12 2" xfId="5365"/>
    <cellStyle name="Input 3 2 2 12 2 2" xfId="19975"/>
    <cellStyle name="Input 3 2 2 12 2 2 2" xfId="40043"/>
    <cellStyle name="Input 3 2 2 12 2 3" xfId="26596"/>
    <cellStyle name="Input 3 2 2 12 3" xfId="17238"/>
    <cellStyle name="Input 3 2 2 12 3 2" xfId="37306"/>
    <cellStyle name="Input 3 2 2 12 4" xfId="26595"/>
    <cellStyle name="Input 3 2 2 13" xfId="5366"/>
    <cellStyle name="Input 3 2 2 13 2" xfId="5367"/>
    <cellStyle name="Input 3 2 2 13 2 2" xfId="19976"/>
    <cellStyle name="Input 3 2 2 13 2 2 2" xfId="40044"/>
    <cellStyle name="Input 3 2 2 13 2 3" xfId="26598"/>
    <cellStyle name="Input 3 2 2 13 3" xfId="17408"/>
    <cellStyle name="Input 3 2 2 13 3 2" xfId="37476"/>
    <cellStyle name="Input 3 2 2 13 4" xfId="26597"/>
    <cellStyle name="Input 3 2 2 14" xfId="5368"/>
    <cellStyle name="Input 3 2 2 14 2" xfId="5369"/>
    <cellStyle name="Input 3 2 2 14 2 2" xfId="19977"/>
    <cellStyle name="Input 3 2 2 14 2 2 2" xfId="40045"/>
    <cellStyle name="Input 3 2 2 14 2 3" xfId="26600"/>
    <cellStyle name="Input 3 2 2 14 3" xfId="17536"/>
    <cellStyle name="Input 3 2 2 14 3 2" xfId="37604"/>
    <cellStyle name="Input 3 2 2 14 4" xfId="26599"/>
    <cellStyle name="Input 3 2 2 15" xfId="5370"/>
    <cellStyle name="Input 3 2 2 15 2" xfId="5371"/>
    <cellStyle name="Input 3 2 2 15 2 2" xfId="19978"/>
    <cellStyle name="Input 3 2 2 15 2 2 2" xfId="40046"/>
    <cellStyle name="Input 3 2 2 15 2 3" xfId="26602"/>
    <cellStyle name="Input 3 2 2 15 3" xfId="16877"/>
    <cellStyle name="Input 3 2 2 15 3 2" xfId="36945"/>
    <cellStyle name="Input 3 2 2 15 4" xfId="26601"/>
    <cellStyle name="Input 3 2 2 16" xfId="5372"/>
    <cellStyle name="Input 3 2 2 16 2" xfId="5373"/>
    <cellStyle name="Input 3 2 2 16 2 2" xfId="19979"/>
    <cellStyle name="Input 3 2 2 16 2 2 2" xfId="40047"/>
    <cellStyle name="Input 3 2 2 16 2 3" xfId="26604"/>
    <cellStyle name="Input 3 2 2 16 3" xfId="17787"/>
    <cellStyle name="Input 3 2 2 16 3 2" xfId="37855"/>
    <cellStyle name="Input 3 2 2 16 4" xfId="26603"/>
    <cellStyle name="Input 3 2 2 17" xfId="5374"/>
    <cellStyle name="Input 3 2 2 17 2" xfId="5375"/>
    <cellStyle name="Input 3 2 2 17 2 2" xfId="19980"/>
    <cellStyle name="Input 3 2 2 17 2 2 2" xfId="40048"/>
    <cellStyle name="Input 3 2 2 17 2 3" xfId="26606"/>
    <cellStyle name="Input 3 2 2 17 3" xfId="17916"/>
    <cellStyle name="Input 3 2 2 17 3 2" xfId="37984"/>
    <cellStyle name="Input 3 2 2 17 4" xfId="26605"/>
    <cellStyle name="Input 3 2 2 18" xfId="5376"/>
    <cellStyle name="Input 3 2 2 18 2" xfId="5377"/>
    <cellStyle name="Input 3 2 2 18 2 2" xfId="19981"/>
    <cellStyle name="Input 3 2 2 18 2 2 2" xfId="40049"/>
    <cellStyle name="Input 3 2 2 18 2 3" xfId="26608"/>
    <cellStyle name="Input 3 2 2 18 3" xfId="18066"/>
    <cellStyle name="Input 3 2 2 18 3 2" xfId="38134"/>
    <cellStyle name="Input 3 2 2 18 4" xfId="26607"/>
    <cellStyle name="Input 3 2 2 19" xfId="5378"/>
    <cellStyle name="Input 3 2 2 19 2" xfId="5379"/>
    <cellStyle name="Input 3 2 2 19 2 2" xfId="19982"/>
    <cellStyle name="Input 3 2 2 19 2 2 2" xfId="40050"/>
    <cellStyle name="Input 3 2 2 19 2 3" xfId="26610"/>
    <cellStyle name="Input 3 2 2 19 3" xfId="18183"/>
    <cellStyle name="Input 3 2 2 19 3 2" xfId="38251"/>
    <cellStyle name="Input 3 2 2 19 4" xfId="26609"/>
    <cellStyle name="Input 3 2 2 2" xfId="5380"/>
    <cellStyle name="Input 3 2 2 2 2" xfId="5381"/>
    <cellStyle name="Input 3 2 2 2 2 2" xfId="19983"/>
    <cellStyle name="Input 3 2 2 2 2 2 2" xfId="40051"/>
    <cellStyle name="Input 3 2 2 2 2 3" xfId="26612"/>
    <cellStyle name="Input 3 2 2 2 3" xfId="14652"/>
    <cellStyle name="Input 3 2 2 2 3 2" xfId="34720"/>
    <cellStyle name="Input 3 2 2 2 4" xfId="26611"/>
    <cellStyle name="Input 3 2 2 20" xfId="5382"/>
    <cellStyle name="Input 3 2 2 20 2" xfId="5383"/>
    <cellStyle name="Input 3 2 2 20 2 2" xfId="19984"/>
    <cellStyle name="Input 3 2 2 20 2 2 2" xfId="40052"/>
    <cellStyle name="Input 3 2 2 20 2 3" xfId="26614"/>
    <cellStyle name="Input 3 2 2 20 3" xfId="16244"/>
    <cellStyle name="Input 3 2 2 20 3 2" xfId="36312"/>
    <cellStyle name="Input 3 2 2 20 4" xfId="26613"/>
    <cellStyle name="Input 3 2 2 21" xfId="5384"/>
    <cellStyle name="Input 3 2 2 21 2" xfId="5385"/>
    <cellStyle name="Input 3 2 2 21 2 2" xfId="19985"/>
    <cellStyle name="Input 3 2 2 21 2 2 2" xfId="40053"/>
    <cellStyle name="Input 3 2 2 21 2 3" xfId="26616"/>
    <cellStyle name="Input 3 2 2 21 3" xfId="18378"/>
    <cellStyle name="Input 3 2 2 21 3 2" xfId="38446"/>
    <cellStyle name="Input 3 2 2 21 4" xfId="26615"/>
    <cellStyle name="Input 3 2 2 22" xfId="5386"/>
    <cellStyle name="Input 3 2 2 22 2" xfId="5387"/>
    <cellStyle name="Input 3 2 2 22 2 2" xfId="19986"/>
    <cellStyle name="Input 3 2 2 22 2 2 2" xfId="40054"/>
    <cellStyle name="Input 3 2 2 22 2 3" xfId="26618"/>
    <cellStyle name="Input 3 2 2 22 3" xfId="18522"/>
    <cellStyle name="Input 3 2 2 22 3 2" xfId="38590"/>
    <cellStyle name="Input 3 2 2 22 4" xfId="26617"/>
    <cellStyle name="Input 3 2 2 23" xfId="5388"/>
    <cellStyle name="Input 3 2 2 23 2" xfId="5389"/>
    <cellStyle name="Input 3 2 2 23 2 2" xfId="19987"/>
    <cellStyle name="Input 3 2 2 23 2 2 2" xfId="40055"/>
    <cellStyle name="Input 3 2 2 23 2 3" xfId="26620"/>
    <cellStyle name="Input 3 2 2 23 3" xfId="18633"/>
    <cellStyle name="Input 3 2 2 23 3 2" xfId="38701"/>
    <cellStyle name="Input 3 2 2 23 4" xfId="26619"/>
    <cellStyle name="Input 3 2 2 24" xfId="5390"/>
    <cellStyle name="Input 3 2 2 24 2" xfId="5391"/>
    <cellStyle name="Input 3 2 2 24 2 2" xfId="19988"/>
    <cellStyle name="Input 3 2 2 24 2 2 2" xfId="40056"/>
    <cellStyle name="Input 3 2 2 24 2 3" xfId="26622"/>
    <cellStyle name="Input 3 2 2 24 3" xfId="18733"/>
    <cellStyle name="Input 3 2 2 24 3 2" xfId="38801"/>
    <cellStyle name="Input 3 2 2 24 4" xfId="26621"/>
    <cellStyle name="Input 3 2 2 25" xfId="5392"/>
    <cellStyle name="Input 3 2 2 25 2" xfId="5393"/>
    <cellStyle name="Input 3 2 2 25 2 2" xfId="19989"/>
    <cellStyle name="Input 3 2 2 25 2 2 2" xfId="40057"/>
    <cellStyle name="Input 3 2 2 25 2 3" xfId="26624"/>
    <cellStyle name="Input 3 2 2 25 3" xfId="18833"/>
    <cellStyle name="Input 3 2 2 25 3 2" xfId="38901"/>
    <cellStyle name="Input 3 2 2 25 4" xfId="26623"/>
    <cellStyle name="Input 3 2 2 26" xfId="5394"/>
    <cellStyle name="Input 3 2 2 26 2" xfId="19972"/>
    <cellStyle name="Input 3 2 2 26 2 2" xfId="40040"/>
    <cellStyle name="Input 3 2 2 26 3" xfId="26625"/>
    <cellStyle name="Input 3 2 2 27" xfId="14197"/>
    <cellStyle name="Input 3 2 2 27 2" xfId="34265"/>
    <cellStyle name="Input 3 2 2 28" xfId="26590"/>
    <cellStyle name="Input 3 2 2 3" xfId="5395"/>
    <cellStyle name="Input 3 2 2 3 2" xfId="5396"/>
    <cellStyle name="Input 3 2 2 3 2 2" xfId="19990"/>
    <cellStyle name="Input 3 2 2 3 2 2 2" xfId="40058"/>
    <cellStyle name="Input 3 2 2 3 2 3" xfId="26627"/>
    <cellStyle name="Input 3 2 2 3 3" xfId="14771"/>
    <cellStyle name="Input 3 2 2 3 3 2" xfId="34839"/>
    <cellStyle name="Input 3 2 2 3 4" xfId="26626"/>
    <cellStyle name="Input 3 2 2 4" xfId="5397"/>
    <cellStyle name="Input 3 2 2 4 2" xfId="5398"/>
    <cellStyle name="Input 3 2 2 4 2 2" xfId="19991"/>
    <cellStyle name="Input 3 2 2 4 2 2 2" xfId="40059"/>
    <cellStyle name="Input 3 2 2 4 2 3" xfId="26629"/>
    <cellStyle name="Input 3 2 2 4 3" xfId="14890"/>
    <cellStyle name="Input 3 2 2 4 3 2" xfId="34958"/>
    <cellStyle name="Input 3 2 2 4 4" xfId="26628"/>
    <cellStyle name="Input 3 2 2 5" xfId="5399"/>
    <cellStyle name="Input 3 2 2 5 2" xfId="5400"/>
    <cellStyle name="Input 3 2 2 5 2 2" xfId="19992"/>
    <cellStyle name="Input 3 2 2 5 2 2 2" xfId="40060"/>
    <cellStyle name="Input 3 2 2 5 2 3" xfId="26631"/>
    <cellStyle name="Input 3 2 2 5 3" xfId="15059"/>
    <cellStyle name="Input 3 2 2 5 3 2" xfId="35127"/>
    <cellStyle name="Input 3 2 2 5 4" xfId="26630"/>
    <cellStyle name="Input 3 2 2 6" xfId="5401"/>
    <cellStyle name="Input 3 2 2 6 2" xfId="5402"/>
    <cellStyle name="Input 3 2 2 6 2 2" xfId="19993"/>
    <cellStyle name="Input 3 2 2 6 2 2 2" xfId="40061"/>
    <cellStyle name="Input 3 2 2 6 2 3" xfId="26633"/>
    <cellStyle name="Input 3 2 2 6 3" xfId="14468"/>
    <cellStyle name="Input 3 2 2 6 3 2" xfId="34536"/>
    <cellStyle name="Input 3 2 2 6 4" xfId="26632"/>
    <cellStyle name="Input 3 2 2 7" xfId="5403"/>
    <cellStyle name="Input 3 2 2 7 2" xfId="5404"/>
    <cellStyle name="Input 3 2 2 7 2 2" xfId="19994"/>
    <cellStyle name="Input 3 2 2 7 2 2 2" xfId="40062"/>
    <cellStyle name="Input 3 2 2 7 2 3" xfId="26635"/>
    <cellStyle name="Input 3 2 2 7 3" xfId="15202"/>
    <cellStyle name="Input 3 2 2 7 3 2" xfId="35270"/>
    <cellStyle name="Input 3 2 2 7 4" xfId="26634"/>
    <cellStyle name="Input 3 2 2 8" xfId="5405"/>
    <cellStyle name="Input 3 2 2 8 2" xfId="5406"/>
    <cellStyle name="Input 3 2 2 8 2 2" xfId="19995"/>
    <cellStyle name="Input 3 2 2 8 2 2 2" xfId="40063"/>
    <cellStyle name="Input 3 2 2 8 2 3" xfId="26637"/>
    <cellStyle name="Input 3 2 2 8 3" xfId="16556"/>
    <cellStyle name="Input 3 2 2 8 3 2" xfId="36624"/>
    <cellStyle name="Input 3 2 2 8 4" xfId="26636"/>
    <cellStyle name="Input 3 2 2 9" xfId="5407"/>
    <cellStyle name="Input 3 2 2 9 2" xfId="5408"/>
    <cellStyle name="Input 3 2 2 9 2 2" xfId="19996"/>
    <cellStyle name="Input 3 2 2 9 2 2 2" xfId="40064"/>
    <cellStyle name="Input 3 2 2 9 2 3" xfId="26639"/>
    <cellStyle name="Input 3 2 2 9 3" xfId="16760"/>
    <cellStyle name="Input 3 2 2 9 3 2" xfId="36828"/>
    <cellStyle name="Input 3 2 2 9 4" xfId="26638"/>
    <cellStyle name="Input 3 2 20" xfId="5409"/>
    <cellStyle name="Input 3 2 20 2" xfId="5410"/>
    <cellStyle name="Input 3 2 20 2 2" xfId="19997"/>
    <cellStyle name="Input 3 2 20 2 2 2" xfId="40065"/>
    <cellStyle name="Input 3 2 20 2 3" xfId="26641"/>
    <cellStyle name="Input 3 2 20 3" xfId="15946"/>
    <cellStyle name="Input 3 2 20 3 2" xfId="36014"/>
    <cellStyle name="Input 3 2 20 4" xfId="26640"/>
    <cellStyle name="Input 3 2 21" xfId="5411"/>
    <cellStyle name="Input 3 2 21 2" xfId="5412"/>
    <cellStyle name="Input 3 2 21 2 2" xfId="19998"/>
    <cellStyle name="Input 3 2 21 2 2 2" xfId="40066"/>
    <cellStyle name="Input 3 2 21 2 3" xfId="26643"/>
    <cellStyle name="Input 3 2 21 3" xfId="15618"/>
    <cellStyle name="Input 3 2 21 3 2" xfId="35686"/>
    <cellStyle name="Input 3 2 21 4" xfId="26642"/>
    <cellStyle name="Input 3 2 22" xfId="5413"/>
    <cellStyle name="Input 3 2 22 2" xfId="5414"/>
    <cellStyle name="Input 3 2 22 2 2" xfId="19999"/>
    <cellStyle name="Input 3 2 22 2 2 2" xfId="40067"/>
    <cellStyle name="Input 3 2 22 2 3" xfId="26645"/>
    <cellStyle name="Input 3 2 22 3" xfId="16237"/>
    <cellStyle name="Input 3 2 22 3 2" xfId="36305"/>
    <cellStyle name="Input 3 2 22 4" xfId="26644"/>
    <cellStyle name="Input 3 2 23" xfId="5415"/>
    <cellStyle name="Input 3 2 23 2" xfId="5416"/>
    <cellStyle name="Input 3 2 23 2 2" xfId="20000"/>
    <cellStyle name="Input 3 2 23 2 2 2" xfId="40068"/>
    <cellStyle name="Input 3 2 23 2 3" xfId="26647"/>
    <cellStyle name="Input 3 2 23 3" xfId="18269"/>
    <cellStyle name="Input 3 2 23 3 2" xfId="38337"/>
    <cellStyle name="Input 3 2 23 4" xfId="26646"/>
    <cellStyle name="Input 3 2 24" xfId="5417"/>
    <cellStyle name="Input 3 2 24 2" xfId="5418"/>
    <cellStyle name="Input 3 2 24 2 2" xfId="20001"/>
    <cellStyle name="Input 3 2 24 2 2 2" xfId="40069"/>
    <cellStyle name="Input 3 2 24 2 3" xfId="26649"/>
    <cellStyle name="Input 3 2 24 3" xfId="16066"/>
    <cellStyle name="Input 3 2 24 3 2" xfId="36134"/>
    <cellStyle name="Input 3 2 24 4" xfId="26648"/>
    <cellStyle name="Input 3 2 25" xfId="5419"/>
    <cellStyle name="Input 3 2 25 2" xfId="5420"/>
    <cellStyle name="Input 3 2 25 2 2" xfId="20002"/>
    <cellStyle name="Input 3 2 25 2 2 2" xfId="40070"/>
    <cellStyle name="Input 3 2 25 2 3" xfId="26651"/>
    <cellStyle name="Input 3 2 25 3" xfId="15656"/>
    <cellStyle name="Input 3 2 25 3 2" xfId="35724"/>
    <cellStyle name="Input 3 2 25 4" xfId="26650"/>
    <cellStyle name="Input 3 2 26" xfId="5421"/>
    <cellStyle name="Input 3 2 26 2" xfId="5422"/>
    <cellStyle name="Input 3 2 26 2 2" xfId="20003"/>
    <cellStyle name="Input 3 2 26 2 2 2" xfId="40071"/>
    <cellStyle name="Input 3 2 26 2 3" xfId="26653"/>
    <cellStyle name="Input 3 2 26 3" xfId="18145"/>
    <cellStyle name="Input 3 2 26 3 2" xfId="38213"/>
    <cellStyle name="Input 3 2 26 4" xfId="26652"/>
    <cellStyle name="Input 3 2 27" xfId="5423"/>
    <cellStyle name="Input 3 2 27 2" xfId="5424"/>
    <cellStyle name="Input 3 2 27 2 2" xfId="20004"/>
    <cellStyle name="Input 3 2 27 2 2 2" xfId="40072"/>
    <cellStyle name="Input 3 2 27 2 3" xfId="26655"/>
    <cellStyle name="Input 3 2 27 3" xfId="15534"/>
    <cellStyle name="Input 3 2 27 3 2" xfId="35602"/>
    <cellStyle name="Input 3 2 27 4" xfId="26654"/>
    <cellStyle name="Input 3 2 28" xfId="5425"/>
    <cellStyle name="Input 3 2 28 2" xfId="19961"/>
    <cellStyle name="Input 3 2 28 2 2" xfId="40029"/>
    <cellStyle name="Input 3 2 28 3" xfId="26656"/>
    <cellStyle name="Input 3 2 29" xfId="13872"/>
    <cellStyle name="Input 3 2 29 2" xfId="33940"/>
    <cellStyle name="Input 3 2 3" xfId="5426"/>
    <cellStyle name="Input 3 2 3 2" xfId="5427"/>
    <cellStyle name="Input 3 2 3 2 2" xfId="20005"/>
    <cellStyle name="Input 3 2 3 2 2 2" xfId="40073"/>
    <cellStyle name="Input 3 2 3 2 3" xfId="26658"/>
    <cellStyle name="Input 3 2 3 3" xfId="13999"/>
    <cellStyle name="Input 3 2 3 3 2" xfId="34067"/>
    <cellStyle name="Input 3 2 3 4" xfId="26657"/>
    <cellStyle name="Input 3 2 30" xfId="26569"/>
    <cellStyle name="Input 3 2 4" xfId="5428"/>
    <cellStyle name="Input 3 2 4 2" xfId="5429"/>
    <cellStyle name="Input 3 2 4 2 2" xfId="20006"/>
    <cellStyle name="Input 3 2 4 2 2 2" xfId="40074"/>
    <cellStyle name="Input 3 2 4 2 3" xfId="26660"/>
    <cellStyle name="Input 3 2 4 3" xfId="14200"/>
    <cellStyle name="Input 3 2 4 3 2" xfId="34268"/>
    <cellStyle name="Input 3 2 4 4" xfId="26659"/>
    <cellStyle name="Input 3 2 5" xfId="5430"/>
    <cellStyle name="Input 3 2 5 2" xfId="5431"/>
    <cellStyle name="Input 3 2 5 2 2" xfId="20007"/>
    <cellStyle name="Input 3 2 5 2 2 2" xfId="40075"/>
    <cellStyle name="Input 3 2 5 2 3" xfId="26662"/>
    <cellStyle name="Input 3 2 5 3" xfId="14147"/>
    <cellStyle name="Input 3 2 5 3 2" xfId="34215"/>
    <cellStyle name="Input 3 2 5 4" xfId="26661"/>
    <cellStyle name="Input 3 2 6" xfId="5432"/>
    <cellStyle name="Input 3 2 6 2" xfId="5433"/>
    <cellStyle name="Input 3 2 6 2 2" xfId="20008"/>
    <cellStyle name="Input 3 2 6 2 2 2" xfId="40076"/>
    <cellStyle name="Input 3 2 6 2 3" xfId="26664"/>
    <cellStyle name="Input 3 2 6 3" xfId="14722"/>
    <cellStyle name="Input 3 2 6 3 2" xfId="34790"/>
    <cellStyle name="Input 3 2 6 4" xfId="26663"/>
    <cellStyle name="Input 3 2 7" xfId="5434"/>
    <cellStyle name="Input 3 2 7 2" xfId="5435"/>
    <cellStyle name="Input 3 2 7 2 2" xfId="20009"/>
    <cellStyle name="Input 3 2 7 2 2 2" xfId="40077"/>
    <cellStyle name="Input 3 2 7 2 3" xfId="26666"/>
    <cellStyle name="Input 3 2 7 3" xfId="14602"/>
    <cellStyle name="Input 3 2 7 3 2" xfId="34670"/>
    <cellStyle name="Input 3 2 7 4" xfId="26665"/>
    <cellStyle name="Input 3 2 8" xfId="5436"/>
    <cellStyle name="Input 3 2 8 2" xfId="5437"/>
    <cellStyle name="Input 3 2 8 2 2" xfId="20010"/>
    <cellStyle name="Input 3 2 8 2 2 2" xfId="40078"/>
    <cellStyle name="Input 3 2 8 2 3" xfId="26668"/>
    <cellStyle name="Input 3 2 8 3" xfId="14374"/>
    <cellStyle name="Input 3 2 8 3 2" xfId="34442"/>
    <cellStyle name="Input 3 2 8 4" xfId="26667"/>
    <cellStyle name="Input 3 2 9" xfId="5438"/>
    <cellStyle name="Input 3 2 9 2" xfId="5439"/>
    <cellStyle name="Input 3 2 9 2 2" xfId="20011"/>
    <cellStyle name="Input 3 2 9 2 2 2" xfId="40079"/>
    <cellStyle name="Input 3 2 9 2 3" xfId="26670"/>
    <cellStyle name="Input 3 2 9 3" xfId="15278"/>
    <cellStyle name="Input 3 2 9 3 2" xfId="35346"/>
    <cellStyle name="Input 3 2 9 4" xfId="26669"/>
    <cellStyle name="Input 3 20" xfId="5440"/>
    <cellStyle name="Input 3 20 2" xfId="5441"/>
    <cellStyle name="Input 3 20 2 2" xfId="20012"/>
    <cellStyle name="Input 3 20 2 2 2" xfId="40080"/>
    <cellStyle name="Input 3 20 2 3" xfId="26672"/>
    <cellStyle name="Input 3 20 3" xfId="17000"/>
    <cellStyle name="Input 3 20 3 2" xfId="37068"/>
    <cellStyle name="Input 3 20 4" xfId="26671"/>
    <cellStyle name="Input 3 21" xfId="5442"/>
    <cellStyle name="Input 3 21 2" xfId="5443"/>
    <cellStyle name="Input 3 21 2 2" xfId="20013"/>
    <cellStyle name="Input 3 21 2 2 2" xfId="40081"/>
    <cellStyle name="Input 3 21 2 3" xfId="26674"/>
    <cellStyle name="Input 3 21 3" xfId="15638"/>
    <cellStyle name="Input 3 21 3 2" xfId="35706"/>
    <cellStyle name="Input 3 21 4" xfId="26673"/>
    <cellStyle name="Input 3 22" xfId="5444"/>
    <cellStyle name="Input 3 22 2" xfId="5445"/>
    <cellStyle name="Input 3 22 2 2" xfId="20014"/>
    <cellStyle name="Input 3 22 2 2 2" xfId="40082"/>
    <cellStyle name="Input 3 22 2 3" xfId="26676"/>
    <cellStyle name="Input 3 22 3" xfId="15719"/>
    <cellStyle name="Input 3 22 3 2" xfId="35787"/>
    <cellStyle name="Input 3 22 4" xfId="26675"/>
    <cellStyle name="Input 3 23" xfId="5446"/>
    <cellStyle name="Input 3 23 2" xfId="5447"/>
    <cellStyle name="Input 3 23 2 2" xfId="20015"/>
    <cellStyle name="Input 3 23 2 2 2" xfId="40083"/>
    <cellStyle name="Input 3 23 2 3" xfId="26678"/>
    <cellStyle name="Input 3 23 3" xfId="16085"/>
    <cellStyle name="Input 3 23 3 2" xfId="36153"/>
    <cellStyle name="Input 3 23 4" xfId="26677"/>
    <cellStyle name="Input 3 24" xfId="5448"/>
    <cellStyle name="Input 3 24 2" xfId="5449"/>
    <cellStyle name="Input 3 24 2 2" xfId="20016"/>
    <cellStyle name="Input 3 24 2 2 2" xfId="40084"/>
    <cellStyle name="Input 3 24 2 3" xfId="26680"/>
    <cellStyle name="Input 3 24 3" xfId="17677"/>
    <cellStyle name="Input 3 24 3 2" xfId="37745"/>
    <cellStyle name="Input 3 24 4" xfId="26679"/>
    <cellStyle name="Input 3 25" xfId="5450"/>
    <cellStyle name="Input 3 25 2" xfId="5451"/>
    <cellStyle name="Input 3 25 2 2" xfId="20017"/>
    <cellStyle name="Input 3 25 2 2 2" xfId="40085"/>
    <cellStyle name="Input 3 25 2 3" xfId="26682"/>
    <cellStyle name="Input 3 25 3" xfId="15904"/>
    <cellStyle name="Input 3 25 3 2" xfId="35972"/>
    <cellStyle name="Input 3 25 4" xfId="26681"/>
    <cellStyle name="Input 3 26" xfId="5452"/>
    <cellStyle name="Input 3 26 2" xfId="5453"/>
    <cellStyle name="Input 3 26 2 2" xfId="20018"/>
    <cellStyle name="Input 3 26 2 2 2" xfId="40086"/>
    <cellStyle name="Input 3 26 2 3" xfId="26684"/>
    <cellStyle name="Input 3 26 3" xfId="16308"/>
    <cellStyle name="Input 3 26 3 2" xfId="36376"/>
    <cellStyle name="Input 3 26 4" xfId="26683"/>
    <cellStyle name="Input 3 27" xfId="5454"/>
    <cellStyle name="Input 3 27 2" xfId="5455"/>
    <cellStyle name="Input 3 27 2 2" xfId="20019"/>
    <cellStyle name="Input 3 27 2 2 2" xfId="40087"/>
    <cellStyle name="Input 3 27 2 3" xfId="26686"/>
    <cellStyle name="Input 3 27 3" xfId="15852"/>
    <cellStyle name="Input 3 27 3 2" xfId="35920"/>
    <cellStyle name="Input 3 27 4" xfId="26685"/>
    <cellStyle name="Input 3 28" xfId="5456"/>
    <cellStyle name="Input 3 28 2" xfId="5457"/>
    <cellStyle name="Input 3 28 2 2" xfId="20020"/>
    <cellStyle name="Input 3 28 2 2 2" xfId="40088"/>
    <cellStyle name="Input 3 28 2 3" xfId="26688"/>
    <cellStyle name="Input 3 28 3" xfId="17006"/>
    <cellStyle name="Input 3 28 3 2" xfId="37074"/>
    <cellStyle name="Input 3 28 4" xfId="26687"/>
    <cellStyle name="Input 3 29" xfId="5458"/>
    <cellStyle name="Input 3 29 2" xfId="5459"/>
    <cellStyle name="Input 3 29 2 2" xfId="20021"/>
    <cellStyle name="Input 3 29 2 2 2" xfId="40089"/>
    <cellStyle name="Input 3 29 2 3" xfId="26690"/>
    <cellStyle name="Input 3 29 3" xfId="17344"/>
    <cellStyle name="Input 3 29 3 2" xfId="37412"/>
    <cellStyle name="Input 3 29 4" xfId="26689"/>
    <cellStyle name="Input 3 3" xfId="5460"/>
    <cellStyle name="Input 3 3 10" xfId="5461"/>
    <cellStyle name="Input 3 3 10 2" xfId="5462"/>
    <cellStyle name="Input 3 3 10 2 2" xfId="20023"/>
    <cellStyle name="Input 3 3 10 2 2 2" xfId="40091"/>
    <cellStyle name="Input 3 3 10 2 3" xfId="26693"/>
    <cellStyle name="Input 3 3 10 3" xfId="16376"/>
    <cellStyle name="Input 3 3 10 3 2" xfId="36444"/>
    <cellStyle name="Input 3 3 10 4" xfId="26692"/>
    <cellStyle name="Input 3 3 11" xfId="5463"/>
    <cellStyle name="Input 3 3 11 2" xfId="5464"/>
    <cellStyle name="Input 3 3 11 2 2" xfId="20024"/>
    <cellStyle name="Input 3 3 11 2 2 2" xfId="40092"/>
    <cellStyle name="Input 3 3 11 2 3" xfId="26695"/>
    <cellStyle name="Input 3 3 11 3" xfId="15835"/>
    <cellStyle name="Input 3 3 11 3 2" xfId="35903"/>
    <cellStyle name="Input 3 3 11 4" xfId="26694"/>
    <cellStyle name="Input 3 3 12" xfId="5465"/>
    <cellStyle name="Input 3 3 12 2" xfId="5466"/>
    <cellStyle name="Input 3 3 12 2 2" xfId="20025"/>
    <cellStyle name="Input 3 3 12 2 2 2" xfId="40093"/>
    <cellStyle name="Input 3 3 12 2 3" xfId="26697"/>
    <cellStyle name="Input 3 3 12 3" xfId="15559"/>
    <cellStyle name="Input 3 3 12 3 2" xfId="35627"/>
    <cellStyle name="Input 3 3 12 4" xfId="26696"/>
    <cellStyle name="Input 3 3 13" xfId="5467"/>
    <cellStyle name="Input 3 3 13 2" xfId="5468"/>
    <cellStyle name="Input 3 3 13 2 2" xfId="20026"/>
    <cellStyle name="Input 3 3 13 2 2 2" xfId="40094"/>
    <cellStyle name="Input 3 3 13 2 3" xfId="26699"/>
    <cellStyle name="Input 3 3 13 3" xfId="15724"/>
    <cellStyle name="Input 3 3 13 3 2" xfId="35792"/>
    <cellStyle name="Input 3 3 13 4" xfId="26698"/>
    <cellStyle name="Input 3 3 14" xfId="5469"/>
    <cellStyle name="Input 3 3 14 2" xfId="5470"/>
    <cellStyle name="Input 3 3 14 2 2" xfId="20027"/>
    <cellStyle name="Input 3 3 14 2 2 2" xfId="40095"/>
    <cellStyle name="Input 3 3 14 2 3" xfId="26701"/>
    <cellStyle name="Input 3 3 14 3" xfId="15926"/>
    <cellStyle name="Input 3 3 14 3 2" xfId="35994"/>
    <cellStyle name="Input 3 3 14 4" xfId="26700"/>
    <cellStyle name="Input 3 3 15" xfId="5471"/>
    <cellStyle name="Input 3 3 15 2" xfId="5472"/>
    <cellStyle name="Input 3 3 15 2 2" xfId="20028"/>
    <cellStyle name="Input 3 3 15 2 2 2" xfId="40096"/>
    <cellStyle name="Input 3 3 15 2 3" xfId="26703"/>
    <cellStyle name="Input 3 3 15 3" xfId="17145"/>
    <cellStyle name="Input 3 3 15 3 2" xfId="37213"/>
    <cellStyle name="Input 3 3 15 4" xfId="26702"/>
    <cellStyle name="Input 3 3 16" xfId="5473"/>
    <cellStyle name="Input 3 3 16 2" xfId="5474"/>
    <cellStyle name="Input 3 3 16 2 2" xfId="20029"/>
    <cellStyle name="Input 3 3 16 2 2 2" xfId="40097"/>
    <cellStyle name="Input 3 3 16 2 3" xfId="26705"/>
    <cellStyle name="Input 3 3 16 3" xfId="16187"/>
    <cellStyle name="Input 3 3 16 3 2" xfId="36255"/>
    <cellStyle name="Input 3 3 16 4" xfId="26704"/>
    <cellStyle name="Input 3 3 17" xfId="5475"/>
    <cellStyle name="Input 3 3 17 2" xfId="5476"/>
    <cellStyle name="Input 3 3 17 2 2" xfId="20030"/>
    <cellStyle name="Input 3 3 17 2 2 2" xfId="40098"/>
    <cellStyle name="Input 3 3 17 2 3" xfId="26707"/>
    <cellStyle name="Input 3 3 17 3" xfId="16051"/>
    <cellStyle name="Input 3 3 17 3 2" xfId="36119"/>
    <cellStyle name="Input 3 3 17 4" xfId="26706"/>
    <cellStyle name="Input 3 3 18" xfId="5477"/>
    <cellStyle name="Input 3 3 18 2" xfId="5478"/>
    <cellStyle name="Input 3 3 18 2 2" xfId="20031"/>
    <cellStyle name="Input 3 3 18 2 2 2" xfId="40099"/>
    <cellStyle name="Input 3 3 18 2 3" xfId="26709"/>
    <cellStyle name="Input 3 3 18 3" xfId="17657"/>
    <cellStyle name="Input 3 3 18 3 2" xfId="37725"/>
    <cellStyle name="Input 3 3 18 4" xfId="26708"/>
    <cellStyle name="Input 3 3 19" xfId="5479"/>
    <cellStyle name="Input 3 3 19 2" xfId="5480"/>
    <cellStyle name="Input 3 3 19 2 2" xfId="20032"/>
    <cellStyle name="Input 3 3 19 2 2 2" xfId="40100"/>
    <cellStyle name="Input 3 3 19 2 3" xfId="26711"/>
    <cellStyle name="Input 3 3 19 3" xfId="16528"/>
    <cellStyle name="Input 3 3 19 3 2" xfId="36596"/>
    <cellStyle name="Input 3 3 19 4" xfId="26710"/>
    <cellStyle name="Input 3 3 2" xfId="5481"/>
    <cellStyle name="Input 3 3 2 10" xfId="5482"/>
    <cellStyle name="Input 3 3 2 10 2" xfId="5483"/>
    <cellStyle name="Input 3 3 2 10 2 2" xfId="20034"/>
    <cellStyle name="Input 3 3 2 10 2 2 2" xfId="40102"/>
    <cellStyle name="Input 3 3 2 10 2 3" xfId="26714"/>
    <cellStyle name="Input 3 3 2 10 3" xfId="16932"/>
    <cellStyle name="Input 3 3 2 10 3 2" xfId="37000"/>
    <cellStyle name="Input 3 3 2 10 4" xfId="26713"/>
    <cellStyle name="Input 3 3 2 11" xfId="5484"/>
    <cellStyle name="Input 3 3 2 11 2" xfId="5485"/>
    <cellStyle name="Input 3 3 2 11 2 2" xfId="20035"/>
    <cellStyle name="Input 3 3 2 11 2 2 2" xfId="40103"/>
    <cellStyle name="Input 3 3 2 11 2 3" xfId="26716"/>
    <cellStyle name="Input 3 3 2 11 3" xfId="17067"/>
    <cellStyle name="Input 3 3 2 11 3 2" xfId="37135"/>
    <cellStyle name="Input 3 3 2 11 4" xfId="26715"/>
    <cellStyle name="Input 3 3 2 12" xfId="5486"/>
    <cellStyle name="Input 3 3 2 12 2" xfId="5487"/>
    <cellStyle name="Input 3 3 2 12 2 2" xfId="20036"/>
    <cellStyle name="Input 3 3 2 12 2 2 2" xfId="40104"/>
    <cellStyle name="Input 3 3 2 12 2 3" xfId="26718"/>
    <cellStyle name="Input 3 3 2 12 3" xfId="17239"/>
    <cellStyle name="Input 3 3 2 12 3 2" xfId="37307"/>
    <cellStyle name="Input 3 3 2 12 4" xfId="26717"/>
    <cellStyle name="Input 3 3 2 13" xfId="5488"/>
    <cellStyle name="Input 3 3 2 13 2" xfId="5489"/>
    <cellStyle name="Input 3 3 2 13 2 2" xfId="20037"/>
    <cellStyle name="Input 3 3 2 13 2 2 2" xfId="40105"/>
    <cellStyle name="Input 3 3 2 13 2 3" xfId="26720"/>
    <cellStyle name="Input 3 3 2 13 3" xfId="17409"/>
    <cellStyle name="Input 3 3 2 13 3 2" xfId="37477"/>
    <cellStyle name="Input 3 3 2 13 4" xfId="26719"/>
    <cellStyle name="Input 3 3 2 14" xfId="5490"/>
    <cellStyle name="Input 3 3 2 14 2" xfId="5491"/>
    <cellStyle name="Input 3 3 2 14 2 2" xfId="20038"/>
    <cellStyle name="Input 3 3 2 14 2 2 2" xfId="40106"/>
    <cellStyle name="Input 3 3 2 14 2 3" xfId="26722"/>
    <cellStyle name="Input 3 3 2 14 3" xfId="17537"/>
    <cellStyle name="Input 3 3 2 14 3 2" xfId="37605"/>
    <cellStyle name="Input 3 3 2 14 4" xfId="26721"/>
    <cellStyle name="Input 3 3 2 15" xfId="5492"/>
    <cellStyle name="Input 3 3 2 15 2" xfId="5493"/>
    <cellStyle name="Input 3 3 2 15 2 2" xfId="20039"/>
    <cellStyle name="Input 3 3 2 15 2 2 2" xfId="40107"/>
    <cellStyle name="Input 3 3 2 15 2 3" xfId="26724"/>
    <cellStyle name="Input 3 3 2 15 3" xfId="16159"/>
    <cellStyle name="Input 3 3 2 15 3 2" xfId="36227"/>
    <cellStyle name="Input 3 3 2 15 4" xfId="26723"/>
    <cellStyle name="Input 3 3 2 16" xfId="5494"/>
    <cellStyle name="Input 3 3 2 16 2" xfId="5495"/>
    <cellStyle name="Input 3 3 2 16 2 2" xfId="20040"/>
    <cellStyle name="Input 3 3 2 16 2 2 2" xfId="40108"/>
    <cellStyle name="Input 3 3 2 16 2 3" xfId="26726"/>
    <cellStyle name="Input 3 3 2 16 3" xfId="17788"/>
    <cellStyle name="Input 3 3 2 16 3 2" xfId="37856"/>
    <cellStyle name="Input 3 3 2 16 4" xfId="26725"/>
    <cellStyle name="Input 3 3 2 17" xfId="5496"/>
    <cellStyle name="Input 3 3 2 17 2" xfId="5497"/>
    <cellStyle name="Input 3 3 2 17 2 2" xfId="20041"/>
    <cellStyle name="Input 3 3 2 17 2 2 2" xfId="40109"/>
    <cellStyle name="Input 3 3 2 17 2 3" xfId="26728"/>
    <cellStyle name="Input 3 3 2 17 3" xfId="17917"/>
    <cellStyle name="Input 3 3 2 17 3 2" xfId="37985"/>
    <cellStyle name="Input 3 3 2 17 4" xfId="26727"/>
    <cellStyle name="Input 3 3 2 18" xfId="5498"/>
    <cellStyle name="Input 3 3 2 18 2" xfId="5499"/>
    <cellStyle name="Input 3 3 2 18 2 2" xfId="20042"/>
    <cellStyle name="Input 3 3 2 18 2 2 2" xfId="40110"/>
    <cellStyle name="Input 3 3 2 18 2 3" xfId="26730"/>
    <cellStyle name="Input 3 3 2 18 3" xfId="18067"/>
    <cellStyle name="Input 3 3 2 18 3 2" xfId="38135"/>
    <cellStyle name="Input 3 3 2 18 4" xfId="26729"/>
    <cellStyle name="Input 3 3 2 19" xfId="5500"/>
    <cellStyle name="Input 3 3 2 19 2" xfId="5501"/>
    <cellStyle name="Input 3 3 2 19 2 2" xfId="20043"/>
    <cellStyle name="Input 3 3 2 19 2 2 2" xfId="40111"/>
    <cellStyle name="Input 3 3 2 19 2 3" xfId="26732"/>
    <cellStyle name="Input 3 3 2 19 3" xfId="18184"/>
    <cellStyle name="Input 3 3 2 19 3 2" xfId="38252"/>
    <cellStyle name="Input 3 3 2 19 4" xfId="26731"/>
    <cellStyle name="Input 3 3 2 2" xfId="5502"/>
    <cellStyle name="Input 3 3 2 2 2" xfId="5503"/>
    <cellStyle name="Input 3 3 2 2 2 2" xfId="20044"/>
    <cellStyle name="Input 3 3 2 2 2 2 2" xfId="40112"/>
    <cellStyle name="Input 3 3 2 2 2 3" xfId="26734"/>
    <cellStyle name="Input 3 3 2 2 3" xfId="14653"/>
    <cellStyle name="Input 3 3 2 2 3 2" xfId="34721"/>
    <cellStyle name="Input 3 3 2 2 4" xfId="26733"/>
    <cellStyle name="Input 3 3 2 20" xfId="5504"/>
    <cellStyle name="Input 3 3 2 20 2" xfId="5505"/>
    <cellStyle name="Input 3 3 2 20 2 2" xfId="20045"/>
    <cellStyle name="Input 3 3 2 20 2 2 2" xfId="40113"/>
    <cellStyle name="Input 3 3 2 20 2 3" xfId="26736"/>
    <cellStyle name="Input 3 3 2 20 3" xfId="18135"/>
    <cellStyle name="Input 3 3 2 20 3 2" xfId="38203"/>
    <cellStyle name="Input 3 3 2 20 4" xfId="26735"/>
    <cellStyle name="Input 3 3 2 21" xfId="5506"/>
    <cellStyle name="Input 3 3 2 21 2" xfId="5507"/>
    <cellStyle name="Input 3 3 2 21 2 2" xfId="20046"/>
    <cellStyle name="Input 3 3 2 21 2 2 2" xfId="40114"/>
    <cellStyle name="Input 3 3 2 21 2 3" xfId="26738"/>
    <cellStyle name="Input 3 3 2 21 3" xfId="18379"/>
    <cellStyle name="Input 3 3 2 21 3 2" xfId="38447"/>
    <cellStyle name="Input 3 3 2 21 4" xfId="26737"/>
    <cellStyle name="Input 3 3 2 22" xfId="5508"/>
    <cellStyle name="Input 3 3 2 22 2" xfId="5509"/>
    <cellStyle name="Input 3 3 2 22 2 2" xfId="20047"/>
    <cellStyle name="Input 3 3 2 22 2 2 2" xfId="40115"/>
    <cellStyle name="Input 3 3 2 22 2 3" xfId="26740"/>
    <cellStyle name="Input 3 3 2 22 3" xfId="18523"/>
    <cellStyle name="Input 3 3 2 22 3 2" xfId="38591"/>
    <cellStyle name="Input 3 3 2 22 4" xfId="26739"/>
    <cellStyle name="Input 3 3 2 23" xfId="5510"/>
    <cellStyle name="Input 3 3 2 23 2" xfId="5511"/>
    <cellStyle name="Input 3 3 2 23 2 2" xfId="20048"/>
    <cellStyle name="Input 3 3 2 23 2 2 2" xfId="40116"/>
    <cellStyle name="Input 3 3 2 23 2 3" xfId="26742"/>
    <cellStyle name="Input 3 3 2 23 3" xfId="18634"/>
    <cellStyle name="Input 3 3 2 23 3 2" xfId="38702"/>
    <cellStyle name="Input 3 3 2 23 4" xfId="26741"/>
    <cellStyle name="Input 3 3 2 24" xfId="5512"/>
    <cellStyle name="Input 3 3 2 24 2" xfId="5513"/>
    <cellStyle name="Input 3 3 2 24 2 2" xfId="20049"/>
    <cellStyle name="Input 3 3 2 24 2 2 2" xfId="40117"/>
    <cellStyle name="Input 3 3 2 24 2 3" xfId="26744"/>
    <cellStyle name="Input 3 3 2 24 3" xfId="18734"/>
    <cellStyle name="Input 3 3 2 24 3 2" xfId="38802"/>
    <cellStyle name="Input 3 3 2 24 4" xfId="26743"/>
    <cellStyle name="Input 3 3 2 25" xfId="5514"/>
    <cellStyle name="Input 3 3 2 25 2" xfId="5515"/>
    <cellStyle name="Input 3 3 2 25 2 2" xfId="20050"/>
    <cellStyle name="Input 3 3 2 25 2 2 2" xfId="40118"/>
    <cellStyle name="Input 3 3 2 25 2 3" xfId="26746"/>
    <cellStyle name="Input 3 3 2 25 3" xfId="18834"/>
    <cellStyle name="Input 3 3 2 25 3 2" xfId="38902"/>
    <cellStyle name="Input 3 3 2 25 4" xfId="26745"/>
    <cellStyle name="Input 3 3 2 26" xfId="5516"/>
    <cellStyle name="Input 3 3 2 26 2" xfId="20033"/>
    <cellStyle name="Input 3 3 2 26 2 2" xfId="40101"/>
    <cellStyle name="Input 3 3 2 26 3" xfId="26747"/>
    <cellStyle name="Input 3 3 2 27" xfId="14490"/>
    <cellStyle name="Input 3 3 2 27 2" xfId="34558"/>
    <cellStyle name="Input 3 3 2 28" xfId="26712"/>
    <cellStyle name="Input 3 3 2 3" xfId="5517"/>
    <cellStyle name="Input 3 3 2 3 2" xfId="5518"/>
    <cellStyle name="Input 3 3 2 3 2 2" xfId="20051"/>
    <cellStyle name="Input 3 3 2 3 2 2 2" xfId="40119"/>
    <cellStyle name="Input 3 3 2 3 2 3" xfId="26749"/>
    <cellStyle name="Input 3 3 2 3 3" xfId="14772"/>
    <cellStyle name="Input 3 3 2 3 3 2" xfId="34840"/>
    <cellStyle name="Input 3 3 2 3 4" xfId="26748"/>
    <cellStyle name="Input 3 3 2 4" xfId="5519"/>
    <cellStyle name="Input 3 3 2 4 2" xfId="5520"/>
    <cellStyle name="Input 3 3 2 4 2 2" xfId="20052"/>
    <cellStyle name="Input 3 3 2 4 2 2 2" xfId="40120"/>
    <cellStyle name="Input 3 3 2 4 2 3" xfId="26751"/>
    <cellStyle name="Input 3 3 2 4 3" xfId="14891"/>
    <cellStyle name="Input 3 3 2 4 3 2" xfId="34959"/>
    <cellStyle name="Input 3 3 2 4 4" xfId="26750"/>
    <cellStyle name="Input 3 3 2 5" xfId="5521"/>
    <cellStyle name="Input 3 3 2 5 2" xfId="5522"/>
    <cellStyle name="Input 3 3 2 5 2 2" xfId="20053"/>
    <cellStyle name="Input 3 3 2 5 2 2 2" xfId="40121"/>
    <cellStyle name="Input 3 3 2 5 2 3" xfId="26753"/>
    <cellStyle name="Input 3 3 2 5 3" xfId="15060"/>
    <cellStyle name="Input 3 3 2 5 3 2" xfId="35128"/>
    <cellStyle name="Input 3 3 2 5 4" xfId="26752"/>
    <cellStyle name="Input 3 3 2 6" xfId="5523"/>
    <cellStyle name="Input 3 3 2 6 2" xfId="5524"/>
    <cellStyle name="Input 3 3 2 6 2 2" xfId="20054"/>
    <cellStyle name="Input 3 3 2 6 2 2 2" xfId="40122"/>
    <cellStyle name="Input 3 3 2 6 2 3" xfId="26755"/>
    <cellStyle name="Input 3 3 2 6 3" xfId="15004"/>
    <cellStyle name="Input 3 3 2 6 3 2" xfId="35072"/>
    <cellStyle name="Input 3 3 2 6 4" xfId="26754"/>
    <cellStyle name="Input 3 3 2 7" xfId="5525"/>
    <cellStyle name="Input 3 3 2 7 2" xfId="5526"/>
    <cellStyle name="Input 3 3 2 7 2 2" xfId="20055"/>
    <cellStyle name="Input 3 3 2 7 2 2 2" xfId="40123"/>
    <cellStyle name="Input 3 3 2 7 2 3" xfId="26757"/>
    <cellStyle name="Input 3 3 2 7 3" xfId="15203"/>
    <cellStyle name="Input 3 3 2 7 3 2" xfId="35271"/>
    <cellStyle name="Input 3 3 2 7 4" xfId="26756"/>
    <cellStyle name="Input 3 3 2 8" xfId="5527"/>
    <cellStyle name="Input 3 3 2 8 2" xfId="5528"/>
    <cellStyle name="Input 3 3 2 8 2 2" xfId="20056"/>
    <cellStyle name="Input 3 3 2 8 2 2 2" xfId="40124"/>
    <cellStyle name="Input 3 3 2 8 2 3" xfId="26759"/>
    <cellStyle name="Input 3 3 2 8 3" xfId="16557"/>
    <cellStyle name="Input 3 3 2 8 3 2" xfId="36625"/>
    <cellStyle name="Input 3 3 2 8 4" xfId="26758"/>
    <cellStyle name="Input 3 3 2 9" xfId="5529"/>
    <cellStyle name="Input 3 3 2 9 2" xfId="5530"/>
    <cellStyle name="Input 3 3 2 9 2 2" xfId="20057"/>
    <cellStyle name="Input 3 3 2 9 2 2 2" xfId="40125"/>
    <cellStyle name="Input 3 3 2 9 2 3" xfId="26761"/>
    <cellStyle name="Input 3 3 2 9 3" xfId="16761"/>
    <cellStyle name="Input 3 3 2 9 3 2" xfId="36829"/>
    <cellStyle name="Input 3 3 2 9 4" xfId="26760"/>
    <cellStyle name="Input 3 3 20" xfId="5531"/>
    <cellStyle name="Input 3 3 20 2" xfId="5532"/>
    <cellStyle name="Input 3 3 20 2 2" xfId="20058"/>
    <cellStyle name="Input 3 3 20 2 2 2" xfId="40126"/>
    <cellStyle name="Input 3 3 20 2 3" xfId="26763"/>
    <cellStyle name="Input 3 3 20 3" xfId="15485"/>
    <cellStyle name="Input 3 3 20 3 2" xfId="35553"/>
    <cellStyle name="Input 3 3 20 4" xfId="26762"/>
    <cellStyle name="Input 3 3 21" xfId="5533"/>
    <cellStyle name="Input 3 3 21 2" xfId="5534"/>
    <cellStyle name="Input 3 3 21 2 2" xfId="20059"/>
    <cellStyle name="Input 3 3 21 2 2 2" xfId="40127"/>
    <cellStyle name="Input 3 3 21 2 3" xfId="26765"/>
    <cellStyle name="Input 3 3 21 3" xfId="16415"/>
    <cellStyle name="Input 3 3 21 3 2" xfId="36483"/>
    <cellStyle name="Input 3 3 21 4" xfId="26764"/>
    <cellStyle name="Input 3 3 22" xfId="5535"/>
    <cellStyle name="Input 3 3 22 2" xfId="5536"/>
    <cellStyle name="Input 3 3 22 2 2" xfId="20060"/>
    <cellStyle name="Input 3 3 22 2 2 2" xfId="40128"/>
    <cellStyle name="Input 3 3 22 2 3" xfId="26767"/>
    <cellStyle name="Input 3 3 22 3" xfId="16256"/>
    <cellStyle name="Input 3 3 22 3 2" xfId="36324"/>
    <cellStyle name="Input 3 3 22 4" xfId="26766"/>
    <cellStyle name="Input 3 3 23" xfId="5537"/>
    <cellStyle name="Input 3 3 23 2" xfId="5538"/>
    <cellStyle name="Input 3 3 23 2 2" xfId="20061"/>
    <cellStyle name="Input 3 3 23 2 2 2" xfId="40129"/>
    <cellStyle name="Input 3 3 23 2 3" xfId="26769"/>
    <cellStyle name="Input 3 3 23 3" xfId="15640"/>
    <cellStyle name="Input 3 3 23 3 2" xfId="35708"/>
    <cellStyle name="Input 3 3 23 4" xfId="26768"/>
    <cellStyle name="Input 3 3 24" xfId="5539"/>
    <cellStyle name="Input 3 3 24 2" xfId="5540"/>
    <cellStyle name="Input 3 3 24 2 2" xfId="20062"/>
    <cellStyle name="Input 3 3 24 2 2 2" xfId="40130"/>
    <cellStyle name="Input 3 3 24 2 3" xfId="26771"/>
    <cellStyle name="Input 3 3 24 3" xfId="15875"/>
    <cellStyle name="Input 3 3 24 3 2" xfId="35943"/>
    <cellStyle name="Input 3 3 24 4" xfId="26770"/>
    <cellStyle name="Input 3 3 25" xfId="5541"/>
    <cellStyle name="Input 3 3 25 2" xfId="5542"/>
    <cellStyle name="Input 3 3 25 2 2" xfId="20063"/>
    <cellStyle name="Input 3 3 25 2 2 2" xfId="40131"/>
    <cellStyle name="Input 3 3 25 2 3" xfId="26773"/>
    <cellStyle name="Input 3 3 25 3" xfId="17671"/>
    <cellStyle name="Input 3 3 25 3 2" xfId="37739"/>
    <cellStyle name="Input 3 3 25 4" xfId="26772"/>
    <cellStyle name="Input 3 3 26" xfId="5543"/>
    <cellStyle name="Input 3 3 26 2" xfId="5544"/>
    <cellStyle name="Input 3 3 26 2 2" xfId="20064"/>
    <cellStyle name="Input 3 3 26 2 2 2" xfId="40132"/>
    <cellStyle name="Input 3 3 26 2 3" xfId="26775"/>
    <cellStyle name="Input 3 3 26 3" xfId="15814"/>
    <cellStyle name="Input 3 3 26 3 2" xfId="35882"/>
    <cellStyle name="Input 3 3 26 4" xfId="26774"/>
    <cellStyle name="Input 3 3 27" xfId="5545"/>
    <cellStyle name="Input 3 3 27 2" xfId="5546"/>
    <cellStyle name="Input 3 3 27 2 2" xfId="20065"/>
    <cellStyle name="Input 3 3 27 2 2 2" xfId="40133"/>
    <cellStyle name="Input 3 3 27 2 3" xfId="26777"/>
    <cellStyle name="Input 3 3 27 3" xfId="16416"/>
    <cellStyle name="Input 3 3 27 3 2" xfId="36484"/>
    <cellStyle name="Input 3 3 27 4" xfId="26776"/>
    <cellStyle name="Input 3 3 28" xfId="5547"/>
    <cellStyle name="Input 3 3 28 2" xfId="20022"/>
    <cellStyle name="Input 3 3 28 2 2" xfId="40090"/>
    <cellStyle name="Input 3 3 28 3" xfId="26778"/>
    <cellStyle name="Input 3 3 29" xfId="13873"/>
    <cellStyle name="Input 3 3 29 2" xfId="33941"/>
    <cellStyle name="Input 3 3 3" xfId="5548"/>
    <cellStyle name="Input 3 3 3 2" xfId="5549"/>
    <cellStyle name="Input 3 3 3 2 2" xfId="20066"/>
    <cellStyle name="Input 3 3 3 2 2 2" xfId="40134"/>
    <cellStyle name="Input 3 3 3 2 3" xfId="26780"/>
    <cellStyle name="Input 3 3 3 3" xfId="14199"/>
    <cellStyle name="Input 3 3 3 3 2" xfId="34267"/>
    <cellStyle name="Input 3 3 3 4" xfId="26779"/>
    <cellStyle name="Input 3 3 30" xfId="26691"/>
    <cellStyle name="Input 3 3 4" xfId="5550"/>
    <cellStyle name="Input 3 3 4 2" xfId="5551"/>
    <cellStyle name="Input 3 3 4 2 2" xfId="20067"/>
    <cellStyle name="Input 3 3 4 2 2 2" xfId="40135"/>
    <cellStyle name="Input 3 3 4 2 3" xfId="26782"/>
    <cellStyle name="Input 3 3 4 3" xfId="14529"/>
    <cellStyle name="Input 3 3 4 3 2" xfId="34597"/>
    <cellStyle name="Input 3 3 4 4" xfId="26781"/>
    <cellStyle name="Input 3 3 5" xfId="5552"/>
    <cellStyle name="Input 3 3 5 2" xfId="5553"/>
    <cellStyle name="Input 3 3 5 2 2" xfId="20068"/>
    <cellStyle name="Input 3 3 5 2 2 2" xfId="40136"/>
    <cellStyle name="Input 3 3 5 2 3" xfId="26784"/>
    <cellStyle name="Input 3 3 5 3" xfId="14080"/>
    <cellStyle name="Input 3 3 5 3 2" xfId="34148"/>
    <cellStyle name="Input 3 3 5 4" xfId="26783"/>
    <cellStyle name="Input 3 3 6" xfId="5554"/>
    <cellStyle name="Input 3 3 6 2" xfId="5555"/>
    <cellStyle name="Input 3 3 6 2 2" xfId="20069"/>
    <cellStyle name="Input 3 3 6 2 2 2" xfId="40137"/>
    <cellStyle name="Input 3 3 6 2 3" xfId="26786"/>
    <cellStyle name="Input 3 3 6 3" xfId="14723"/>
    <cellStyle name="Input 3 3 6 3 2" xfId="34791"/>
    <cellStyle name="Input 3 3 6 4" xfId="26785"/>
    <cellStyle name="Input 3 3 7" xfId="5556"/>
    <cellStyle name="Input 3 3 7 2" xfId="5557"/>
    <cellStyle name="Input 3 3 7 2 2" xfId="20070"/>
    <cellStyle name="Input 3 3 7 2 2 2" xfId="40138"/>
    <cellStyle name="Input 3 3 7 2 3" xfId="26788"/>
    <cellStyle name="Input 3 3 7 3" xfId="14586"/>
    <cellStyle name="Input 3 3 7 3 2" xfId="34654"/>
    <cellStyle name="Input 3 3 7 4" xfId="26787"/>
    <cellStyle name="Input 3 3 8" xfId="5558"/>
    <cellStyle name="Input 3 3 8 2" xfId="5559"/>
    <cellStyle name="Input 3 3 8 2 2" xfId="20071"/>
    <cellStyle name="Input 3 3 8 2 2 2" xfId="40139"/>
    <cellStyle name="Input 3 3 8 2 3" xfId="26790"/>
    <cellStyle name="Input 3 3 8 3" xfId="15138"/>
    <cellStyle name="Input 3 3 8 3 2" xfId="35206"/>
    <cellStyle name="Input 3 3 8 4" xfId="26789"/>
    <cellStyle name="Input 3 3 9" xfId="5560"/>
    <cellStyle name="Input 3 3 9 2" xfId="5561"/>
    <cellStyle name="Input 3 3 9 2 2" xfId="20072"/>
    <cellStyle name="Input 3 3 9 2 2 2" xfId="40140"/>
    <cellStyle name="Input 3 3 9 2 3" xfId="26792"/>
    <cellStyle name="Input 3 3 9 3" xfId="15279"/>
    <cellStyle name="Input 3 3 9 3 2" xfId="35347"/>
    <cellStyle name="Input 3 3 9 4" xfId="26791"/>
    <cellStyle name="Input 3 30" xfId="5562"/>
    <cellStyle name="Input 3 30 2" xfId="19950"/>
    <cellStyle name="Input 3 30 2 2" xfId="40018"/>
    <cellStyle name="Input 3 30 3" xfId="26793"/>
    <cellStyle name="Input 3 31" xfId="13871"/>
    <cellStyle name="Input 3 31 2" xfId="33939"/>
    <cellStyle name="Input 3 32" xfId="26548"/>
    <cellStyle name="Input 3 4" xfId="5563"/>
    <cellStyle name="Input 3 4 10" xfId="5564"/>
    <cellStyle name="Input 3 4 10 2" xfId="5565"/>
    <cellStyle name="Input 3 4 10 2 2" xfId="20074"/>
    <cellStyle name="Input 3 4 10 2 2 2" xfId="40142"/>
    <cellStyle name="Input 3 4 10 2 3" xfId="26796"/>
    <cellStyle name="Input 3 4 10 3" xfId="16930"/>
    <cellStyle name="Input 3 4 10 3 2" xfId="36998"/>
    <cellStyle name="Input 3 4 10 4" xfId="26795"/>
    <cellStyle name="Input 3 4 11" xfId="5566"/>
    <cellStyle name="Input 3 4 11 2" xfId="5567"/>
    <cellStyle name="Input 3 4 11 2 2" xfId="20075"/>
    <cellStyle name="Input 3 4 11 2 2 2" xfId="40143"/>
    <cellStyle name="Input 3 4 11 2 3" xfId="26798"/>
    <cellStyle name="Input 3 4 11 3" xfId="17065"/>
    <cellStyle name="Input 3 4 11 3 2" xfId="37133"/>
    <cellStyle name="Input 3 4 11 4" xfId="26797"/>
    <cellStyle name="Input 3 4 12" xfId="5568"/>
    <cellStyle name="Input 3 4 12 2" xfId="5569"/>
    <cellStyle name="Input 3 4 12 2 2" xfId="20076"/>
    <cellStyle name="Input 3 4 12 2 2 2" xfId="40144"/>
    <cellStyle name="Input 3 4 12 2 3" xfId="26800"/>
    <cellStyle name="Input 3 4 12 3" xfId="17237"/>
    <cellStyle name="Input 3 4 12 3 2" xfId="37305"/>
    <cellStyle name="Input 3 4 12 4" xfId="26799"/>
    <cellStyle name="Input 3 4 13" xfId="5570"/>
    <cellStyle name="Input 3 4 13 2" xfId="5571"/>
    <cellStyle name="Input 3 4 13 2 2" xfId="20077"/>
    <cellStyle name="Input 3 4 13 2 2 2" xfId="40145"/>
    <cellStyle name="Input 3 4 13 2 3" xfId="26802"/>
    <cellStyle name="Input 3 4 13 3" xfId="17407"/>
    <cellStyle name="Input 3 4 13 3 2" xfId="37475"/>
    <cellStyle name="Input 3 4 13 4" xfId="26801"/>
    <cellStyle name="Input 3 4 14" xfId="5572"/>
    <cellStyle name="Input 3 4 14 2" xfId="5573"/>
    <cellStyle name="Input 3 4 14 2 2" xfId="20078"/>
    <cellStyle name="Input 3 4 14 2 2 2" xfId="40146"/>
    <cellStyle name="Input 3 4 14 2 3" xfId="26804"/>
    <cellStyle name="Input 3 4 14 3" xfId="17535"/>
    <cellStyle name="Input 3 4 14 3 2" xfId="37603"/>
    <cellStyle name="Input 3 4 14 4" xfId="26803"/>
    <cellStyle name="Input 3 4 15" xfId="5574"/>
    <cellStyle name="Input 3 4 15 2" xfId="5575"/>
    <cellStyle name="Input 3 4 15 2 2" xfId="20079"/>
    <cellStyle name="Input 3 4 15 2 2 2" xfId="40147"/>
    <cellStyle name="Input 3 4 15 2 3" xfId="26806"/>
    <cellStyle name="Input 3 4 15 3" xfId="15821"/>
    <cellStyle name="Input 3 4 15 3 2" xfId="35889"/>
    <cellStyle name="Input 3 4 15 4" xfId="26805"/>
    <cellStyle name="Input 3 4 16" xfId="5576"/>
    <cellStyle name="Input 3 4 16 2" xfId="5577"/>
    <cellStyle name="Input 3 4 16 2 2" xfId="20080"/>
    <cellStyle name="Input 3 4 16 2 2 2" xfId="40148"/>
    <cellStyle name="Input 3 4 16 2 3" xfId="26808"/>
    <cellStyle name="Input 3 4 16 3" xfId="17786"/>
    <cellStyle name="Input 3 4 16 3 2" xfId="37854"/>
    <cellStyle name="Input 3 4 16 4" xfId="26807"/>
    <cellStyle name="Input 3 4 17" xfId="5578"/>
    <cellStyle name="Input 3 4 17 2" xfId="5579"/>
    <cellStyle name="Input 3 4 17 2 2" xfId="20081"/>
    <cellStyle name="Input 3 4 17 2 2 2" xfId="40149"/>
    <cellStyle name="Input 3 4 17 2 3" xfId="26810"/>
    <cellStyle name="Input 3 4 17 3" xfId="17915"/>
    <cellStyle name="Input 3 4 17 3 2" xfId="37983"/>
    <cellStyle name="Input 3 4 17 4" xfId="26809"/>
    <cellStyle name="Input 3 4 18" xfId="5580"/>
    <cellStyle name="Input 3 4 18 2" xfId="5581"/>
    <cellStyle name="Input 3 4 18 2 2" xfId="20082"/>
    <cellStyle name="Input 3 4 18 2 2 2" xfId="40150"/>
    <cellStyle name="Input 3 4 18 2 3" xfId="26812"/>
    <cellStyle name="Input 3 4 18 3" xfId="18065"/>
    <cellStyle name="Input 3 4 18 3 2" xfId="38133"/>
    <cellStyle name="Input 3 4 18 4" xfId="26811"/>
    <cellStyle name="Input 3 4 19" xfId="5582"/>
    <cellStyle name="Input 3 4 19 2" xfId="5583"/>
    <cellStyle name="Input 3 4 19 2 2" xfId="20083"/>
    <cellStyle name="Input 3 4 19 2 2 2" xfId="40151"/>
    <cellStyle name="Input 3 4 19 2 3" xfId="26814"/>
    <cellStyle name="Input 3 4 19 3" xfId="18182"/>
    <cellStyle name="Input 3 4 19 3 2" xfId="38250"/>
    <cellStyle name="Input 3 4 19 4" xfId="26813"/>
    <cellStyle name="Input 3 4 2" xfId="5584"/>
    <cellStyle name="Input 3 4 2 2" xfId="5585"/>
    <cellStyle name="Input 3 4 2 2 2" xfId="20084"/>
    <cellStyle name="Input 3 4 2 2 2 2" xfId="40152"/>
    <cellStyle name="Input 3 4 2 2 3" xfId="26816"/>
    <cellStyle name="Input 3 4 2 3" xfId="14651"/>
    <cellStyle name="Input 3 4 2 3 2" xfId="34719"/>
    <cellStyle name="Input 3 4 2 4" xfId="26815"/>
    <cellStyle name="Input 3 4 20" xfId="5586"/>
    <cellStyle name="Input 3 4 20 2" xfId="5587"/>
    <cellStyle name="Input 3 4 20 2 2" xfId="20085"/>
    <cellStyle name="Input 3 4 20 2 2 2" xfId="40153"/>
    <cellStyle name="Input 3 4 20 2 3" xfId="26818"/>
    <cellStyle name="Input 3 4 20 3" xfId="15654"/>
    <cellStyle name="Input 3 4 20 3 2" xfId="35722"/>
    <cellStyle name="Input 3 4 20 4" xfId="26817"/>
    <cellStyle name="Input 3 4 21" xfId="5588"/>
    <cellStyle name="Input 3 4 21 2" xfId="5589"/>
    <cellStyle name="Input 3 4 21 2 2" xfId="20086"/>
    <cellStyle name="Input 3 4 21 2 2 2" xfId="40154"/>
    <cellStyle name="Input 3 4 21 2 3" xfId="26820"/>
    <cellStyle name="Input 3 4 21 3" xfId="18377"/>
    <cellStyle name="Input 3 4 21 3 2" xfId="38445"/>
    <cellStyle name="Input 3 4 21 4" xfId="26819"/>
    <cellStyle name="Input 3 4 22" xfId="5590"/>
    <cellStyle name="Input 3 4 22 2" xfId="5591"/>
    <cellStyle name="Input 3 4 22 2 2" xfId="20087"/>
    <cellStyle name="Input 3 4 22 2 2 2" xfId="40155"/>
    <cellStyle name="Input 3 4 22 2 3" xfId="26822"/>
    <cellStyle name="Input 3 4 22 3" xfId="18521"/>
    <cellStyle name="Input 3 4 22 3 2" xfId="38589"/>
    <cellStyle name="Input 3 4 22 4" xfId="26821"/>
    <cellStyle name="Input 3 4 23" xfId="5592"/>
    <cellStyle name="Input 3 4 23 2" xfId="5593"/>
    <cellStyle name="Input 3 4 23 2 2" xfId="20088"/>
    <cellStyle name="Input 3 4 23 2 2 2" xfId="40156"/>
    <cellStyle name="Input 3 4 23 2 3" xfId="26824"/>
    <cellStyle name="Input 3 4 23 3" xfId="18632"/>
    <cellStyle name="Input 3 4 23 3 2" xfId="38700"/>
    <cellStyle name="Input 3 4 23 4" xfId="26823"/>
    <cellStyle name="Input 3 4 24" xfId="5594"/>
    <cellStyle name="Input 3 4 24 2" xfId="5595"/>
    <cellStyle name="Input 3 4 24 2 2" xfId="20089"/>
    <cellStyle name="Input 3 4 24 2 2 2" xfId="40157"/>
    <cellStyle name="Input 3 4 24 2 3" xfId="26826"/>
    <cellStyle name="Input 3 4 24 3" xfId="18732"/>
    <cellStyle name="Input 3 4 24 3 2" xfId="38800"/>
    <cellStyle name="Input 3 4 24 4" xfId="26825"/>
    <cellStyle name="Input 3 4 25" xfId="5596"/>
    <cellStyle name="Input 3 4 25 2" xfId="5597"/>
    <cellStyle name="Input 3 4 25 2 2" xfId="20090"/>
    <cellStyle name="Input 3 4 25 2 2 2" xfId="40158"/>
    <cellStyle name="Input 3 4 25 2 3" xfId="26828"/>
    <cellStyle name="Input 3 4 25 3" xfId="18832"/>
    <cellStyle name="Input 3 4 25 3 2" xfId="38900"/>
    <cellStyle name="Input 3 4 25 4" xfId="26827"/>
    <cellStyle name="Input 3 4 26" xfId="5598"/>
    <cellStyle name="Input 3 4 26 2" xfId="20073"/>
    <cellStyle name="Input 3 4 26 2 2" xfId="40141"/>
    <cellStyle name="Input 3 4 26 3" xfId="26829"/>
    <cellStyle name="Input 3 4 27" xfId="14228"/>
    <cellStyle name="Input 3 4 27 2" xfId="34296"/>
    <cellStyle name="Input 3 4 28" xfId="26794"/>
    <cellStyle name="Input 3 4 3" xfId="5599"/>
    <cellStyle name="Input 3 4 3 2" xfId="5600"/>
    <cellStyle name="Input 3 4 3 2 2" xfId="20091"/>
    <cellStyle name="Input 3 4 3 2 2 2" xfId="40159"/>
    <cellStyle name="Input 3 4 3 2 3" xfId="26831"/>
    <cellStyle name="Input 3 4 3 3" xfId="14770"/>
    <cellStyle name="Input 3 4 3 3 2" xfId="34838"/>
    <cellStyle name="Input 3 4 3 4" xfId="26830"/>
    <cellStyle name="Input 3 4 4" xfId="5601"/>
    <cellStyle name="Input 3 4 4 2" xfId="5602"/>
    <cellStyle name="Input 3 4 4 2 2" xfId="20092"/>
    <cellStyle name="Input 3 4 4 2 2 2" xfId="40160"/>
    <cellStyle name="Input 3 4 4 2 3" xfId="26833"/>
    <cellStyle name="Input 3 4 4 3" xfId="14889"/>
    <cellStyle name="Input 3 4 4 3 2" xfId="34957"/>
    <cellStyle name="Input 3 4 4 4" xfId="26832"/>
    <cellStyle name="Input 3 4 5" xfId="5603"/>
    <cellStyle name="Input 3 4 5 2" xfId="5604"/>
    <cellStyle name="Input 3 4 5 2 2" xfId="20093"/>
    <cellStyle name="Input 3 4 5 2 2 2" xfId="40161"/>
    <cellStyle name="Input 3 4 5 2 3" xfId="26835"/>
    <cellStyle name="Input 3 4 5 3" xfId="15058"/>
    <cellStyle name="Input 3 4 5 3 2" xfId="35126"/>
    <cellStyle name="Input 3 4 5 4" xfId="26834"/>
    <cellStyle name="Input 3 4 6" xfId="5605"/>
    <cellStyle name="Input 3 4 6 2" xfId="5606"/>
    <cellStyle name="Input 3 4 6 2 2" xfId="20094"/>
    <cellStyle name="Input 3 4 6 2 2 2" xfId="40162"/>
    <cellStyle name="Input 3 4 6 2 3" xfId="26837"/>
    <cellStyle name="Input 3 4 6 3" xfId="14325"/>
    <cellStyle name="Input 3 4 6 3 2" xfId="34393"/>
    <cellStyle name="Input 3 4 6 4" xfId="26836"/>
    <cellStyle name="Input 3 4 7" xfId="5607"/>
    <cellStyle name="Input 3 4 7 2" xfId="5608"/>
    <cellStyle name="Input 3 4 7 2 2" xfId="20095"/>
    <cellStyle name="Input 3 4 7 2 2 2" xfId="40163"/>
    <cellStyle name="Input 3 4 7 2 3" xfId="26839"/>
    <cellStyle name="Input 3 4 7 3" xfId="15201"/>
    <cellStyle name="Input 3 4 7 3 2" xfId="35269"/>
    <cellStyle name="Input 3 4 7 4" xfId="26838"/>
    <cellStyle name="Input 3 4 8" xfId="5609"/>
    <cellStyle name="Input 3 4 8 2" xfId="5610"/>
    <cellStyle name="Input 3 4 8 2 2" xfId="20096"/>
    <cellStyle name="Input 3 4 8 2 2 2" xfId="40164"/>
    <cellStyle name="Input 3 4 8 2 3" xfId="26841"/>
    <cellStyle name="Input 3 4 8 3" xfId="16555"/>
    <cellStyle name="Input 3 4 8 3 2" xfId="36623"/>
    <cellStyle name="Input 3 4 8 4" xfId="26840"/>
    <cellStyle name="Input 3 4 9" xfId="5611"/>
    <cellStyle name="Input 3 4 9 2" xfId="5612"/>
    <cellStyle name="Input 3 4 9 2 2" xfId="20097"/>
    <cellStyle name="Input 3 4 9 2 2 2" xfId="40165"/>
    <cellStyle name="Input 3 4 9 2 3" xfId="26843"/>
    <cellStyle name="Input 3 4 9 3" xfId="16759"/>
    <cellStyle name="Input 3 4 9 3 2" xfId="36827"/>
    <cellStyle name="Input 3 4 9 4" xfId="26842"/>
    <cellStyle name="Input 3 5" xfId="5613"/>
    <cellStyle name="Input 3 5 2" xfId="5614"/>
    <cellStyle name="Input 3 5 2 2" xfId="20098"/>
    <cellStyle name="Input 3 5 2 2 2" xfId="40166"/>
    <cellStyle name="Input 3 5 2 3" xfId="26845"/>
    <cellStyle name="Input 3 5 3" xfId="14107"/>
    <cellStyle name="Input 3 5 3 2" xfId="34175"/>
    <cellStyle name="Input 3 5 4" xfId="26844"/>
    <cellStyle name="Input 3 6" xfId="5615"/>
    <cellStyle name="Input 3 6 2" xfId="5616"/>
    <cellStyle name="Input 3 6 2 2" xfId="20099"/>
    <cellStyle name="Input 3 6 2 2 2" xfId="40167"/>
    <cellStyle name="Input 3 6 2 3" xfId="26847"/>
    <cellStyle name="Input 3 6 3" xfId="14085"/>
    <cellStyle name="Input 3 6 3 2" xfId="34153"/>
    <cellStyle name="Input 3 6 4" xfId="26846"/>
    <cellStyle name="Input 3 7" xfId="5617"/>
    <cellStyle name="Input 3 7 2" xfId="5618"/>
    <cellStyle name="Input 3 7 2 2" xfId="20100"/>
    <cellStyle name="Input 3 7 2 2 2" xfId="40168"/>
    <cellStyle name="Input 3 7 2 3" xfId="26849"/>
    <cellStyle name="Input 3 7 3" xfId="14459"/>
    <cellStyle name="Input 3 7 3 2" xfId="34527"/>
    <cellStyle name="Input 3 7 4" xfId="26848"/>
    <cellStyle name="Input 3 8" xfId="5619"/>
    <cellStyle name="Input 3 8 2" xfId="5620"/>
    <cellStyle name="Input 3 8 2 2" xfId="20101"/>
    <cellStyle name="Input 3 8 2 2 2" xfId="40169"/>
    <cellStyle name="Input 3 8 2 3" xfId="26851"/>
    <cellStyle name="Input 3 8 3" xfId="14577"/>
    <cellStyle name="Input 3 8 3 2" xfId="34645"/>
    <cellStyle name="Input 3 8 4" xfId="26850"/>
    <cellStyle name="Input 3 9" xfId="5621"/>
    <cellStyle name="Input 3 9 2" xfId="5622"/>
    <cellStyle name="Input 3 9 2 2" xfId="20102"/>
    <cellStyle name="Input 3 9 2 2 2" xfId="40170"/>
    <cellStyle name="Input 3 9 2 3" xfId="26853"/>
    <cellStyle name="Input 3 9 3" xfId="14182"/>
    <cellStyle name="Input 3 9 3 2" xfId="34250"/>
    <cellStyle name="Input 3 9 4" xfId="26852"/>
    <cellStyle name="Input 3_2011-2012" xfId="5623"/>
    <cellStyle name="Input 4" xfId="5624"/>
    <cellStyle name="Input 4 10" xfId="5625"/>
    <cellStyle name="Input 4 10 2" xfId="5626"/>
    <cellStyle name="Input 4 10 2 2" xfId="20104"/>
    <cellStyle name="Input 4 10 2 2 2" xfId="40172"/>
    <cellStyle name="Input 4 10 2 3" xfId="26856"/>
    <cellStyle name="Input 4 10 3" xfId="15280"/>
    <cellStyle name="Input 4 10 3 2" xfId="35348"/>
    <cellStyle name="Input 4 10 4" xfId="26855"/>
    <cellStyle name="Input 4 11" xfId="5627"/>
    <cellStyle name="Input 4 11 2" xfId="5628"/>
    <cellStyle name="Input 4 11 2 2" xfId="20105"/>
    <cellStyle name="Input 4 11 2 2 2" xfId="40173"/>
    <cellStyle name="Input 4 11 2 3" xfId="26858"/>
    <cellStyle name="Input 4 11 3" xfId="16377"/>
    <cellStyle name="Input 4 11 3 2" xfId="36445"/>
    <cellStyle name="Input 4 11 4" xfId="26857"/>
    <cellStyle name="Input 4 12" xfId="5629"/>
    <cellStyle name="Input 4 12 2" xfId="5630"/>
    <cellStyle name="Input 4 12 2 2" xfId="20106"/>
    <cellStyle name="Input 4 12 2 2 2" xfId="40174"/>
    <cellStyle name="Input 4 12 2 3" xfId="26860"/>
    <cellStyle name="Input 4 12 3" xfId="15409"/>
    <cellStyle name="Input 4 12 3 2" xfId="35477"/>
    <cellStyle name="Input 4 12 4" xfId="26859"/>
    <cellStyle name="Input 4 13" xfId="5631"/>
    <cellStyle name="Input 4 13 2" xfId="5632"/>
    <cellStyle name="Input 4 13 2 2" xfId="20107"/>
    <cellStyle name="Input 4 13 2 2 2" xfId="40175"/>
    <cellStyle name="Input 4 13 2 3" xfId="26862"/>
    <cellStyle name="Input 4 13 3" xfId="15522"/>
    <cellStyle name="Input 4 13 3 2" xfId="35590"/>
    <cellStyle name="Input 4 13 4" xfId="26861"/>
    <cellStyle name="Input 4 14" xfId="5633"/>
    <cellStyle name="Input 4 14 2" xfId="5634"/>
    <cellStyle name="Input 4 14 2 2" xfId="20108"/>
    <cellStyle name="Input 4 14 2 2 2" xfId="40176"/>
    <cellStyle name="Input 4 14 2 3" xfId="26864"/>
    <cellStyle name="Input 4 14 3" xfId="15568"/>
    <cellStyle name="Input 4 14 3 2" xfId="35636"/>
    <cellStyle name="Input 4 14 4" xfId="26863"/>
    <cellStyle name="Input 4 15" xfId="5635"/>
    <cellStyle name="Input 4 15 2" xfId="5636"/>
    <cellStyle name="Input 4 15 2 2" xfId="20109"/>
    <cellStyle name="Input 4 15 2 2 2" xfId="40177"/>
    <cellStyle name="Input 4 15 2 3" xfId="26866"/>
    <cellStyle name="Input 4 15 3" xfId="16365"/>
    <cellStyle name="Input 4 15 3 2" xfId="36433"/>
    <cellStyle name="Input 4 15 4" xfId="26865"/>
    <cellStyle name="Input 4 16" xfId="5637"/>
    <cellStyle name="Input 4 16 2" xfId="5638"/>
    <cellStyle name="Input 4 16 2 2" xfId="20110"/>
    <cellStyle name="Input 4 16 2 2 2" xfId="40178"/>
    <cellStyle name="Input 4 16 2 3" xfId="26868"/>
    <cellStyle name="Input 4 16 3" xfId="17144"/>
    <cellStyle name="Input 4 16 3 2" xfId="37212"/>
    <cellStyle name="Input 4 16 4" xfId="26867"/>
    <cellStyle name="Input 4 17" xfId="5639"/>
    <cellStyle name="Input 4 17 2" xfId="5640"/>
    <cellStyle name="Input 4 17 2 2" xfId="20111"/>
    <cellStyle name="Input 4 17 2 2 2" xfId="40179"/>
    <cellStyle name="Input 4 17 2 3" xfId="26870"/>
    <cellStyle name="Input 4 17 3" xfId="17033"/>
    <cellStyle name="Input 4 17 3 2" xfId="37101"/>
    <cellStyle name="Input 4 17 4" xfId="26869"/>
    <cellStyle name="Input 4 18" xfId="5641"/>
    <cellStyle name="Input 4 18 2" xfId="5642"/>
    <cellStyle name="Input 4 18 2 2" xfId="20112"/>
    <cellStyle name="Input 4 18 2 2 2" xfId="40180"/>
    <cellStyle name="Input 4 18 2 3" xfId="26872"/>
    <cellStyle name="Input 4 18 3" xfId="16436"/>
    <cellStyle name="Input 4 18 3 2" xfId="36504"/>
    <cellStyle name="Input 4 18 4" xfId="26871"/>
    <cellStyle name="Input 4 19" xfId="5643"/>
    <cellStyle name="Input 4 19 2" xfId="5644"/>
    <cellStyle name="Input 4 19 2 2" xfId="20113"/>
    <cellStyle name="Input 4 19 2 2 2" xfId="40181"/>
    <cellStyle name="Input 4 19 2 3" xfId="26874"/>
    <cellStyle name="Input 4 19 3" xfId="17487"/>
    <cellStyle name="Input 4 19 3 2" xfId="37555"/>
    <cellStyle name="Input 4 19 4" xfId="26873"/>
    <cellStyle name="Input 4 2" xfId="5645"/>
    <cellStyle name="Input 4 2 10" xfId="5646"/>
    <cellStyle name="Input 4 2 10 2" xfId="5647"/>
    <cellStyle name="Input 4 2 10 2 2" xfId="20115"/>
    <cellStyle name="Input 4 2 10 2 2 2" xfId="40183"/>
    <cellStyle name="Input 4 2 10 2 3" xfId="26877"/>
    <cellStyle name="Input 4 2 10 3" xfId="16378"/>
    <cellStyle name="Input 4 2 10 3 2" xfId="36446"/>
    <cellStyle name="Input 4 2 10 4" xfId="26876"/>
    <cellStyle name="Input 4 2 11" xfId="5648"/>
    <cellStyle name="Input 4 2 11 2" xfId="5649"/>
    <cellStyle name="Input 4 2 11 2 2" xfId="20116"/>
    <cellStyle name="Input 4 2 11 2 2 2" xfId="40184"/>
    <cellStyle name="Input 4 2 11 2 3" xfId="26879"/>
    <cellStyle name="Input 4 2 11 3" xfId="15408"/>
    <cellStyle name="Input 4 2 11 3 2" xfId="35476"/>
    <cellStyle name="Input 4 2 11 4" xfId="26878"/>
    <cellStyle name="Input 4 2 12" xfId="5650"/>
    <cellStyle name="Input 4 2 12 2" xfId="5651"/>
    <cellStyle name="Input 4 2 12 2 2" xfId="20117"/>
    <cellStyle name="Input 4 2 12 2 2 2" xfId="40185"/>
    <cellStyle name="Input 4 2 12 2 3" xfId="26881"/>
    <cellStyle name="Input 4 2 12 3" xfId="15523"/>
    <cellStyle name="Input 4 2 12 3 2" xfId="35591"/>
    <cellStyle name="Input 4 2 12 4" xfId="26880"/>
    <cellStyle name="Input 4 2 13" xfId="5652"/>
    <cellStyle name="Input 4 2 13 2" xfId="5653"/>
    <cellStyle name="Input 4 2 13 2 2" xfId="20118"/>
    <cellStyle name="Input 4 2 13 2 2 2" xfId="40186"/>
    <cellStyle name="Input 4 2 13 2 3" xfId="26883"/>
    <cellStyle name="Input 4 2 13 3" xfId="16027"/>
    <cellStyle name="Input 4 2 13 3 2" xfId="36095"/>
    <cellStyle name="Input 4 2 13 4" xfId="26882"/>
    <cellStyle name="Input 4 2 14" xfId="5654"/>
    <cellStyle name="Input 4 2 14 2" xfId="5655"/>
    <cellStyle name="Input 4 2 14 2 2" xfId="20119"/>
    <cellStyle name="Input 4 2 14 2 2 2" xfId="40187"/>
    <cellStyle name="Input 4 2 14 2 3" xfId="26885"/>
    <cellStyle name="Input 4 2 14 3" xfId="15757"/>
    <cellStyle name="Input 4 2 14 3 2" xfId="35825"/>
    <cellStyle name="Input 4 2 14 4" xfId="26884"/>
    <cellStyle name="Input 4 2 15" xfId="5656"/>
    <cellStyle name="Input 4 2 15 2" xfId="5657"/>
    <cellStyle name="Input 4 2 15 2 2" xfId="20120"/>
    <cellStyle name="Input 4 2 15 2 2 2" xfId="40188"/>
    <cellStyle name="Input 4 2 15 2 3" xfId="26887"/>
    <cellStyle name="Input 4 2 15 3" xfId="15554"/>
    <cellStyle name="Input 4 2 15 3 2" xfId="35622"/>
    <cellStyle name="Input 4 2 15 4" xfId="26886"/>
    <cellStyle name="Input 4 2 16" xfId="5658"/>
    <cellStyle name="Input 4 2 16 2" xfId="5659"/>
    <cellStyle name="Input 4 2 16 2 2" xfId="20121"/>
    <cellStyle name="Input 4 2 16 2 2 2" xfId="40189"/>
    <cellStyle name="Input 4 2 16 2 3" xfId="26889"/>
    <cellStyle name="Input 4 2 16 3" xfId="16188"/>
    <cellStyle name="Input 4 2 16 3 2" xfId="36256"/>
    <cellStyle name="Input 4 2 16 4" xfId="26888"/>
    <cellStyle name="Input 4 2 17" xfId="5660"/>
    <cellStyle name="Input 4 2 17 2" xfId="5661"/>
    <cellStyle name="Input 4 2 17 2 2" xfId="20122"/>
    <cellStyle name="Input 4 2 17 2 2 2" xfId="40190"/>
    <cellStyle name="Input 4 2 17 2 3" xfId="26891"/>
    <cellStyle name="Input 4 2 17 3" xfId="16078"/>
    <cellStyle name="Input 4 2 17 3 2" xfId="36146"/>
    <cellStyle name="Input 4 2 17 4" xfId="26890"/>
    <cellStyle name="Input 4 2 18" xfId="5662"/>
    <cellStyle name="Input 4 2 18 2" xfId="5663"/>
    <cellStyle name="Input 4 2 18 2 2" xfId="20123"/>
    <cellStyle name="Input 4 2 18 2 2 2" xfId="40191"/>
    <cellStyle name="Input 4 2 18 2 3" xfId="26893"/>
    <cellStyle name="Input 4 2 18 3" xfId="17488"/>
    <cellStyle name="Input 4 2 18 3 2" xfId="37556"/>
    <cellStyle name="Input 4 2 18 4" xfId="26892"/>
    <cellStyle name="Input 4 2 19" xfId="5664"/>
    <cellStyle name="Input 4 2 19 2" xfId="5665"/>
    <cellStyle name="Input 4 2 19 2 2" xfId="20124"/>
    <cellStyle name="Input 4 2 19 2 2 2" xfId="40192"/>
    <cellStyle name="Input 4 2 19 2 3" xfId="26895"/>
    <cellStyle name="Input 4 2 19 3" xfId="15525"/>
    <cellStyle name="Input 4 2 19 3 2" xfId="35593"/>
    <cellStyle name="Input 4 2 19 4" xfId="26894"/>
    <cellStyle name="Input 4 2 2" xfId="5666"/>
    <cellStyle name="Input 4 2 2 10" xfId="5667"/>
    <cellStyle name="Input 4 2 2 10 2" xfId="5668"/>
    <cellStyle name="Input 4 2 2 10 2 2" xfId="20126"/>
    <cellStyle name="Input 4 2 2 10 2 2 2" xfId="40194"/>
    <cellStyle name="Input 4 2 2 10 2 3" xfId="26898"/>
    <cellStyle name="Input 4 2 2 10 3" xfId="16934"/>
    <cellStyle name="Input 4 2 2 10 3 2" xfId="37002"/>
    <cellStyle name="Input 4 2 2 10 4" xfId="26897"/>
    <cellStyle name="Input 4 2 2 11" xfId="5669"/>
    <cellStyle name="Input 4 2 2 11 2" xfId="5670"/>
    <cellStyle name="Input 4 2 2 11 2 2" xfId="20127"/>
    <cellStyle name="Input 4 2 2 11 2 2 2" xfId="40195"/>
    <cellStyle name="Input 4 2 2 11 2 3" xfId="26900"/>
    <cellStyle name="Input 4 2 2 11 3" xfId="17069"/>
    <cellStyle name="Input 4 2 2 11 3 2" xfId="37137"/>
    <cellStyle name="Input 4 2 2 11 4" xfId="26899"/>
    <cellStyle name="Input 4 2 2 12" xfId="5671"/>
    <cellStyle name="Input 4 2 2 12 2" xfId="5672"/>
    <cellStyle name="Input 4 2 2 12 2 2" xfId="20128"/>
    <cellStyle name="Input 4 2 2 12 2 2 2" xfId="40196"/>
    <cellStyle name="Input 4 2 2 12 2 3" xfId="26902"/>
    <cellStyle name="Input 4 2 2 12 3" xfId="17241"/>
    <cellStyle name="Input 4 2 2 12 3 2" xfId="37309"/>
    <cellStyle name="Input 4 2 2 12 4" xfId="26901"/>
    <cellStyle name="Input 4 2 2 13" xfId="5673"/>
    <cellStyle name="Input 4 2 2 13 2" xfId="5674"/>
    <cellStyle name="Input 4 2 2 13 2 2" xfId="20129"/>
    <cellStyle name="Input 4 2 2 13 2 2 2" xfId="40197"/>
    <cellStyle name="Input 4 2 2 13 2 3" xfId="26904"/>
    <cellStyle name="Input 4 2 2 13 3" xfId="17411"/>
    <cellStyle name="Input 4 2 2 13 3 2" xfId="37479"/>
    <cellStyle name="Input 4 2 2 13 4" xfId="26903"/>
    <cellStyle name="Input 4 2 2 14" xfId="5675"/>
    <cellStyle name="Input 4 2 2 14 2" xfId="5676"/>
    <cellStyle name="Input 4 2 2 14 2 2" xfId="20130"/>
    <cellStyle name="Input 4 2 2 14 2 2 2" xfId="40198"/>
    <cellStyle name="Input 4 2 2 14 2 3" xfId="26906"/>
    <cellStyle name="Input 4 2 2 14 3" xfId="17539"/>
    <cellStyle name="Input 4 2 2 14 3 2" xfId="37607"/>
    <cellStyle name="Input 4 2 2 14 4" xfId="26905"/>
    <cellStyle name="Input 4 2 2 15" xfId="5677"/>
    <cellStyle name="Input 4 2 2 15 2" xfId="5678"/>
    <cellStyle name="Input 4 2 2 15 2 2" xfId="20131"/>
    <cellStyle name="Input 4 2 2 15 2 2 2" xfId="40199"/>
    <cellStyle name="Input 4 2 2 15 2 3" xfId="26908"/>
    <cellStyle name="Input 4 2 2 15 3" xfId="15927"/>
    <cellStyle name="Input 4 2 2 15 3 2" xfId="35995"/>
    <cellStyle name="Input 4 2 2 15 4" xfId="26907"/>
    <cellStyle name="Input 4 2 2 16" xfId="5679"/>
    <cellStyle name="Input 4 2 2 16 2" xfId="5680"/>
    <cellStyle name="Input 4 2 2 16 2 2" xfId="20132"/>
    <cellStyle name="Input 4 2 2 16 2 2 2" xfId="40200"/>
    <cellStyle name="Input 4 2 2 16 2 3" xfId="26910"/>
    <cellStyle name="Input 4 2 2 16 3" xfId="17790"/>
    <cellStyle name="Input 4 2 2 16 3 2" xfId="37858"/>
    <cellStyle name="Input 4 2 2 16 4" xfId="26909"/>
    <cellStyle name="Input 4 2 2 17" xfId="5681"/>
    <cellStyle name="Input 4 2 2 17 2" xfId="5682"/>
    <cellStyle name="Input 4 2 2 17 2 2" xfId="20133"/>
    <cellStyle name="Input 4 2 2 17 2 2 2" xfId="40201"/>
    <cellStyle name="Input 4 2 2 17 2 3" xfId="26912"/>
    <cellStyle name="Input 4 2 2 17 3" xfId="17919"/>
    <cellStyle name="Input 4 2 2 17 3 2" xfId="37987"/>
    <cellStyle name="Input 4 2 2 17 4" xfId="26911"/>
    <cellStyle name="Input 4 2 2 18" xfId="5683"/>
    <cellStyle name="Input 4 2 2 18 2" xfId="5684"/>
    <cellStyle name="Input 4 2 2 18 2 2" xfId="20134"/>
    <cellStyle name="Input 4 2 2 18 2 2 2" xfId="40202"/>
    <cellStyle name="Input 4 2 2 18 2 3" xfId="26914"/>
    <cellStyle name="Input 4 2 2 18 3" xfId="18069"/>
    <cellStyle name="Input 4 2 2 18 3 2" xfId="38137"/>
    <cellStyle name="Input 4 2 2 18 4" xfId="26913"/>
    <cellStyle name="Input 4 2 2 19" xfId="5685"/>
    <cellStyle name="Input 4 2 2 19 2" xfId="5686"/>
    <cellStyle name="Input 4 2 2 19 2 2" xfId="20135"/>
    <cellStyle name="Input 4 2 2 19 2 2 2" xfId="40203"/>
    <cellStyle name="Input 4 2 2 19 2 3" xfId="26916"/>
    <cellStyle name="Input 4 2 2 19 3" xfId="18186"/>
    <cellStyle name="Input 4 2 2 19 3 2" xfId="38254"/>
    <cellStyle name="Input 4 2 2 19 4" xfId="26915"/>
    <cellStyle name="Input 4 2 2 2" xfId="5687"/>
    <cellStyle name="Input 4 2 2 2 2" xfId="5688"/>
    <cellStyle name="Input 4 2 2 2 2 2" xfId="20136"/>
    <cellStyle name="Input 4 2 2 2 2 2 2" xfId="40204"/>
    <cellStyle name="Input 4 2 2 2 2 3" xfId="26918"/>
    <cellStyle name="Input 4 2 2 2 3" xfId="14655"/>
    <cellStyle name="Input 4 2 2 2 3 2" xfId="34723"/>
    <cellStyle name="Input 4 2 2 2 4" xfId="26917"/>
    <cellStyle name="Input 4 2 2 20" xfId="5689"/>
    <cellStyle name="Input 4 2 2 20 2" xfId="5690"/>
    <cellStyle name="Input 4 2 2 20 2 2" xfId="20137"/>
    <cellStyle name="Input 4 2 2 20 2 2 2" xfId="40205"/>
    <cellStyle name="Input 4 2 2 20 2 3" xfId="26920"/>
    <cellStyle name="Input 4 2 2 20 3" xfId="16064"/>
    <cellStyle name="Input 4 2 2 20 3 2" xfId="36132"/>
    <cellStyle name="Input 4 2 2 20 4" xfId="26919"/>
    <cellStyle name="Input 4 2 2 21" xfId="5691"/>
    <cellStyle name="Input 4 2 2 21 2" xfId="5692"/>
    <cellStyle name="Input 4 2 2 21 2 2" xfId="20138"/>
    <cellStyle name="Input 4 2 2 21 2 2 2" xfId="40206"/>
    <cellStyle name="Input 4 2 2 21 2 3" xfId="26922"/>
    <cellStyle name="Input 4 2 2 21 3" xfId="18381"/>
    <cellStyle name="Input 4 2 2 21 3 2" xfId="38449"/>
    <cellStyle name="Input 4 2 2 21 4" xfId="26921"/>
    <cellStyle name="Input 4 2 2 22" xfId="5693"/>
    <cellStyle name="Input 4 2 2 22 2" xfId="5694"/>
    <cellStyle name="Input 4 2 2 22 2 2" xfId="20139"/>
    <cellStyle name="Input 4 2 2 22 2 2 2" xfId="40207"/>
    <cellStyle name="Input 4 2 2 22 2 3" xfId="26924"/>
    <cellStyle name="Input 4 2 2 22 3" xfId="18525"/>
    <cellStyle name="Input 4 2 2 22 3 2" xfId="38593"/>
    <cellStyle name="Input 4 2 2 22 4" xfId="26923"/>
    <cellStyle name="Input 4 2 2 23" xfId="5695"/>
    <cellStyle name="Input 4 2 2 23 2" xfId="5696"/>
    <cellStyle name="Input 4 2 2 23 2 2" xfId="20140"/>
    <cellStyle name="Input 4 2 2 23 2 2 2" xfId="40208"/>
    <cellStyle name="Input 4 2 2 23 2 3" xfId="26926"/>
    <cellStyle name="Input 4 2 2 23 3" xfId="18636"/>
    <cellStyle name="Input 4 2 2 23 3 2" xfId="38704"/>
    <cellStyle name="Input 4 2 2 23 4" xfId="26925"/>
    <cellStyle name="Input 4 2 2 24" xfId="5697"/>
    <cellStyle name="Input 4 2 2 24 2" xfId="5698"/>
    <cellStyle name="Input 4 2 2 24 2 2" xfId="20141"/>
    <cellStyle name="Input 4 2 2 24 2 2 2" xfId="40209"/>
    <cellStyle name="Input 4 2 2 24 2 3" xfId="26928"/>
    <cellStyle name="Input 4 2 2 24 3" xfId="18736"/>
    <cellStyle name="Input 4 2 2 24 3 2" xfId="38804"/>
    <cellStyle name="Input 4 2 2 24 4" xfId="26927"/>
    <cellStyle name="Input 4 2 2 25" xfId="5699"/>
    <cellStyle name="Input 4 2 2 25 2" xfId="5700"/>
    <cellStyle name="Input 4 2 2 25 2 2" xfId="20142"/>
    <cellStyle name="Input 4 2 2 25 2 2 2" xfId="40210"/>
    <cellStyle name="Input 4 2 2 25 2 3" xfId="26930"/>
    <cellStyle name="Input 4 2 2 25 3" xfId="18836"/>
    <cellStyle name="Input 4 2 2 25 3 2" xfId="38904"/>
    <cellStyle name="Input 4 2 2 25 4" xfId="26929"/>
    <cellStyle name="Input 4 2 2 26" xfId="5701"/>
    <cellStyle name="Input 4 2 2 26 2" xfId="20125"/>
    <cellStyle name="Input 4 2 2 26 2 2" xfId="40193"/>
    <cellStyle name="Input 4 2 2 26 3" xfId="26931"/>
    <cellStyle name="Input 4 2 2 27" xfId="14263"/>
    <cellStyle name="Input 4 2 2 27 2" xfId="34331"/>
    <cellStyle name="Input 4 2 2 28" xfId="26896"/>
    <cellStyle name="Input 4 2 2 3" xfId="5702"/>
    <cellStyle name="Input 4 2 2 3 2" xfId="5703"/>
    <cellStyle name="Input 4 2 2 3 2 2" xfId="20143"/>
    <cellStyle name="Input 4 2 2 3 2 2 2" xfId="40211"/>
    <cellStyle name="Input 4 2 2 3 2 3" xfId="26933"/>
    <cellStyle name="Input 4 2 2 3 3" xfId="14774"/>
    <cellStyle name="Input 4 2 2 3 3 2" xfId="34842"/>
    <cellStyle name="Input 4 2 2 3 4" xfId="26932"/>
    <cellStyle name="Input 4 2 2 4" xfId="5704"/>
    <cellStyle name="Input 4 2 2 4 2" xfId="5705"/>
    <cellStyle name="Input 4 2 2 4 2 2" xfId="20144"/>
    <cellStyle name="Input 4 2 2 4 2 2 2" xfId="40212"/>
    <cellStyle name="Input 4 2 2 4 2 3" xfId="26935"/>
    <cellStyle name="Input 4 2 2 4 3" xfId="14893"/>
    <cellStyle name="Input 4 2 2 4 3 2" xfId="34961"/>
    <cellStyle name="Input 4 2 2 4 4" xfId="26934"/>
    <cellStyle name="Input 4 2 2 5" xfId="5706"/>
    <cellStyle name="Input 4 2 2 5 2" xfId="5707"/>
    <cellStyle name="Input 4 2 2 5 2 2" xfId="20145"/>
    <cellStyle name="Input 4 2 2 5 2 2 2" xfId="40213"/>
    <cellStyle name="Input 4 2 2 5 2 3" xfId="26937"/>
    <cellStyle name="Input 4 2 2 5 3" xfId="15062"/>
    <cellStyle name="Input 4 2 2 5 3 2" xfId="35130"/>
    <cellStyle name="Input 4 2 2 5 4" xfId="26936"/>
    <cellStyle name="Input 4 2 2 6" xfId="5708"/>
    <cellStyle name="Input 4 2 2 6 2" xfId="5709"/>
    <cellStyle name="Input 4 2 2 6 2 2" xfId="20146"/>
    <cellStyle name="Input 4 2 2 6 2 2 2" xfId="40214"/>
    <cellStyle name="Input 4 2 2 6 2 3" xfId="26939"/>
    <cellStyle name="Input 4 2 2 6 3" xfId="14140"/>
    <cellStyle name="Input 4 2 2 6 3 2" xfId="34208"/>
    <cellStyle name="Input 4 2 2 6 4" xfId="26938"/>
    <cellStyle name="Input 4 2 2 7" xfId="5710"/>
    <cellStyle name="Input 4 2 2 7 2" xfId="5711"/>
    <cellStyle name="Input 4 2 2 7 2 2" xfId="20147"/>
    <cellStyle name="Input 4 2 2 7 2 2 2" xfId="40215"/>
    <cellStyle name="Input 4 2 2 7 2 3" xfId="26941"/>
    <cellStyle name="Input 4 2 2 7 3" xfId="15205"/>
    <cellStyle name="Input 4 2 2 7 3 2" xfId="35273"/>
    <cellStyle name="Input 4 2 2 7 4" xfId="26940"/>
    <cellStyle name="Input 4 2 2 8" xfId="5712"/>
    <cellStyle name="Input 4 2 2 8 2" xfId="5713"/>
    <cellStyle name="Input 4 2 2 8 2 2" xfId="20148"/>
    <cellStyle name="Input 4 2 2 8 2 2 2" xfId="40216"/>
    <cellStyle name="Input 4 2 2 8 2 3" xfId="26943"/>
    <cellStyle name="Input 4 2 2 8 3" xfId="16559"/>
    <cellStyle name="Input 4 2 2 8 3 2" xfId="36627"/>
    <cellStyle name="Input 4 2 2 8 4" xfId="26942"/>
    <cellStyle name="Input 4 2 2 9" xfId="5714"/>
    <cellStyle name="Input 4 2 2 9 2" xfId="5715"/>
    <cellStyle name="Input 4 2 2 9 2 2" xfId="20149"/>
    <cellStyle name="Input 4 2 2 9 2 2 2" xfId="40217"/>
    <cellStyle name="Input 4 2 2 9 2 3" xfId="26945"/>
    <cellStyle name="Input 4 2 2 9 3" xfId="16763"/>
    <cellStyle name="Input 4 2 2 9 3 2" xfId="36831"/>
    <cellStyle name="Input 4 2 2 9 4" xfId="26944"/>
    <cellStyle name="Input 4 2 20" xfId="5716"/>
    <cellStyle name="Input 4 2 20 2" xfId="5717"/>
    <cellStyle name="Input 4 2 20 2 2" xfId="20150"/>
    <cellStyle name="Input 4 2 20 2 2 2" xfId="40218"/>
    <cellStyle name="Input 4 2 20 2 3" xfId="26947"/>
    <cellStyle name="Input 4 2 20 3" xfId="15968"/>
    <cellStyle name="Input 4 2 20 3 2" xfId="36036"/>
    <cellStyle name="Input 4 2 20 4" xfId="26946"/>
    <cellStyle name="Input 4 2 21" xfId="5718"/>
    <cellStyle name="Input 4 2 21 2" xfId="5719"/>
    <cellStyle name="Input 4 2 21 2 2" xfId="20151"/>
    <cellStyle name="Input 4 2 21 2 2 2" xfId="40219"/>
    <cellStyle name="Input 4 2 21 2 3" xfId="26949"/>
    <cellStyle name="Input 4 2 21 3" xfId="15832"/>
    <cellStyle name="Input 4 2 21 3 2" xfId="35900"/>
    <cellStyle name="Input 4 2 21 4" xfId="26948"/>
    <cellStyle name="Input 4 2 22" xfId="5720"/>
    <cellStyle name="Input 4 2 22 2" xfId="5721"/>
    <cellStyle name="Input 4 2 22 2 2" xfId="20152"/>
    <cellStyle name="Input 4 2 22 2 2 2" xfId="40220"/>
    <cellStyle name="Input 4 2 22 2 3" xfId="26951"/>
    <cellStyle name="Input 4 2 22 3" xfId="15455"/>
    <cellStyle name="Input 4 2 22 3 2" xfId="35523"/>
    <cellStyle name="Input 4 2 22 4" xfId="26950"/>
    <cellStyle name="Input 4 2 23" xfId="5722"/>
    <cellStyle name="Input 4 2 23 2" xfId="5723"/>
    <cellStyle name="Input 4 2 23 2 2" xfId="20153"/>
    <cellStyle name="Input 4 2 23 2 2 2" xfId="40221"/>
    <cellStyle name="Input 4 2 23 2 3" xfId="26953"/>
    <cellStyle name="Input 4 2 23 3" xfId="15725"/>
    <cellStyle name="Input 4 2 23 3 2" xfId="35793"/>
    <cellStyle name="Input 4 2 23 4" xfId="26952"/>
    <cellStyle name="Input 4 2 24" xfId="5724"/>
    <cellStyle name="Input 4 2 24 2" xfId="5725"/>
    <cellStyle name="Input 4 2 24 2 2" xfId="20154"/>
    <cellStyle name="Input 4 2 24 2 2 2" xfId="40222"/>
    <cellStyle name="Input 4 2 24 2 3" xfId="26955"/>
    <cellStyle name="Input 4 2 24 3" xfId="18327"/>
    <cellStyle name="Input 4 2 24 3 2" xfId="38395"/>
    <cellStyle name="Input 4 2 24 4" xfId="26954"/>
    <cellStyle name="Input 4 2 25" xfId="5726"/>
    <cellStyle name="Input 4 2 25 2" xfId="5727"/>
    <cellStyle name="Input 4 2 25 2 2" xfId="20155"/>
    <cellStyle name="Input 4 2 25 2 2 2" xfId="40223"/>
    <cellStyle name="Input 4 2 25 2 3" xfId="26957"/>
    <cellStyle name="Input 4 2 25 3" xfId="15477"/>
    <cellStyle name="Input 4 2 25 3 2" xfId="35545"/>
    <cellStyle name="Input 4 2 25 4" xfId="26956"/>
    <cellStyle name="Input 4 2 26" xfId="5728"/>
    <cellStyle name="Input 4 2 26 2" xfId="5729"/>
    <cellStyle name="Input 4 2 26 2 2" xfId="20156"/>
    <cellStyle name="Input 4 2 26 2 2 2" xfId="40224"/>
    <cellStyle name="Input 4 2 26 2 3" xfId="26959"/>
    <cellStyle name="Input 4 2 26 3" xfId="15425"/>
    <cellStyle name="Input 4 2 26 3 2" xfId="35493"/>
    <cellStyle name="Input 4 2 26 4" xfId="26958"/>
    <cellStyle name="Input 4 2 27" xfId="5730"/>
    <cellStyle name="Input 4 2 27 2" xfId="5731"/>
    <cellStyle name="Input 4 2 27 2 2" xfId="20157"/>
    <cellStyle name="Input 4 2 27 2 2 2" xfId="40225"/>
    <cellStyle name="Input 4 2 27 2 3" xfId="26961"/>
    <cellStyle name="Input 4 2 27 3" xfId="17648"/>
    <cellStyle name="Input 4 2 27 3 2" xfId="37716"/>
    <cellStyle name="Input 4 2 27 4" xfId="26960"/>
    <cellStyle name="Input 4 2 28" xfId="5732"/>
    <cellStyle name="Input 4 2 28 2" xfId="20114"/>
    <cellStyle name="Input 4 2 28 2 2" xfId="40182"/>
    <cellStyle name="Input 4 2 28 3" xfId="26962"/>
    <cellStyle name="Input 4 2 29" xfId="13875"/>
    <cellStyle name="Input 4 2 29 2" xfId="33943"/>
    <cellStyle name="Input 4 2 3" xfId="5733"/>
    <cellStyle name="Input 4 2 3 2" xfId="5734"/>
    <cellStyle name="Input 4 2 3 2 2" xfId="20158"/>
    <cellStyle name="Input 4 2 3 2 2 2" xfId="40226"/>
    <cellStyle name="Input 4 2 3 2 3" xfId="26964"/>
    <cellStyle name="Input 4 2 3 3" xfId="14356"/>
    <cellStyle name="Input 4 2 3 3 2" xfId="34424"/>
    <cellStyle name="Input 4 2 3 4" xfId="26963"/>
    <cellStyle name="Input 4 2 30" xfId="26875"/>
    <cellStyle name="Input 4 2 4" xfId="5735"/>
    <cellStyle name="Input 4 2 4 2" xfId="5736"/>
    <cellStyle name="Input 4 2 4 2 2" xfId="20159"/>
    <cellStyle name="Input 4 2 4 2 2 2" xfId="40227"/>
    <cellStyle name="Input 4 2 4 2 3" xfId="26966"/>
    <cellStyle name="Input 4 2 4 3" xfId="14204"/>
    <cellStyle name="Input 4 2 4 3 2" xfId="34272"/>
    <cellStyle name="Input 4 2 4 4" xfId="26965"/>
    <cellStyle name="Input 4 2 5" xfId="5737"/>
    <cellStyle name="Input 4 2 5 2" xfId="5738"/>
    <cellStyle name="Input 4 2 5 2 2" xfId="20160"/>
    <cellStyle name="Input 4 2 5 2 2 2" xfId="40228"/>
    <cellStyle name="Input 4 2 5 2 3" xfId="26968"/>
    <cellStyle name="Input 4 2 5 3" xfId="14157"/>
    <cellStyle name="Input 4 2 5 3 2" xfId="34225"/>
    <cellStyle name="Input 4 2 5 4" xfId="26967"/>
    <cellStyle name="Input 4 2 6" xfId="5739"/>
    <cellStyle name="Input 4 2 6 2" xfId="5740"/>
    <cellStyle name="Input 4 2 6 2 2" xfId="20161"/>
    <cellStyle name="Input 4 2 6 2 2 2" xfId="40229"/>
    <cellStyle name="Input 4 2 6 2 3" xfId="26970"/>
    <cellStyle name="Input 4 2 6 3" xfId="14725"/>
    <cellStyle name="Input 4 2 6 3 2" xfId="34793"/>
    <cellStyle name="Input 4 2 6 4" xfId="26969"/>
    <cellStyle name="Input 4 2 7" xfId="5741"/>
    <cellStyle name="Input 4 2 7 2" xfId="5742"/>
    <cellStyle name="Input 4 2 7 2 2" xfId="20162"/>
    <cellStyle name="Input 4 2 7 2 2 2" xfId="40230"/>
    <cellStyle name="Input 4 2 7 2 3" xfId="26972"/>
    <cellStyle name="Input 4 2 7 3" xfId="14109"/>
    <cellStyle name="Input 4 2 7 3 2" xfId="34177"/>
    <cellStyle name="Input 4 2 7 4" xfId="26971"/>
    <cellStyle name="Input 4 2 8" xfId="5743"/>
    <cellStyle name="Input 4 2 8 2" xfId="5744"/>
    <cellStyle name="Input 4 2 8 2 2" xfId="20163"/>
    <cellStyle name="Input 4 2 8 2 2 2" xfId="40231"/>
    <cellStyle name="Input 4 2 8 2 3" xfId="26974"/>
    <cellStyle name="Input 4 2 8 3" xfId="14208"/>
    <cellStyle name="Input 4 2 8 3 2" xfId="34276"/>
    <cellStyle name="Input 4 2 8 4" xfId="26973"/>
    <cellStyle name="Input 4 2 9" xfId="5745"/>
    <cellStyle name="Input 4 2 9 2" xfId="5746"/>
    <cellStyle name="Input 4 2 9 2 2" xfId="20164"/>
    <cellStyle name="Input 4 2 9 2 2 2" xfId="40232"/>
    <cellStyle name="Input 4 2 9 2 3" xfId="26976"/>
    <cellStyle name="Input 4 2 9 3" xfId="15281"/>
    <cellStyle name="Input 4 2 9 3 2" xfId="35349"/>
    <cellStyle name="Input 4 2 9 4" xfId="26975"/>
    <cellStyle name="Input 4 20" xfId="5747"/>
    <cellStyle name="Input 4 20 2" xfId="5748"/>
    <cellStyle name="Input 4 20 2 2" xfId="20165"/>
    <cellStyle name="Input 4 20 2 2 2" xfId="40233"/>
    <cellStyle name="Input 4 20 2 3" xfId="26978"/>
    <cellStyle name="Input 4 20 3" xfId="15828"/>
    <cellStyle name="Input 4 20 3 2" xfId="35896"/>
    <cellStyle name="Input 4 20 4" xfId="26977"/>
    <cellStyle name="Input 4 21" xfId="5749"/>
    <cellStyle name="Input 4 21 2" xfId="5750"/>
    <cellStyle name="Input 4 21 2 2" xfId="20166"/>
    <cellStyle name="Input 4 21 2 2 2" xfId="40234"/>
    <cellStyle name="Input 4 21 2 3" xfId="26980"/>
    <cellStyle name="Input 4 21 3" xfId="16724"/>
    <cellStyle name="Input 4 21 3 2" xfId="36792"/>
    <cellStyle name="Input 4 21 4" xfId="26979"/>
    <cellStyle name="Input 4 22" xfId="5751"/>
    <cellStyle name="Input 4 22 2" xfId="5752"/>
    <cellStyle name="Input 4 22 2 2" xfId="20167"/>
    <cellStyle name="Input 4 22 2 2 2" xfId="40235"/>
    <cellStyle name="Input 4 22 2 3" xfId="26982"/>
    <cellStyle name="Input 4 22 3" xfId="16504"/>
    <cellStyle name="Input 4 22 3 2" xfId="36572"/>
    <cellStyle name="Input 4 22 4" xfId="26981"/>
    <cellStyle name="Input 4 23" xfId="5753"/>
    <cellStyle name="Input 4 23 2" xfId="5754"/>
    <cellStyle name="Input 4 23 2 2" xfId="20168"/>
    <cellStyle name="Input 4 23 2 2 2" xfId="40236"/>
    <cellStyle name="Input 4 23 2 3" xfId="26984"/>
    <cellStyle name="Input 4 23 3" xfId="16225"/>
    <cellStyle name="Input 4 23 3 2" xfId="36293"/>
    <cellStyle name="Input 4 23 4" xfId="26983"/>
    <cellStyle name="Input 4 24" xfId="5755"/>
    <cellStyle name="Input 4 24 2" xfId="5756"/>
    <cellStyle name="Input 4 24 2 2" xfId="20169"/>
    <cellStyle name="Input 4 24 2 2 2" xfId="40237"/>
    <cellStyle name="Input 4 24 2 3" xfId="26986"/>
    <cellStyle name="Input 4 24 3" xfId="18270"/>
    <cellStyle name="Input 4 24 3 2" xfId="38338"/>
    <cellStyle name="Input 4 24 4" xfId="26985"/>
    <cellStyle name="Input 4 25" xfId="5757"/>
    <cellStyle name="Input 4 25 2" xfId="5758"/>
    <cellStyle name="Input 4 25 2 2" xfId="20170"/>
    <cellStyle name="Input 4 25 2 2 2" xfId="40238"/>
    <cellStyle name="Input 4 25 2 3" xfId="26988"/>
    <cellStyle name="Input 4 25 3" xfId="18283"/>
    <cellStyle name="Input 4 25 3 2" xfId="38351"/>
    <cellStyle name="Input 4 25 4" xfId="26987"/>
    <cellStyle name="Input 4 26" xfId="5759"/>
    <cellStyle name="Input 4 26 2" xfId="5760"/>
    <cellStyle name="Input 4 26 2 2" xfId="20171"/>
    <cellStyle name="Input 4 26 2 2 2" xfId="40239"/>
    <cellStyle name="Input 4 26 2 3" xfId="26990"/>
    <cellStyle name="Input 4 26 3" xfId="16405"/>
    <cellStyle name="Input 4 26 3 2" xfId="36473"/>
    <cellStyle name="Input 4 26 4" xfId="26989"/>
    <cellStyle name="Input 4 27" xfId="5761"/>
    <cellStyle name="Input 4 27 2" xfId="5762"/>
    <cellStyle name="Input 4 27 2 2" xfId="20172"/>
    <cellStyle name="Input 4 27 2 2 2" xfId="40240"/>
    <cellStyle name="Input 4 27 2 3" xfId="26992"/>
    <cellStyle name="Input 4 27 3" xfId="16087"/>
    <cellStyle name="Input 4 27 3 2" xfId="36155"/>
    <cellStyle name="Input 4 27 4" xfId="26991"/>
    <cellStyle name="Input 4 28" xfId="5763"/>
    <cellStyle name="Input 4 28 2" xfId="5764"/>
    <cellStyle name="Input 4 28 2 2" xfId="20173"/>
    <cellStyle name="Input 4 28 2 2 2" xfId="40241"/>
    <cellStyle name="Input 4 28 2 3" xfId="26994"/>
    <cellStyle name="Input 4 28 3" xfId="15720"/>
    <cellStyle name="Input 4 28 3 2" xfId="35788"/>
    <cellStyle name="Input 4 28 4" xfId="26993"/>
    <cellStyle name="Input 4 29" xfId="5765"/>
    <cellStyle name="Input 4 29 2" xfId="20103"/>
    <cellStyle name="Input 4 29 2 2" xfId="40171"/>
    <cellStyle name="Input 4 29 3" xfId="26995"/>
    <cellStyle name="Input 4 3" xfId="5766"/>
    <cellStyle name="Input 4 3 10" xfId="5767"/>
    <cellStyle name="Input 4 3 10 2" xfId="5768"/>
    <cellStyle name="Input 4 3 10 2 2" xfId="20175"/>
    <cellStyle name="Input 4 3 10 2 2 2" xfId="40243"/>
    <cellStyle name="Input 4 3 10 2 3" xfId="26998"/>
    <cellStyle name="Input 4 3 10 3" xfId="16933"/>
    <cellStyle name="Input 4 3 10 3 2" xfId="37001"/>
    <cellStyle name="Input 4 3 10 4" xfId="26997"/>
    <cellStyle name="Input 4 3 11" xfId="5769"/>
    <cellStyle name="Input 4 3 11 2" xfId="5770"/>
    <cellStyle name="Input 4 3 11 2 2" xfId="20176"/>
    <cellStyle name="Input 4 3 11 2 2 2" xfId="40244"/>
    <cellStyle name="Input 4 3 11 2 3" xfId="27000"/>
    <cellStyle name="Input 4 3 11 3" xfId="17068"/>
    <cellStyle name="Input 4 3 11 3 2" xfId="37136"/>
    <cellStyle name="Input 4 3 11 4" xfId="26999"/>
    <cellStyle name="Input 4 3 12" xfId="5771"/>
    <cellStyle name="Input 4 3 12 2" xfId="5772"/>
    <cellStyle name="Input 4 3 12 2 2" xfId="20177"/>
    <cellStyle name="Input 4 3 12 2 2 2" xfId="40245"/>
    <cellStyle name="Input 4 3 12 2 3" xfId="27002"/>
    <cellStyle name="Input 4 3 12 3" xfId="17240"/>
    <cellStyle name="Input 4 3 12 3 2" xfId="37308"/>
    <cellStyle name="Input 4 3 12 4" xfId="27001"/>
    <cellStyle name="Input 4 3 13" xfId="5773"/>
    <cellStyle name="Input 4 3 13 2" xfId="5774"/>
    <cellStyle name="Input 4 3 13 2 2" xfId="20178"/>
    <cellStyle name="Input 4 3 13 2 2 2" xfId="40246"/>
    <cellStyle name="Input 4 3 13 2 3" xfId="27004"/>
    <cellStyle name="Input 4 3 13 3" xfId="17410"/>
    <cellStyle name="Input 4 3 13 3 2" xfId="37478"/>
    <cellStyle name="Input 4 3 13 4" xfId="27003"/>
    <cellStyle name="Input 4 3 14" xfId="5775"/>
    <cellStyle name="Input 4 3 14 2" xfId="5776"/>
    <cellStyle name="Input 4 3 14 2 2" xfId="20179"/>
    <cellStyle name="Input 4 3 14 2 2 2" xfId="40247"/>
    <cellStyle name="Input 4 3 14 2 3" xfId="27006"/>
    <cellStyle name="Input 4 3 14 3" xfId="17538"/>
    <cellStyle name="Input 4 3 14 3 2" xfId="37606"/>
    <cellStyle name="Input 4 3 14 4" xfId="27005"/>
    <cellStyle name="Input 4 3 15" xfId="5777"/>
    <cellStyle name="Input 4 3 15 2" xfId="5778"/>
    <cellStyle name="Input 4 3 15 2 2" xfId="20180"/>
    <cellStyle name="Input 4 3 15 2 2 2" xfId="40248"/>
    <cellStyle name="Input 4 3 15 2 3" xfId="27008"/>
    <cellStyle name="Input 4 3 15 3" xfId="16638"/>
    <cellStyle name="Input 4 3 15 3 2" xfId="36706"/>
    <cellStyle name="Input 4 3 15 4" xfId="27007"/>
    <cellStyle name="Input 4 3 16" xfId="5779"/>
    <cellStyle name="Input 4 3 16 2" xfId="5780"/>
    <cellStyle name="Input 4 3 16 2 2" xfId="20181"/>
    <cellStyle name="Input 4 3 16 2 2 2" xfId="40249"/>
    <cellStyle name="Input 4 3 16 2 3" xfId="27010"/>
    <cellStyle name="Input 4 3 16 3" xfId="17789"/>
    <cellStyle name="Input 4 3 16 3 2" xfId="37857"/>
    <cellStyle name="Input 4 3 16 4" xfId="27009"/>
    <cellStyle name="Input 4 3 17" xfId="5781"/>
    <cellStyle name="Input 4 3 17 2" xfId="5782"/>
    <cellStyle name="Input 4 3 17 2 2" xfId="20182"/>
    <cellStyle name="Input 4 3 17 2 2 2" xfId="40250"/>
    <cellStyle name="Input 4 3 17 2 3" xfId="27012"/>
    <cellStyle name="Input 4 3 17 3" xfId="17918"/>
    <cellStyle name="Input 4 3 17 3 2" xfId="37986"/>
    <cellStyle name="Input 4 3 17 4" xfId="27011"/>
    <cellStyle name="Input 4 3 18" xfId="5783"/>
    <cellStyle name="Input 4 3 18 2" xfId="5784"/>
    <cellStyle name="Input 4 3 18 2 2" xfId="20183"/>
    <cellStyle name="Input 4 3 18 2 2 2" xfId="40251"/>
    <cellStyle name="Input 4 3 18 2 3" xfId="27014"/>
    <cellStyle name="Input 4 3 18 3" xfId="18068"/>
    <cellStyle name="Input 4 3 18 3 2" xfId="38136"/>
    <cellStyle name="Input 4 3 18 4" xfId="27013"/>
    <cellStyle name="Input 4 3 19" xfId="5785"/>
    <cellStyle name="Input 4 3 19 2" xfId="5786"/>
    <cellStyle name="Input 4 3 19 2 2" xfId="20184"/>
    <cellStyle name="Input 4 3 19 2 2 2" xfId="40252"/>
    <cellStyle name="Input 4 3 19 2 3" xfId="27016"/>
    <cellStyle name="Input 4 3 19 3" xfId="18185"/>
    <cellStyle name="Input 4 3 19 3 2" xfId="38253"/>
    <cellStyle name="Input 4 3 19 4" xfId="27015"/>
    <cellStyle name="Input 4 3 2" xfId="5787"/>
    <cellStyle name="Input 4 3 2 2" xfId="5788"/>
    <cellStyle name="Input 4 3 2 2 2" xfId="20185"/>
    <cellStyle name="Input 4 3 2 2 2 2" xfId="40253"/>
    <cellStyle name="Input 4 3 2 2 3" xfId="27018"/>
    <cellStyle name="Input 4 3 2 3" xfId="14654"/>
    <cellStyle name="Input 4 3 2 3 2" xfId="34722"/>
    <cellStyle name="Input 4 3 2 4" xfId="27017"/>
    <cellStyle name="Input 4 3 20" xfId="5789"/>
    <cellStyle name="Input 4 3 20 2" xfId="5790"/>
    <cellStyle name="Input 4 3 20 2 2" xfId="20186"/>
    <cellStyle name="Input 4 3 20 2 2 2" xfId="40254"/>
    <cellStyle name="Input 4 3 20 2 3" xfId="27020"/>
    <cellStyle name="Input 4 3 20 3" xfId="16223"/>
    <cellStyle name="Input 4 3 20 3 2" xfId="36291"/>
    <cellStyle name="Input 4 3 20 4" xfId="27019"/>
    <cellStyle name="Input 4 3 21" xfId="5791"/>
    <cellStyle name="Input 4 3 21 2" xfId="5792"/>
    <cellStyle name="Input 4 3 21 2 2" xfId="20187"/>
    <cellStyle name="Input 4 3 21 2 2 2" xfId="40255"/>
    <cellStyle name="Input 4 3 21 2 3" xfId="27022"/>
    <cellStyle name="Input 4 3 21 3" xfId="18380"/>
    <cellStyle name="Input 4 3 21 3 2" xfId="38448"/>
    <cellStyle name="Input 4 3 21 4" xfId="27021"/>
    <cellStyle name="Input 4 3 22" xfId="5793"/>
    <cellStyle name="Input 4 3 22 2" xfId="5794"/>
    <cellStyle name="Input 4 3 22 2 2" xfId="20188"/>
    <cellStyle name="Input 4 3 22 2 2 2" xfId="40256"/>
    <cellStyle name="Input 4 3 22 2 3" xfId="27024"/>
    <cellStyle name="Input 4 3 22 3" xfId="18524"/>
    <cellStyle name="Input 4 3 22 3 2" xfId="38592"/>
    <cellStyle name="Input 4 3 22 4" xfId="27023"/>
    <cellStyle name="Input 4 3 23" xfId="5795"/>
    <cellStyle name="Input 4 3 23 2" xfId="5796"/>
    <cellStyle name="Input 4 3 23 2 2" xfId="20189"/>
    <cellStyle name="Input 4 3 23 2 2 2" xfId="40257"/>
    <cellStyle name="Input 4 3 23 2 3" xfId="27026"/>
    <cellStyle name="Input 4 3 23 3" xfId="18635"/>
    <cellStyle name="Input 4 3 23 3 2" xfId="38703"/>
    <cellStyle name="Input 4 3 23 4" xfId="27025"/>
    <cellStyle name="Input 4 3 24" xfId="5797"/>
    <cellStyle name="Input 4 3 24 2" xfId="5798"/>
    <cellStyle name="Input 4 3 24 2 2" xfId="20190"/>
    <cellStyle name="Input 4 3 24 2 2 2" xfId="40258"/>
    <cellStyle name="Input 4 3 24 2 3" xfId="27028"/>
    <cellStyle name="Input 4 3 24 3" xfId="18735"/>
    <cellStyle name="Input 4 3 24 3 2" xfId="38803"/>
    <cellStyle name="Input 4 3 24 4" xfId="27027"/>
    <cellStyle name="Input 4 3 25" xfId="5799"/>
    <cellStyle name="Input 4 3 25 2" xfId="5800"/>
    <cellStyle name="Input 4 3 25 2 2" xfId="20191"/>
    <cellStyle name="Input 4 3 25 2 2 2" xfId="40259"/>
    <cellStyle name="Input 4 3 25 2 3" xfId="27030"/>
    <cellStyle name="Input 4 3 25 3" xfId="18835"/>
    <cellStyle name="Input 4 3 25 3 2" xfId="38903"/>
    <cellStyle name="Input 4 3 25 4" xfId="27029"/>
    <cellStyle name="Input 4 3 26" xfId="5801"/>
    <cellStyle name="Input 4 3 26 2" xfId="20174"/>
    <cellStyle name="Input 4 3 26 2 2" xfId="40242"/>
    <cellStyle name="Input 4 3 26 3" xfId="27031"/>
    <cellStyle name="Input 4 3 27" xfId="14166"/>
    <cellStyle name="Input 4 3 27 2" xfId="34234"/>
    <cellStyle name="Input 4 3 28" xfId="26996"/>
    <cellStyle name="Input 4 3 3" xfId="5802"/>
    <cellStyle name="Input 4 3 3 2" xfId="5803"/>
    <cellStyle name="Input 4 3 3 2 2" xfId="20192"/>
    <cellStyle name="Input 4 3 3 2 2 2" xfId="40260"/>
    <cellStyle name="Input 4 3 3 2 3" xfId="27033"/>
    <cellStyle name="Input 4 3 3 3" xfId="14773"/>
    <cellStyle name="Input 4 3 3 3 2" xfId="34841"/>
    <cellStyle name="Input 4 3 3 4" xfId="27032"/>
    <cellStyle name="Input 4 3 4" xfId="5804"/>
    <cellStyle name="Input 4 3 4 2" xfId="5805"/>
    <cellStyle name="Input 4 3 4 2 2" xfId="20193"/>
    <cellStyle name="Input 4 3 4 2 2 2" xfId="40261"/>
    <cellStyle name="Input 4 3 4 2 3" xfId="27035"/>
    <cellStyle name="Input 4 3 4 3" xfId="14892"/>
    <cellStyle name="Input 4 3 4 3 2" xfId="34960"/>
    <cellStyle name="Input 4 3 4 4" xfId="27034"/>
    <cellStyle name="Input 4 3 5" xfId="5806"/>
    <cellStyle name="Input 4 3 5 2" xfId="5807"/>
    <cellStyle name="Input 4 3 5 2 2" xfId="20194"/>
    <cellStyle name="Input 4 3 5 2 2 2" xfId="40262"/>
    <cellStyle name="Input 4 3 5 2 3" xfId="27037"/>
    <cellStyle name="Input 4 3 5 3" xfId="15061"/>
    <cellStyle name="Input 4 3 5 3 2" xfId="35129"/>
    <cellStyle name="Input 4 3 5 4" xfId="27036"/>
    <cellStyle name="Input 4 3 6" xfId="5808"/>
    <cellStyle name="Input 4 3 6 2" xfId="5809"/>
    <cellStyle name="Input 4 3 6 2 2" xfId="20195"/>
    <cellStyle name="Input 4 3 6 2 2 2" xfId="40263"/>
    <cellStyle name="Input 4 3 6 2 3" xfId="27039"/>
    <cellStyle name="Input 4 3 6 3" xfId="14067"/>
    <cellStyle name="Input 4 3 6 3 2" xfId="34135"/>
    <cellStyle name="Input 4 3 6 4" xfId="27038"/>
    <cellStyle name="Input 4 3 7" xfId="5810"/>
    <cellStyle name="Input 4 3 7 2" xfId="5811"/>
    <cellStyle name="Input 4 3 7 2 2" xfId="20196"/>
    <cellStyle name="Input 4 3 7 2 2 2" xfId="40264"/>
    <cellStyle name="Input 4 3 7 2 3" xfId="27041"/>
    <cellStyle name="Input 4 3 7 3" xfId="15204"/>
    <cellStyle name="Input 4 3 7 3 2" xfId="35272"/>
    <cellStyle name="Input 4 3 7 4" xfId="27040"/>
    <cellStyle name="Input 4 3 8" xfId="5812"/>
    <cellStyle name="Input 4 3 8 2" xfId="5813"/>
    <cellStyle name="Input 4 3 8 2 2" xfId="20197"/>
    <cellStyle name="Input 4 3 8 2 2 2" xfId="40265"/>
    <cellStyle name="Input 4 3 8 2 3" xfId="27043"/>
    <cellStyle name="Input 4 3 8 3" xfId="16558"/>
    <cellStyle name="Input 4 3 8 3 2" xfId="36626"/>
    <cellStyle name="Input 4 3 8 4" xfId="27042"/>
    <cellStyle name="Input 4 3 9" xfId="5814"/>
    <cellStyle name="Input 4 3 9 2" xfId="5815"/>
    <cellStyle name="Input 4 3 9 2 2" xfId="20198"/>
    <cellStyle name="Input 4 3 9 2 2 2" xfId="40266"/>
    <cellStyle name="Input 4 3 9 2 3" xfId="27045"/>
    <cellStyle name="Input 4 3 9 3" xfId="16762"/>
    <cellStyle name="Input 4 3 9 3 2" xfId="36830"/>
    <cellStyle name="Input 4 3 9 4" xfId="27044"/>
    <cellStyle name="Input 4 30" xfId="13874"/>
    <cellStyle name="Input 4 30 2" xfId="33942"/>
    <cellStyle name="Input 4 31" xfId="26854"/>
    <cellStyle name="Input 4 4" xfId="5816"/>
    <cellStyle name="Input 4 4 2" xfId="5817"/>
    <cellStyle name="Input 4 4 2 2" xfId="20199"/>
    <cellStyle name="Input 4 4 2 2 2" xfId="40267"/>
    <cellStyle name="Input 4 4 2 3" xfId="27047"/>
    <cellStyle name="Input 4 4 3" xfId="14522"/>
    <cellStyle name="Input 4 4 3 2" xfId="34590"/>
    <cellStyle name="Input 4 4 4" xfId="27046"/>
    <cellStyle name="Input 4 5" xfId="5818"/>
    <cellStyle name="Input 4 5 2" xfId="5819"/>
    <cellStyle name="Input 4 5 2 2" xfId="20200"/>
    <cellStyle name="Input 4 5 2 2 2" xfId="40268"/>
    <cellStyle name="Input 4 5 2 3" xfId="27049"/>
    <cellStyle name="Input 4 5 3" xfId="14071"/>
    <cellStyle name="Input 4 5 3 2" xfId="34139"/>
    <cellStyle name="Input 4 5 4" xfId="27048"/>
    <cellStyle name="Input 4 6" xfId="5820"/>
    <cellStyle name="Input 4 6 2" xfId="5821"/>
    <cellStyle name="Input 4 6 2 2" xfId="20201"/>
    <cellStyle name="Input 4 6 2 2 2" xfId="40269"/>
    <cellStyle name="Input 4 6 2 3" xfId="27051"/>
    <cellStyle name="Input 4 6 3" xfId="14048"/>
    <cellStyle name="Input 4 6 3 2" xfId="34116"/>
    <cellStyle name="Input 4 6 4" xfId="27050"/>
    <cellStyle name="Input 4 7" xfId="5822"/>
    <cellStyle name="Input 4 7 2" xfId="5823"/>
    <cellStyle name="Input 4 7 2 2" xfId="20202"/>
    <cellStyle name="Input 4 7 2 2 2" xfId="40270"/>
    <cellStyle name="Input 4 7 2 3" xfId="27053"/>
    <cellStyle name="Input 4 7 3" xfId="14724"/>
    <cellStyle name="Input 4 7 3 2" xfId="34792"/>
    <cellStyle name="Input 4 7 4" xfId="27052"/>
    <cellStyle name="Input 4 8" xfId="5824"/>
    <cellStyle name="Input 4 8 2" xfId="5825"/>
    <cellStyle name="Input 4 8 2 2" xfId="20203"/>
    <cellStyle name="Input 4 8 2 2 2" xfId="40271"/>
    <cellStyle name="Input 4 8 2 3" xfId="27055"/>
    <cellStyle name="Input 4 8 3" xfId="14052"/>
    <cellStyle name="Input 4 8 3 2" xfId="34120"/>
    <cellStyle name="Input 4 8 4" xfId="27054"/>
    <cellStyle name="Input 4 9" xfId="5826"/>
    <cellStyle name="Input 4 9 2" xfId="5827"/>
    <cellStyle name="Input 4 9 2 2" xfId="20204"/>
    <cellStyle name="Input 4 9 2 2 2" xfId="40272"/>
    <cellStyle name="Input 4 9 2 3" xfId="27057"/>
    <cellStyle name="Input 4 9 3" xfId="14467"/>
    <cellStyle name="Input 4 9 3 2" xfId="34535"/>
    <cellStyle name="Input 4 9 4" xfId="27056"/>
    <cellStyle name="Input 4_2011-2012" xfId="5828"/>
    <cellStyle name="Input 5" xfId="5829"/>
    <cellStyle name="Input 5 10" xfId="5830"/>
    <cellStyle name="Input 5 10 2" xfId="5831"/>
    <cellStyle name="Input 5 10 2 2" xfId="20206"/>
    <cellStyle name="Input 5 10 2 2 2" xfId="40274"/>
    <cellStyle name="Input 5 10 2 3" xfId="27060"/>
    <cellStyle name="Input 5 10 3" xfId="16379"/>
    <cellStyle name="Input 5 10 3 2" xfId="36447"/>
    <cellStyle name="Input 5 10 4" xfId="27059"/>
    <cellStyle name="Input 5 11" xfId="5832"/>
    <cellStyle name="Input 5 11 2" xfId="5833"/>
    <cellStyle name="Input 5 11 2 2" xfId="20207"/>
    <cellStyle name="Input 5 11 2 2 2" xfId="40275"/>
    <cellStyle name="Input 5 11 2 3" xfId="27062"/>
    <cellStyle name="Input 5 11 3" xfId="15407"/>
    <cellStyle name="Input 5 11 3 2" xfId="35475"/>
    <cellStyle name="Input 5 11 4" xfId="27061"/>
    <cellStyle name="Input 5 12" xfId="5834"/>
    <cellStyle name="Input 5 12 2" xfId="5835"/>
    <cellStyle name="Input 5 12 2 2" xfId="20208"/>
    <cellStyle name="Input 5 12 2 2 2" xfId="40276"/>
    <cellStyle name="Input 5 12 2 3" xfId="27064"/>
    <cellStyle name="Input 5 12 3" xfId="15560"/>
    <cellStyle name="Input 5 12 3 2" xfId="35628"/>
    <cellStyle name="Input 5 12 4" xfId="27063"/>
    <cellStyle name="Input 5 13" xfId="5836"/>
    <cellStyle name="Input 5 13 2" xfId="5837"/>
    <cellStyle name="Input 5 13 2 2" xfId="20209"/>
    <cellStyle name="Input 5 13 2 2 2" xfId="40277"/>
    <cellStyle name="Input 5 13 2 3" xfId="27066"/>
    <cellStyle name="Input 5 13 3" xfId="16024"/>
    <cellStyle name="Input 5 13 3 2" xfId="36092"/>
    <cellStyle name="Input 5 13 4" xfId="27065"/>
    <cellStyle name="Input 5 14" xfId="5838"/>
    <cellStyle name="Input 5 14 2" xfId="5839"/>
    <cellStyle name="Input 5 14 2 2" xfId="20210"/>
    <cellStyle name="Input 5 14 2 2 2" xfId="40278"/>
    <cellStyle name="Input 5 14 2 3" xfId="27068"/>
    <cellStyle name="Input 5 14 3" xfId="16725"/>
    <cellStyle name="Input 5 14 3 2" xfId="36793"/>
    <cellStyle name="Input 5 14 4" xfId="27067"/>
    <cellStyle name="Input 5 15" xfId="5840"/>
    <cellStyle name="Input 5 15 2" xfId="5841"/>
    <cellStyle name="Input 5 15 2 2" xfId="20211"/>
    <cellStyle name="Input 5 15 2 2 2" xfId="40279"/>
    <cellStyle name="Input 5 15 2 3" xfId="27070"/>
    <cellStyle name="Input 5 15 3" xfId="15911"/>
    <cellStyle name="Input 5 15 3 2" xfId="35979"/>
    <cellStyle name="Input 5 15 4" xfId="27069"/>
    <cellStyle name="Input 5 16" xfId="5842"/>
    <cellStyle name="Input 5 16 2" xfId="5843"/>
    <cellStyle name="Input 5 16 2 2" xfId="20212"/>
    <cellStyle name="Input 5 16 2 2 2" xfId="40280"/>
    <cellStyle name="Input 5 16 2 3" xfId="27072"/>
    <cellStyle name="Input 5 16 3" xfId="17031"/>
    <cellStyle name="Input 5 16 3 2" xfId="37099"/>
    <cellStyle name="Input 5 16 4" xfId="27071"/>
    <cellStyle name="Input 5 17" xfId="5844"/>
    <cellStyle name="Input 5 17 2" xfId="5845"/>
    <cellStyle name="Input 5 17 2 2" xfId="20213"/>
    <cellStyle name="Input 5 17 2 2 2" xfId="40281"/>
    <cellStyle name="Input 5 17 2 3" xfId="27074"/>
    <cellStyle name="Input 5 17 3" xfId="16050"/>
    <cellStyle name="Input 5 17 3 2" xfId="36118"/>
    <cellStyle name="Input 5 17 4" xfId="27073"/>
    <cellStyle name="Input 5 18" xfId="5846"/>
    <cellStyle name="Input 5 18 2" xfId="5847"/>
    <cellStyle name="Input 5 18 2 2" xfId="20214"/>
    <cellStyle name="Input 5 18 2 2 2" xfId="40282"/>
    <cellStyle name="Input 5 18 2 3" xfId="27076"/>
    <cellStyle name="Input 5 18 3" xfId="15527"/>
    <cellStyle name="Input 5 18 3 2" xfId="35595"/>
    <cellStyle name="Input 5 18 4" xfId="27075"/>
    <cellStyle name="Input 5 19" xfId="5848"/>
    <cellStyle name="Input 5 19 2" xfId="5849"/>
    <cellStyle name="Input 5 19 2 2" xfId="20215"/>
    <cellStyle name="Input 5 19 2 2 2" xfId="40283"/>
    <cellStyle name="Input 5 19 2 3" xfId="27078"/>
    <cellStyle name="Input 5 19 3" xfId="15596"/>
    <cellStyle name="Input 5 19 3 2" xfId="35664"/>
    <cellStyle name="Input 5 19 4" xfId="27077"/>
    <cellStyle name="Input 5 2" xfId="5850"/>
    <cellStyle name="Input 5 2 10" xfId="5851"/>
    <cellStyle name="Input 5 2 10 2" xfId="5852"/>
    <cellStyle name="Input 5 2 10 2 2" xfId="20217"/>
    <cellStyle name="Input 5 2 10 2 2 2" xfId="40285"/>
    <cellStyle name="Input 5 2 10 2 3" xfId="27081"/>
    <cellStyle name="Input 5 2 10 3" xfId="16935"/>
    <cellStyle name="Input 5 2 10 3 2" xfId="37003"/>
    <cellStyle name="Input 5 2 10 4" xfId="27080"/>
    <cellStyle name="Input 5 2 11" xfId="5853"/>
    <cellStyle name="Input 5 2 11 2" xfId="5854"/>
    <cellStyle name="Input 5 2 11 2 2" xfId="20218"/>
    <cellStyle name="Input 5 2 11 2 2 2" xfId="40286"/>
    <cellStyle name="Input 5 2 11 2 3" xfId="27083"/>
    <cellStyle name="Input 5 2 11 3" xfId="17070"/>
    <cellStyle name="Input 5 2 11 3 2" xfId="37138"/>
    <cellStyle name="Input 5 2 11 4" xfId="27082"/>
    <cellStyle name="Input 5 2 12" xfId="5855"/>
    <cellStyle name="Input 5 2 12 2" xfId="5856"/>
    <cellStyle name="Input 5 2 12 2 2" xfId="20219"/>
    <cellStyle name="Input 5 2 12 2 2 2" xfId="40287"/>
    <cellStyle name="Input 5 2 12 2 3" xfId="27085"/>
    <cellStyle name="Input 5 2 12 3" xfId="17242"/>
    <cellStyle name="Input 5 2 12 3 2" xfId="37310"/>
    <cellStyle name="Input 5 2 12 4" xfId="27084"/>
    <cellStyle name="Input 5 2 13" xfId="5857"/>
    <cellStyle name="Input 5 2 13 2" xfId="5858"/>
    <cellStyle name="Input 5 2 13 2 2" xfId="20220"/>
    <cellStyle name="Input 5 2 13 2 2 2" xfId="40288"/>
    <cellStyle name="Input 5 2 13 2 3" xfId="27087"/>
    <cellStyle name="Input 5 2 13 3" xfId="17412"/>
    <cellStyle name="Input 5 2 13 3 2" xfId="37480"/>
    <cellStyle name="Input 5 2 13 4" xfId="27086"/>
    <cellStyle name="Input 5 2 14" xfId="5859"/>
    <cellStyle name="Input 5 2 14 2" xfId="5860"/>
    <cellStyle name="Input 5 2 14 2 2" xfId="20221"/>
    <cellStyle name="Input 5 2 14 2 2 2" xfId="40289"/>
    <cellStyle name="Input 5 2 14 2 3" xfId="27089"/>
    <cellStyle name="Input 5 2 14 3" xfId="17540"/>
    <cellStyle name="Input 5 2 14 3 2" xfId="37608"/>
    <cellStyle name="Input 5 2 14 4" xfId="27088"/>
    <cellStyle name="Input 5 2 15" xfId="5861"/>
    <cellStyle name="Input 5 2 15 2" xfId="5862"/>
    <cellStyle name="Input 5 2 15 2 2" xfId="20222"/>
    <cellStyle name="Input 5 2 15 2 2 2" xfId="40290"/>
    <cellStyle name="Input 5 2 15 2 3" xfId="27091"/>
    <cellStyle name="Input 5 2 15 3" xfId="15820"/>
    <cellStyle name="Input 5 2 15 3 2" xfId="35888"/>
    <cellStyle name="Input 5 2 15 4" xfId="27090"/>
    <cellStyle name="Input 5 2 16" xfId="5863"/>
    <cellStyle name="Input 5 2 16 2" xfId="5864"/>
    <cellStyle name="Input 5 2 16 2 2" xfId="20223"/>
    <cellStyle name="Input 5 2 16 2 2 2" xfId="40291"/>
    <cellStyle name="Input 5 2 16 2 3" xfId="27093"/>
    <cellStyle name="Input 5 2 16 3" xfId="17791"/>
    <cellStyle name="Input 5 2 16 3 2" xfId="37859"/>
    <cellStyle name="Input 5 2 16 4" xfId="27092"/>
    <cellStyle name="Input 5 2 17" xfId="5865"/>
    <cellStyle name="Input 5 2 17 2" xfId="5866"/>
    <cellStyle name="Input 5 2 17 2 2" xfId="20224"/>
    <cellStyle name="Input 5 2 17 2 2 2" xfId="40292"/>
    <cellStyle name="Input 5 2 17 2 3" xfId="27095"/>
    <cellStyle name="Input 5 2 17 3" xfId="17920"/>
    <cellStyle name="Input 5 2 17 3 2" xfId="37988"/>
    <cellStyle name="Input 5 2 17 4" xfId="27094"/>
    <cellStyle name="Input 5 2 18" xfId="5867"/>
    <cellStyle name="Input 5 2 18 2" xfId="5868"/>
    <cellStyle name="Input 5 2 18 2 2" xfId="20225"/>
    <cellStyle name="Input 5 2 18 2 2 2" xfId="40293"/>
    <cellStyle name="Input 5 2 18 2 3" xfId="27097"/>
    <cellStyle name="Input 5 2 18 3" xfId="18070"/>
    <cellStyle name="Input 5 2 18 3 2" xfId="38138"/>
    <cellStyle name="Input 5 2 18 4" xfId="27096"/>
    <cellStyle name="Input 5 2 19" xfId="5869"/>
    <cellStyle name="Input 5 2 19 2" xfId="5870"/>
    <cellStyle name="Input 5 2 19 2 2" xfId="20226"/>
    <cellStyle name="Input 5 2 19 2 2 2" xfId="40294"/>
    <cellStyle name="Input 5 2 19 2 3" xfId="27099"/>
    <cellStyle name="Input 5 2 19 3" xfId="18187"/>
    <cellStyle name="Input 5 2 19 3 2" xfId="38255"/>
    <cellStyle name="Input 5 2 19 4" xfId="27098"/>
    <cellStyle name="Input 5 2 2" xfId="5871"/>
    <cellStyle name="Input 5 2 2 2" xfId="5872"/>
    <cellStyle name="Input 5 2 2 2 2" xfId="20227"/>
    <cellStyle name="Input 5 2 2 2 2 2" xfId="40295"/>
    <cellStyle name="Input 5 2 2 2 3" xfId="27101"/>
    <cellStyle name="Input 5 2 2 3" xfId="14656"/>
    <cellStyle name="Input 5 2 2 3 2" xfId="34724"/>
    <cellStyle name="Input 5 2 2 4" xfId="27100"/>
    <cellStyle name="Input 5 2 20" xfId="5873"/>
    <cellStyle name="Input 5 2 20 2" xfId="5874"/>
    <cellStyle name="Input 5 2 20 2 2" xfId="20228"/>
    <cellStyle name="Input 5 2 20 2 2 2" xfId="40296"/>
    <cellStyle name="Input 5 2 20 2 3" xfId="27103"/>
    <cellStyle name="Input 5 2 20 3" xfId="15639"/>
    <cellStyle name="Input 5 2 20 3 2" xfId="35707"/>
    <cellStyle name="Input 5 2 20 4" xfId="27102"/>
    <cellStyle name="Input 5 2 21" xfId="5875"/>
    <cellStyle name="Input 5 2 21 2" xfId="5876"/>
    <cellStyle name="Input 5 2 21 2 2" xfId="20229"/>
    <cellStyle name="Input 5 2 21 2 2 2" xfId="40297"/>
    <cellStyle name="Input 5 2 21 2 3" xfId="27105"/>
    <cellStyle name="Input 5 2 21 3" xfId="18382"/>
    <cellStyle name="Input 5 2 21 3 2" xfId="38450"/>
    <cellStyle name="Input 5 2 21 4" xfId="27104"/>
    <cellStyle name="Input 5 2 22" xfId="5877"/>
    <cellStyle name="Input 5 2 22 2" xfId="5878"/>
    <cellStyle name="Input 5 2 22 2 2" xfId="20230"/>
    <cellStyle name="Input 5 2 22 2 2 2" xfId="40298"/>
    <cellStyle name="Input 5 2 22 2 3" xfId="27107"/>
    <cellStyle name="Input 5 2 22 3" xfId="18526"/>
    <cellStyle name="Input 5 2 22 3 2" xfId="38594"/>
    <cellStyle name="Input 5 2 22 4" xfId="27106"/>
    <cellStyle name="Input 5 2 23" xfId="5879"/>
    <cellStyle name="Input 5 2 23 2" xfId="5880"/>
    <cellStyle name="Input 5 2 23 2 2" xfId="20231"/>
    <cellStyle name="Input 5 2 23 2 2 2" xfId="40299"/>
    <cellStyle name="Input 5 2 23 2 3" xfId="27109"/>
    <cellStyle name="Input 5 2 23 3" xfId="18637"/>
    <cellStyle name="Input 5 2 23 3 2" xfId="38705"/>
    <cellStyle name="Input 5 2 23 4" xfId="27108"/>
    <cellStyle name="Input 5 2 24" xfId="5881"/>
    <cellStyle name="Input 5 2 24 2" xfId="5882"/>
    <cellStyle name="Input 5 2 24 2 2" xfId="20232"/>
    <cellStyle name="Input 5 2 24 2 2 2" xfId="40300"/>
    <cellStyle name="Input 5 2 24 2 3" xfId="27111"/>
    <cellStyle name="Input 5 2 24 3" xfId="18737"/>
    <cellStyle name="Input 5 2 24 3 2" xfId="38805"/>
    <cellStyle name="Input 5 2 24 4" xfId="27110"/>
    <cellStyle name="Input 5 2 25" xfId="5883"/>
    <cellStyle name="Input 5 2 25 2" xfId="5884"/>
    <cellStyle name="Input 5 2 25 2 2" xfId="20233"/>
    <cellStyle name="Input 5 2 25 2 2 2" xfId="40301"/>
    <cellStyle name="Input 5 2 25 2 3" xfId="27113"/>
    <cellStyle name="Input 5 2 25 3" xfId="18837"/>
    <cellStyle name="Input 5 2 25 3 2" xfId="38905"/>
    <cellStyle name="Input 5 2 25 4" xfId="27112"/>
    <cellStyle name="Input 5 2 26" xfId="5885"/>
    <cellStyle name="Input 5 2 26 2" xfId="20216"/>
    <cellStyle name="Input 5 2 26 2 2" xfId="40284"/>
    <cellStyle name="Input 5 2 26 3" xfId="27114"/>
    <cellStyle name="Input 5 2 27" xfId="14570"/>
    <cellStyle name="Input 5 2 27 2" xfId="34638"/>
    <cellStyle name="Input 5 2 28" xfId="27079"/>
    <cellStyle name="Input 5 2 3" xfId="5886"/>
    <cellStyle name="Input 5 2 3 2" xfId="5887"/>
    <cellStyle name="Input 5 2 3 2 2" xfId="20234"/>
    <cellStyle name="Input 5 2 3 2 2 2" xfId="40302"/>
    <cellStyle name="Input 5 2 3 2 3" xfId="27116"/>
    <cellStyle name="Input 5 2 3 3" xfId="14775"/>
    <cellStyle name="Input 5 2 3 3 2" xfId="34843"/>
    <cellStyle name="Input 5 2 3 4" xfId="27115"/>
    <cellStyle name="Input 5 2 4" xfId="5888"/>
    <cellStyle name="Input 5 2 4 2" xfId="5889"/>
    <cellStyle name="Input 5 2 4 2 2" xfId="20235"/>
    <cellStyle name="Input 5 2 4 2 2 2" xfId="40303"/>
    <cellStyle name="Input 5 2 4 2 3" xfId="27118"/>
    <cellStyle name="Input 5 2 4 3" xfId="14894"/>
    <cellStyle name="Input 5 2 4 3 2" xfId="34962"/>
    <cellStyle name="Input 5 2 4 4" xfId="27117"/>
    <cellStyle name="Input 5 2 5" xfId="5890"/>
    <cellStyle name="Input 5 2 5 2" xfId="5891"/>
    <cellStyle name="Input 5 2 5 2 2" xfId="20236"/>
    <cellStyle name="Input 5 2 5 2 2 2" xfId="40304"/>
    <cellStyle name="Input 5 2 5 2 3" xfId="27120"/>
    <cellStyle name="Input 5 2 5 3" xfId="15063"/>
    <cellStyle name="Input 5 2 5 3 2" xfId="35131"/>
    <cellStyle name="Input 5 2 5 4" xfId="27119"/>
    <cellStyle name="Input 5 2 6" xfId="5892"/>
    <cellStyle name="Input 5 2 6 2" xfId="5893"/>
    <cellStyle name="Input 5 2 6 2 2" xfId="20237"/>
    <cellStyle name="Input 5 2 6 2 2 2" xfId="40305"/>
    <cellStyle name="Input 5 2 6 2 3" xfId="27122"/>
    <cellStyle name="Input 5 2 6 3" xfId="15005"/>
    <cellStyle name="Input 5 2 6 3 2" xfId="35073"/>
    <cellStyle name="Input 5 2 6 4" xfId="27121"/>
    <cellStyle name="Input 5 2 7" xfId="5894"/>
    <cellStyle name="Input 5 2 7 2" xfId="5895"/>
    <cellStyle name="Input 5 2 7 2 2" xfId="20238"/>
    <cellStyle name="Input 5 2 7 2 2 2" xfId="40306"/>
    <cellStyle name="Input 5 2 7 2 3" xfId="27124"/>
    <cellStyle name="Input 5 2 7 3" xfId="15206"/>
    <cellStyle name="Input 5 2 7 3 2" xfId="35274"/>
    <cellStyle name="Input 5 2 7 4" xfId="27123"/>
    <cellStyle name="Input 5 2 8" xfId="5896"/>
    <cellStyle name="Input 5 2 8 2" xfId="5897"/>
    <cellStyle name="Input 5 2 8 2 2" xfId="20239"/>
    <cellStyle name="Input 5 2 8 2 2 2" xfId="40307"/>
    <cellStyle name="Input 5 2 8 2 3" xfId="27126"/>
    <cellStyle name="Input 5 2 8 3" xfId="16560"/>
    <cellStyle name="Input 5 2 8 3 2" xfId="36628"/>
    <cellStyle name="Input 5 2 8 4" xfId="27125"/>
    <cellStyle name="Input 5 2 9" xfId="5898"/>
    <cellStyle name="Input 5 2 9 2" xfId="5899"/>
    <cellStyle name="Input 5 2 9 2 2" xfId="20240"/>
    <cellStyle name="Input 5 2 9 2 2 2" xfId="40308"/>
    <cellStyle name="Input 5 2 9 2 3" xfId="27128"/>
    <cellStyle name="Input 5 2 9 3" xfId="16764"/>
    <cellStyle name="Input 5 2 9 3 2" xfId="36832"/>
    <cellStyle name="Input 5 2 9 4" xfId="27127"/>
    <cellStyle name="Input 5 20" xfId="5900"/>
    <cellStyle name="Input 5 20 2" xfId="5901"/>
    <cellStyle name="Input 5 20 2 2" xfId="20241"/>
    <cellStyle name="Input 5 20 2 2 2" xfId="40309"/>
    <cellStyle name="Input 5 20 2 3" xfId="27130"/>
    <cellStyle name="Input 5 20 3" xfId="17621"/>
    <cellStyle name="Input 5 20 3 2" xfId="37689"/>
    <cellStyle name="Input 5 20 4" xfId="27129"/>
    <cellStyle name="Input 5 21" xfId="5902"/>
    <cellStyle name="Input 5 21 2" xfId="5903"/>
    <cellStyle name="Input 5 21 2 2" xfId="20242"/>
    <cellStyle name="Input 5 21 2 2 2" xfId="40310"/>
    <cellStyle name="Input 5 21 2 3" xfId="27132"/>
    <cellStyle name="Input 5 21 3" xfId="15754"/>
    <cellStyle name="Input 5 21 3 2" xfId="35822"/>
    <cellStyle name="Input 5 21 4" xfId="27131"/>
    <cellStyle name="Input 5 22" xfId="5904"/>
    <cellStyle name="Input 5 22 2" xfId="5905"/>
    <cellStyle name="Input 5 22 2 2" xfId="20243"/>
    <cellStyle name="Input 5 22 2 2 2" xfId="40311"/>
    <cellStyle name="Input 5 22 2 3" xfId="27134"/>
    <cellStyle name="Input 5 22 3" xfId="16351"/>
    <cellStyle name="Input 5 22 3 2" xfId="36419"/>
    <cellStyle name="Input 5 22 4" xfId="27133"/>
    <cellStyle name="Input 5 23" xfId="5906"/>
    <cellStyle name="Input 5 23 2" xfId="5907"/>
    <cellStyle name="Input 5 23 2 2" xfId="20244"/>
    <cellStyle name="Input 5 23 2 2 2" xfId="40312"/>
    <cellStyle name="Input 5 23 2 3" xfId="27136"/>
    <cellStyle name="Input 5 23 3" xfId="18271"/>
    <cellStyle name="Input 5 23 3 2" xfId="38339"/>
    <cellStyle name="Input 5 23 4" xfId="27135"/>
    <cellStyle name="Input 5 24" xfId="5908"/>
    <cellStyle name="Input 5 24 2" xfId="5909"/>
    <cellStyle name="Input 5 24 2 2" xfId="20245"/>
    <cellStyle name="Input 5 24 2 2 2" xfId="40313"/>
    <cellStyle name="Input 5 24 2 3" xfId="27138"/>
    <cellStyle name="Input 5 24 3" xfId="18326"/>
    <cellStyle name="Input 5 24 3 2" xfId="38394"/>
    <cellStyle name="Input 5 24 4" xfId="27137"/>
    <cellStyle name="Input 5 25" xfId="5910"/>
    <cellStyle name="Input 5 25 2" xfId="5911"/>
    <cellStyle name="Input 5 25 2 2" xfId="20246"/>
    <cellStyle name="Input 5 25 2 2 2" xfId="40314"/>
    <cellStyle name="Input 5 25 2 3" xfId="27140"/>
    <cellStyle name="Input 5 25 3" xfId="18133"/>
    <cellStyle name="Input 5 25 3 2" xfId="38201"/>
    <cellStyle name="Input 5 25 4" xfId="27139"/>
    <cellStyle name="Input 5 26" xfId="5912"/>
    <cellStyle name="Input 5 26 2" xfId="5913"/>
    <cellStyle name="Input 5 26 2 2" xfId="20247"/>
    <cellStyle name="Input 5 26 2 2 2" xfId="40315"/>
    <cellStyle name="Input 5 26 2 3" xfId="27142"/>
    <cellStyle name="Input 5 26 3" xfId="17737"/>
    <cellStyle name="Input 5 26 3 2" xfId="37805"/>
    <cellStyle name="Input 5 26 4" xfId="27141"/>
    <cellStyle name="Input 5 27" xfId="5914"/>
    <cellStyle name="Input 5 27 2" xfId="5915"/>
    <cellStyle name="Input 5 27 2 2" xfId="20248"/>
    <cellStyle name="Input 5 27 2 2 2" xfId="40316"/>
    <cellStyle name="Input 5 27 2 3" xfId="27144"/>
    <cellStyle name="Input 5 27 3" xfId="16355"/>
    <cellStyle name="Input 5 27 3 2" xfId="36423"/>
    <cellStyle name="Input 5 27 4" xfId="27143"/>
    <cellStyle name="Input 5 28" xfId="5916"/>
    <cellStyle name="Input 5 28 2" xfId="20205"/>
    <cellStyle name="Input 5 28 2 2" xfId="40273"/>
    <cellStyle name="Input 5 28 3" xfId="27145"/>
    <cellStyle name="Input 5 29" xfId="13876"/>
    <cellStyle name="Input 5 29 2" xfId="33944"/>
    <cellStyle name="Input 5 3" xfId="5917"/>
    <cellStyle name="Input 5 3 2" xfId="5918"/>
    <cellStyle name="Input 5 3 2 2" xfId="20249"/>
    <cellStyle name="Input 5 3 2 2 2" xfId="40317"/>
    <cellStyle name="Input 5 3 2 3" xfId="27147"/>
    <cellStyle name="Input 5 3 3" xfId="14480"/>
    <cellStyle name="Input 5 3 3 2" xfId="34548"/>
    <cellStyle name="Input 5 3 4" xfId="27146"/>
    <cellStyle name="Input 5 30" xfId="27058"/>
    <cellStyle name="Input 5 4" xfId="5919"/>
    <cellStyle name="Input 5 4 2" xfId="5920"/>
    <cellStyle name="Input 5 4 2 2" xfId="20250"/>
    <cellStyle name="Input 5 4 2 2 2" xfId="40318"/>
    <cellStyle name="Input 5 4 2 3" xfId="27149"/>
    <cellStyle name="Input 5 4 3" xfId="14555"/>
    <cellStyle name="Input 5 4 3 2" xfId="34623"/>
    <cellStyle name="Input 5 4 4" xfId="27148"/>
    <cellStyle name="Input 5 5" xfId="5921"/>
    <cellStyle name="Input 5 5 2" xfId="5922"/>
    <cellStyle name="Input 5 5 2 2" xfId="20251"/>
    <cellStyle name="Input 5 5 2 2 2" xfId="40319"/>
    <cellStyle name="Input 5 5 2 3" xfId="27151"/>
    <cellStyle name="Input 5 5 3" xfId="14460"/>
    <cellStyle name="Input 5 5 3 2" xfId="34528"/>
    <cellStyle name="Input 5 5 4" xfId="27150"/>
    <cellStyle name="Input 5 6" xfId="5923"/>
    <cellStyle name="Input 5 6 2" xfId="5924"/>
    <cellStyle name="Input 5 6 2 2" xfId="20252"/>
    <cellStyle name="Input 5 6 2 2 2" xfId="40320"/>
    <cellStyle name="Input 5 6 2 3" xfId="27153"/>
    <cellStyle name="Input 5 6 3" xfId="14564"/>
    <cellStyle name="Input 5 6 3 2" xfId="34632"/>
    <cellStyle name="Input 5 6 4" xfId="27152"/>
    <cellStyle name="Input 5 7" xfId="5925"/>
    <cellStyle name="Input 5 7 2" xfId="5926"/>
    <cellStyle name="Input 5 7 2 2" xfId="20253"/>
    <cellStyle name="Input 5 7 2 2 2" xfId="40321"/>
    <cellStyle name="Input 5 7 2 3" xfId="27155"/>
    <cellStyle name="Input 5 7 3" xfId="14731"/>
    <cellStyle name="Input 5 7 3 2" xfId="34799"/>
    <cellStyle name="Input 5 7 4" xfId="27154"/>
    <cellStyle name="Input 5 8" xfId="5927"/>
    <cellStyle name="Input 5 8 2" xfId="5928"/>
    <cellStyle name="Input 5 8 2 2" xfId="20254"/>
    <cellStyle name="Input 5 8 2 2 2" xfId="40322"/>
    <cellStyle name="Input 5 8 2 3" xfId="27157"/>
    <cellStyle name="Input 5 8 3" xfId="15139"/>
    <cellStyle name="Input 5 8 3 2" xfId="35207"/>
    <cellStyle name="Input 5 8 4" xfId="27156"/>
    <cellStyle name="Input 5 9" xfId="5929"/>
    <cellStyle name="Input 5 9 2" xfId="5930"/>
    <cellStyle name="Input 5 9 2 2" xfId="20255"/>
    <cellStyle name="Input 5 9 2 2 2" xfId="40323"/>
    <cellStyle name="Input 5 9 2 3" xfId="27159"/>
    <cellStyle name="Input 5 9 3" xfId="15282"/>
    <cellStyle name="Input 5 9 3 2" xfId="35350"/>
    <cellStyle name="Input 5 9 4" xfId="27158"/>
    <cellStyle name="Input General" xfId="5931"/>
    <cellStyle name="Input General 2" xfId="5932"/>
    <cellStyle name="Input General 2 2" xfId="5933"/>
    <cellStyle name="Input General 2 3" xfId="5934"/>
    <cellStyle name="Input General 3" xfId="5935"/>
    <cellStyle name="Input General 4" xfId="5936"/>
    <cellStyle name="Input General_BUDGET SHAPE" xfId="5937"/>
    <cellStyle name="Input Nominal Code" xfId="5938"/>
    <cellStyle name="Input Nominal Code 2" xfId="5939"/>
    <cellStyle name="Input Nominal Code 2 2" xfId="5940"/>
    <cellStyle name="Input Nominal Code 2 3" xfId="5941"/>
    <cellStyle name="Input Nominal Code 3" xfId="5942"/>
    <cellStyle name="Input Nominal Code 4" xfId="5943"/>
    <cellStyle name="Input Nominal Code_BUDGET SHAPE" xfId="5944"/>
    <cellStyle name="Input%" xfId="5945"/>
    <cellStyle name="Input% 2" xfId="5946"/>
    <cellStyle name="Input% 2 2" xfId="5947"/>
    <cellStyle name="Input% 2 3" xfId="5948"/>
    <cellStyle name="Input% 3" xfId="5949"/>
    <cellStyle name="Input% 4" xfId="5950"/>
    <cellStyle name="Input%_2010-2011" xfId="5951"/>
    <cellStyle name="input1" xfId="50"/>
    <cellStyle name="input1 10" xfId="5952"/>
    <cellStyle name="input1 2" xfId="5953"/>
    <cellStyle name="Input1 2 2" xfId="5954"/>
    <cellStyle name="Input1 2 2 2" xfId="5955"/>
    <cellStyle name="Input1 2 2 3" xfId="5956"/>
    <cellStyle name="Input1 2 3" xfId="5957"/>
    <cellStyle name="Input1 2 4" xfId="5958"/>
    <cellStyle name="Input1 2_Sheet5" xfId="5959"/>
    <cellStyle name="input1 3" xfId="5960"/>
    <cellStyle name="Input1 3 2" xfId="5961"/>
    <cellStyle name="Input1 3 3" xfId="5962"/>
    <cellStyle name="input1 3 4" xfId="5963"/>
    <cellStyle name="input1 3 5" xfId="5964"/>
    <cellStyle name="input1 3 6" xfId="5965"/>
    <cellStyle name="input1 3 7" xfId="5966"/>
    <cellStyle name="input1 3 8" xfId="5967"/>
    <cellStyle name="Input1 3_ANC" xfId="5968"/>
    <cellStyle name="Input1 4" xfId="5969"/>
    <cellStyle name="Input1 4 2" xfId="5970"/>
    <cellStyle name="Input1 4 3" xfId="5971"/>
    <cellStyle name="Input1 5" xfId="5972"/>
    <cellStyle name="Input1 5 2" xfId="5973"/>
    <cellStyle name="Input1 5 3" xfId="5974"/>
    <cellStyle name="Input1 6" xfId="5975"/>
    <cellStyle name="Input1 6 2" xfId="5976"/>
    <cellStyle name="Input1 6 3" xfId="5977"/>
    <cellStyle name="input1 7" xfId="5978"/>
    <cellStyle name="input1 8" xfId="5979"/>
    <cellStyle name="input1 9" xfId="5980"/>
    <cellStyle name="Input1_2010-2011" xfId="5981"/>
    <cellStyle name="input2" xfId="5982"/>
    <cellStyle name="input2 10" xfId="5983"/>
    <cellStyle name="input2 2" xfId="5984"/>
    <cellStyle name="Input2 2 2" xfId="5985"/>
    <cellStyle name="Input2 2 2 2" xfId="5986"/>
    <cellStyle name="Input2 2 2 3" xfId="5987"/>
    <cellStyle name="Input2 2 3" xfId="5988"/>
    <cellStyle name="Input2 2 4" xfId="5989"/>
    <cellStyle name="input2 3" xfId="5990"/>
    <cellStyle name="Input2 3 2" xfId="5991"/>
    <cellStyle name="Input2 3 3" xfId="5992"/>
    <cellStyle name="input2 3 4" xfId="5993"/>
    <cellStyle name="input2 3 5" xfId="5994"/>
    <cellStyle name="input2 3 6" xfId="5995"/>
    <cellStyle name="input2 3 7" xfId="5996"/>
    <cellStyle name="input2 3 8" xfId="5997"/>
    <cellStyle name="Input2 3_ANC" xfId="5998"/>
    <cellStyle name="Input2 4" xfId="5999"/>
    <cellStyle name="Input2 4 2" xfId="6000"/>
    <cellStyle name="Input2 4 3" xfId="6001"/>
    <cellStyle name="Input2 5" xfId="6002"/>
    <cellStyle name="Input2 5 2" xfId="6003"/>
    <cellStyle name="Input2 5 3" xfId="6004"/>
    <cellStyle name="Input2 6" xfId="6005"/>
    <cellStyle name="Input2 6 2" xfId="6006"/>
    <cellStyle name="Input2 6 3" xfId="6007"/>
    <cellStyle name="input2 7" xfId="6008"/>
    <cellStyle name="input2 8" xfId="6009"/>
    <cellStyle name="input2 9" xfId="6010"/>
    <cellStyle name="Input2_2010-2011" xfId="6011"/>
    <cellStyle name="input3" xfId="49"/>
    <cellStyle name="input3 2" xfId="6012"/>
    <cellStyle name="input3 2 2" xfId="6013"/>
    <cellStyle name="input3 2 3" xfId="6014"/>
    <cellStyle name="input3 3" xfId="6015"/>
    <cellStyle name="input3 4" xfId="6016"/>
    <cellStyle name="input3_EUR - YE" xfId="6017"/>
    <cellStyle name="Insatisfaisant" xfId="6018"/>
    <cellStyle name="Internal" xfId="6019"/>
    <cellStyle name="Journals" xfId="6020"/>
    <cellStyle name="Journals 2" xfId="6021"/>
    <cellStyle name="Journals 2 2" xfId="6022"/>
    <cellStyle name="Journals 2 3" xfId="6023"/>
    <cellStyle name="Journals 3" xfId="6024"/>
    <cellStyle name="Journals 4" xfId="6025"/>
    <cellStyle name="Journals_BUDGET SHAPE" xfId="6026"/>
    <cellStyle name="Linked Cell" xfId="15" builtinId="24" customBuiltin="1"/>
    <cellStyle name="Linked Cell 2" xfId="6027"/>
    <cellStyle name="Linked Cell 2 10" xfId="6028"/>
    <cellStyle name="Linked Cell 2 10 2" xfId="6029"/>
    <cellStyle name="Linked Cell 2 10 2 2" xfId="20256"/>
    <cellStyle name="Linked Cell 2 10 2 2 2" xfId="40324"/>
    <cellStyle name="Linked Cell 2 10 2 3" xfId="24232"/>
    <cellStyle name="Linked Cell 2 10 3" xfId="15283"/>
    <cellStyle name="Linked Cell 2 10 3 2" xfId="35351"/>
    <cellStyle name="Linked Cell 2 10 4" xfId="23989"/>
    <cellStyle name="Linked Cell 2 11" xfId="6030"/>
    <cellStyle name="Linked Cell 2 11 2" xfId="6031"/>
    <cellStyle name="Linked Cell 2 11 2 2" xfId="20257"/>
    <cellStyle name="Linked Cell 2 11 2 2 2" xfId="40325"/>
    <cellStyle name="Linked Cell 2 11 2 3" xfId="24233"/>
    <cellStyle name="Linked Cell 2 11 3" xfId="15396"/>
    <cellStyle name="Linked Cell 2 11 3 2" xfId="35464"/>
    <cellStyle name="Linked Cell 2 11 4" xfId="24005"/>
    <cellStyle name="Linked Cell 2 12" xfId="6032"/>
    <cellStyle name="Linked Cell 2 12 2" xfId="6033"/>
    <cellStyle name="Linked Cell 2 12 2 2" xfId="20258"/>
    <cellStyle name="Linked Cell 2 12 2 2 2" xfId="40326"/>
    <cellStyle name="Linked Cell 2 12 2 3" xfId="24234"/>
    <cellStyle name="Linked Cell 2 12 3" xfId="15941"/>
    <cellStyle name="Linked Cell 2 12 3 2" xfId="36009"/>
    <cellStyle name="Linked Cell 2 12 4" xfId="24040"/>
    <cellStyle name="Linked Cell 2 13" xfId="6034"/>
    <cellStyle name="Linked Cell 2 13 2" xfId="6035"/>
    <cellStyle name="Linked Cell 2 13 2 2" xfId="20259"/>
    <cellStyle name="Linked Cell 2 13 2 2 2" xfId="40327"/>
    <cellStyle name="Linked Cell 2 13 2 3" xfId="24235"/>
    <cellStyle name="Linked Cell 2 13 3" xfId="15490"/>
    <cellStyle name="Linked Cell 2 13 3 2" xfId="35558"/>
    <cellStyle name="Linked Cell 2 13 4" xfId="24014"/>
    <cellStyle name="Linked Cell 2 14" xfId="6036"/>
    <cellStyle name="Linked Cell 2 14 2" xfId="6037"/>
    <cellStyle name="Linked Cell 2 14 2 2" xfId="20260"/>
    <cellStyle name="Linked Cell 2 14 2 2 2" xfId="40328"/>
    <cellStyle name="Linked Cell 2 14 2 3" xfId="24236"/>
    <cellStyle name="Linked Cell 2 14 3" xfId="16494"/>
    <cellStyle name="Linked Cell 2 14 3 2" xfId="36562"/>
    <cellStyle name="Linked Cell 2 14 4" xfId="24070"/>
    <cellStyle name="Linked Cell 2 15" xfId="6038"/>
    <cellStyle name="Linked Cell 2 15 2" xfId="6039"/>
    <cellStyle name="Linked Cell 2 15 2 2" xfId="20261"/>
    <cellStyle name="Linked Cell 2 15 2 2 2" xfId="40329"/>
    <cellStyle name="Linked Cell 2 15 2 3" xfId="24237"/>
    <cellStyle name="Linked Cell 2 15 3" xfId="16272"/>
    <cellStyle name="Linked Cell 2 15 3 2" xfId="36340"/>
    <cellStyle name="Linked Cell 2 15 4" xfId="24058"/>
    <cellStyle name="Linked Cell 2 16" xfId="6040"/>
    <cellStyle name="Linked Cell 2 16 2" xfId="6041"/>
    <cellStyle name="Linked Cell 2 16 2 2" xfId="20262"/>
    <cellStyle name="Linked Cell 2 16 2 2 2" xfId="40330"/>
    <cellStyle name="Linked Cell 2 16 2 3" xfId="24238"/>
    <cellStyle name="Linked Cell 2 16 3" xfId="17653"/>
    <cellStyle name="Linked Cell 2 16 3 2" xfId="37721"/>
    <cellStyle name="Linked Cell 2 16 4" xfId="24147"/>
    <cellStyle name="Linked Cell 2 17" xfId="6042"/>
    <cellStyle name="Linked Cell 2 17 2" xfId="6043"/>
    <cellStyle name="Linked Cell 2 17 2 2" xfId="20263"/>
    <cellStyle name="Linked Cell 2 17 2 2 2" xfId="40331"/>
    <cellStyle name="Linked Cell 2 17 2 3" xfId="24239"/>
    <cellStyle name="Linked Cell 2 17 3" xfId="18017"/>
    <cellStyle name="Linked Cell 2 17 3 2" xfId="38085"/>
    <cellStyle name="Linked Cell 2 17 4" xfId="24175"/>
    <cellStyle name="Linked Cell 2 18" xfId="6044"/>
    <cellStyle name="Linked Cell 2 18 2" xfId="16275"/>
    <cellStyle name="Linked Cell 2 18 2 2" xfId="36343"/>
    <cellStyle name="Linked Cell 2 18 3" xfId="24059"/>
    <cellStyle name="Linked Cell 2 19" xfId="13877"/>
    <cellStyle name="Linked Cell 2 19 2" xfId="33945"/>
    <cellStyle name="Linked Cell 2 2" xfId="6045"/>
    <cellStyle name="Linked Cell 2 2 10" xfId="6046"/>
    <cellStyle name="Linked Cell 2 2 10 2" xfId="6047"/>
    <cellStyle name="Linked Cell 2 2 10 2 2" xfId="20264"/>
    <cellStyle name="Linked Cell 2 2 10 2 2 2" xfId="40332"/>
    <cellStyle name="Linked Cell 2 2 10 2 3" xfId="24240"/>
    <cellStyle name="Linked Cell 2 2 10 3" xfId="17206"/>
    <cellStyle name="Linked Cell 2 2 10 3 2" xfId="37274"/>
    <cellStyle name="Linked Cell 2 2 10 4" xfId="24122"/>
    <cellStyle name="Linked Cell 2 2 11" xfId="6048"/>
    <cellStyle name="Linked Cell 2 2 11 2" xfId="6049"/>
    <cellStyle name="Linked Cell 2 2 11 2 2" xfId="20265"/>
    <cellStyle name="Linked Cell 2 2 11 2 2 2" xfId="40333"/>
    <cellStyle name="Linked Cell 2 2 11 2 3" xfId="24241"/>
    <cellStyle name="Linked Cell 2 2 11 3" xfId="16838"/>
    <cellStyle name="Linked Cell 2 2 11 3 2" xfId="36906"/>
    <cellStyle name="Linked Cell 2 2 11 4" xfId="24102"/>
    <cellStyle name="Linked Cell 2 2 12" xfId="6050"/>
    <cellStyle name="Linked Cell 2 2 12 2" xfId="6051"/>
    <cellStyle name="Linked Cell 2 2 12 2 2" xfId="20266"/>
    <cellStyle name="Linked Cell 2 2 12 2 2 2" xfId="40334"/>
    <cellStyle name="Linked Cell 2 2 12 2 3" xfId="24242"/>
    <cellStyle name="Linked Cell 2 2 12 3" xfId="15621"/>
    <cellStyle name="Linked Cell 2 2 12 3 2" xfId="35689"/>
    <cellStyle name="Linked Cell 2 2 12 4" xfId="24021"/>
    <cellStyle name="Linked Cell 2 2 13" xfId="6052"/>
    <cellStyle name="Linked Cell 2 2 13 2" xfId="6053"/>
    <cellStyle name="Linked Cell 2 2 13 2 2" xfId="20267"/>
    <cellStyle name="Linked Cell 2 2 13 2 2 2" xfId="40335"/>
    <cellStyle name="Linked Cell 2 2 13 2 3" xfId="24243"/>
    <cellStyle name="Linked Cell 2 2 13 3" xfId="15761"/>
    <cellStyle name="Linked Cell 2 2 13 3 2" xfId="35829"/>
    <cellStyle name="Linked Cell 2 2 13 4" xfId="24026"/>
    <cellStyle name="Linked Cell 2 2 14" xfId="6054"/>
    <cellStyle name="Linked Cell 2 2 14 2" xfId="15937"/>
    <cellStyle name="Linked Cell 2 2 14 2 2" xfId="36005"/>
    <cellStyle name="Linked Cell 2 2 14 3" xfId="24036"/>
    <cellStyle name="Linked Cell 2 2 15" xfId="13878"/>
    <cellStyle name="Linked Cell 2 2 15 2" xfId="33946"/>
    <cellStyle name="Linked Cell 2 2 16" xfId="23889"/>
    <cellStyle name="Linked Cell 2 2 2" xfId="6055"/>
    <cellStyle name="Linked Cell 2 2 2 10" xfId="6056"/>
    <cellStyle name="Linked Cell 2 2 2 10 2" xfId="6057"/>
    <cellStyle name="Linked Cell 2 2 2 10 2 2" xfId="20268"/>
    <cellStyle name="Linked Cell 2 2 2 10 2 2 2" xfId="40336"/>
    <cellStyle name="Linked Cell 2 2 2 10 2 3" xfId="24244"/>
    <cellStyle name="Linked Cell 2 2 2 10 3" xfId="16323"/>
    <cellStyle name="Linked Cell 2 2 2 10 3 2" xfId="36391"/>
    <cellStyle name="Linked Cell 2 2 2 10 4" xfId="24067"/>
    <cellStyle name="Linked Cell 2 2 2 11" xfId="6058"/>
    <cellStyle name="Linked Cell 2 2 2 11 2" xfId="6059"/>
    <cellStyle name="Linked Cell 2 2 2 11 2 2" xfId="20269"/>
    <cellStyle name="Linked Cell 2 2 2 11 2 2 2" xfId="40337"/>
    <cellStyle name="Linked Cell 2 2 2 11 2 3" xfId="24245"/>
    <cellStyle name="Linked Cell 2 2 2 11 3" xfId="17922"/>
    <cellStyle name="Linked Cell 2 2 2 11 3 2" xfId="37990"/>
    <cellStyle name="Linked Cell 2 2 2 11 4" xfId="24165"/>
    <cellStyle name="Linked Cell 2 2 2 12" xfId="6060"/>
    <cellStyle name="Linked Cell 2 2 2 12 2" xfId="6061"/>
    <cellStyle name="Linked Cell 2 2 2 12 2 2" xfId="20270"/>
    <cellStyle name="Linked Cell 2 2 2 12 2 2 2" xfId="40338"/>
    <cellStyle name="Linked Cell 2 2 2 12 2 3" xfId="24246"/>
    <cellStyle name="Linked Cell 2 2 2 12 3" xfId="18296"/>
    <cellStyle name="Linked Cell 2 2 2 12 3 2" xfId="38364"/>
    <cellStyle name="Linked Cell 2 2 2 12 4" xfId="24185"/>
    <cellStyle name="Linked Cell 2 2 2 13" xfId="6062"/>
    <cellStyle name="Linked Cell 2 2 2 13 2" xfId="18384"/>
    <cellStyle name="Linked Cell 2 2 2 13 2 2" xfId="38452"/>
    <cellStyle name="Linked Cell 2 2 2 13 3" xfId="24197"/>
    <cellStyle name="Linked Cell 2 2 2 14" xfId="14030"/>
    <cellStyle name="Linked Cell 2 2 2 14 2" xfId="34098"/>
    <cellStyle name="Linked Cell 2 2 2 15" xfId="23904"/>
    <cellStyle name="Linked Cell 2 2 2 2" xfId="6063"/>
    <cellStyle name="Linked Cell 2 2 2 2 2" xfId="6064"/>
    <cellStyle name="Linked Cell 2 2 2 2 2 2" xfId="20271"/>
    <cellStyle name="Linked Cell 2 2 2 2 2 2 2" xfId="40339"/>
    <cellStyle name="Linked Cell 2 2 2 2 2 3" xfId="24247"/>
    <cellStyle name="Linked Cell 2 2 2 2 3" xfId="14896"/>
    <cellStyle name="Linked Cell 2 2 2 2 3 2" xfId="34964"/>
    <cellStyle name="Linked Cell 2 2 2 2 4" xfId="23963"/>
    <cellStyle name="Linked Cell 2 2 2 3" xfId="6065"/>
    <cellStyle name="Linked Cell 2 2 2 3 2" xfId="6066"/>
    <cellStyle name="Linked Cell 2 2 2 3 2 2" xfId="20272"/>
    <cellStyle name="Linked Cell 2 2 2 3 2 2 2" xfId="40340"/>
    <cellStyle name="Linked Cell 2 2 2 3 2 3" xfId="24248"/>
    <cellStyle name="Linked Cell 2 2 2 3 3" xfId="15065"/>
    <cellStyle name="Linked Cell 2 2 2 3 3 2" xfId="35133"/>
    <cellStyle name="Linked Cell 2 2 2 3 4" xfId="23979"/>
    <cellStyle name="Linked Cell 2 2 2 4" xfId="6067"/>
    <cellStyle name="Linked Cell 2 2 2 4 2" xfId="6068"/>
    <cellStyle name="Linked Cell 2 2 2 4 2 2" xfId="20273"/>
    <cellStyle name="Linked Cell 2 2 2 4 2 2 2" xfId="40341"/>
    <cellStyle name="Linked Cell 2 2 2 4 2 3" xfId="24249"/>
    <cellStyle name="Linked Cell 2 2 2 4 3" xfId="15006"/>
    <cellStyle name="Linked Cell 2 2 2 4 3 2" xfId="35074"/>
    <cellStyle name="Linked Cell 2 2 2 4 4" xfId="23973"/>
    <cellStyle name="Linked Cell 2 2 2 5" xfId="6069"/>
    <cellStyle name="Linked Cell 2 2 2 5 2" xfId="6070"/>
    <cellStyle name="Linked Cell 2 2 2 5 2 2" xfId="20274"/>
    <cellStyle name="Linked Cell 2 2 2 5 2 2 2" xfId="40342"/>
    <cellStyle name="Linked Cell 2 2 2 5 2 3" xfId="24250"/>
    <cellStyle name="Linked Cell 2 2 2 5 3" xfId="16562"/>
    <cellStyle name="Linked Cell 2 2 2 5 3 2" xfId="36630"/>
    <cellStyle name="Linked Cell 2 2 2 5 4" xfId="24076"/>
    <cellStyle name="Linked Cell 2 2 2 6" xfId="6071"/>
    <cellStyle name="Linked Cell 2 2 2 6 2" xfId="6072"/>
    <cellStyle name="Linked Cell 2 2 2 6 2 2" xfId="20275"/>
    <cellStyle name="Linked Cell 2 2 2 6 2 2 2" xfId="40343"/>
    <cellStyle name="Linked Cell 2 2 2 6 2 3" xfId="24251"/>
    <cellStyle name="Linked Cell 2 2 2 6 3" xfId="16766"/>
    <cellStyle name="Linked Cell 2 2 2 6 3 2" xfId="36834"/>
    <cellStyle name="Linked Cell 2 2 2 6 4" xfId="24092"/>
    <cellStyle name="Linked Cell 2 2 2 7" xfId="6073"/>
    <cellStyle name="Linked Cell 2 2 2 7 2" xfId="6074"/>
    <cellStyle name="Linked Cell 2 2 2 7 2 2" xfId="20276"/>
    <cellStyle name="Linked Cell 2 2 2 7 2 2 2" xfId="40344"/>
    <cellStyle name="Linked Cell 2 2 2 7 2 3" xfId="24252"/>
    <cellStyle name="Linked Cell 2 2 2 7 3" xfId="17072"/>
    <cellStyle name="Linked Cell 2 2 2 7 3 2" xfId="37140"/>
    <cellStyle name="Linked Cell 2 2 2 7 4" xfId="24112"/>
    <cellStyle name="Linked Cell 2 2 2 8" xfId="6075"/>
    <cellStyle name="Linked Cell 2 2 2 8 2" xfId="6076"/>
    <cellStyle name="Linked Cell 2 2 2 8 2 2" xfId="20277"/>
    <cellStyle name="Linked Cell 2 2 2 8 2 2 2" xfId="40345"/>
    <cellStyle name="Linked Cell 2 2 2 8 2 3" xfId="24253"/>
    <cellStyle name="Linked Cell 2 2 2 8 3" xfId="17244"/>
    <cellStyle name="Linked Cell 2 2 2 8 3 2" xfId="37312"/>
    <cellStyle name="Linked Cell 2 2 2 8 4" xfId="24126"/>
    <cellStyle name="Linked Cell 2 2 2 9" xfId="6077"/>
    <cellStyle name="Linked Cell 2 2 2 9 2" xfId="6078"/>
    <cellStyle name="Linked Cell 2 2 2 9 2 2" xfId="20278"/>
    <cellStyle name="Linked Cell 2 2 2 9 2 2 2" xfId="40346"/>
    <cellStyle name="Linked Cell 2 2 2 9 2 3" xfId="24254"/>
    <cellStyle name="Linked Cell 2 2 2 9 3" xfId="17659"/>
    <cellStyle name="Linked Cell 2 2 2 9 3 2" xfId="37727"/>
    <cellStyle name="Linked Cell 2 2 2 9 4" xfId="24151"/>
    <cellStyle name="Linked Cell 2 2 3" xfId="6079"/>
    <cellStyle name="Linked Cell 2 2 3 2" xfId="6080"/>
    <cellStyle name="Linked Cell 2 2 3 2 2" xfId="20279"/>
    <cellStyle name="Linked Cell 2 2 3 2 2 2" xfId="40347"/>
    <cellStyle name="Linked Cell 2 2 3 2 3" xfId="24255"/>
    <cellStyle name="Linked Cell 2 2 3 3" xfId="14215"/>
    <cellStyle name="Linked Cell 2 2 3 3 2" xfId="34283"/>
    <cellStyle name="Linked Cell 2 2 3 4" xfId="23917"/>
    <cellStyle name="Linked Cell 2 2 4" xfId="6081"/>
    <cellStyle name="Linked Cell 2 2 4 2" xfId="6082"/>
    <cellStyle name="Linked Cell 2 2 4 2 2" xfId="20280"/>
    <cellStyle name="Linked Cell 2 2 4 2 2 2" xfId="40348"/>
    <cellStyle name="Linked Cell 2 2 4 2 3" xfId="24256"/>
    <cellStyle name="Linked Cell 2 2 4 3" xfId="14726"/>
    <cellStyle name="Linked Cell 2 2 4 3 2" xfId="34794"/>
    <cellStyle name="Linked Cell 2 2 4 4" xfId="23954"/>
    <cellStyle name="Linked Cell 2 2 5" xfId="6083"/>
    <cellStyle name="Linked Cell 2 2 5 2" xfId="6084"/>
    <cellStyle name="Linked Cell 2 2 5 2 2" xfId="20281"/>
    <cellStyle name="Linked Cell 2 2 5 2 2 2" xfId="40349"/>
    <cellStyle name="Linked Cell 2 2 5 2 3" xfId="24257"/>
    <cellStyle name="Linked Cell 2 2 5 3" xfId="14009"/>
    <cellStyle name="Linked Cell 2 2 5 3 2" xfId="34077"/>
    <cellStyle name="Linked Cell 2 2 5 4" xfId="23903"/>
    <cellStyle name="Linked Cell 2 2 6" xfId="6085"/>
    <cellStyle name="Linked Cell 2 2 6 2" xfId="6086"/>
    <cellStyle name="Linked Cell 2 2 6 2 2" xfId="20282"/>
    <cellStyle name="Linked Cell 2 2 6 2 2 2" xfId="40350"/>
    <cellStyle name="Linked Cell 2 2 6 2 3" xfId="24258"/>
    <cellStyle name="Linked Cell 2 2 6 3" xfId="15284"/>
    <cellStyle name="Linked Cell 2 2 6 3 2" xfId="35352"/>
    <cellStyle name="Linked Cell 2 2 6 4" xfId="23990"/>
    <cellStyle name="Linked Cell 2 2 7" xfId="6087"/>
    <cellStyle name="Linked Cell 2 2 7 2" xfId="6088"/>
    <cellStyle name="Linked Cell 2 2 7 2 2" xfId="20283"/>
    <cellStyle name="Linked Cell 2 2 7 2 2 2" xfId="40351"/>
    <cellStyle name="Linked Cell 2 2 7 2 3" xfId="24259"/>
    <cellStyle name="Linked Cell 2 2 7 3" xfId="15813"/>
    <cellStyle name="Linked Cell 2 2 7 3 2" xfId="35881"/>
    <cellStyle name="Linked Cell 2 2 7 4" xfId="24034"/>
    <cellStyle name="Linked Cell 2 2 8" xfId="6089"/>
    <cellStyle name="Linked Cell 2 2 8 2" xfId="6090"/>
    <cellStyle name="Linked Cell 2 2 8 2 2" xfId="20284"/>
    <cellStyle name="Linked Cell 2 2 8 2 2 2" xfId="40352"/>
    <cellStyle name="Linked Cell 2 2 8 2 3" xfId="24260"/>
    <cellStyle name="Linked Cell 2 2 8 3" xfId="15484"/>
    <cellStyle name="Linked Cell 2 2 8 3 2" xfId="35552"/>
    <cellStyle name="Linked Cell 2 2 8 4" xfId="24013"/>
    <cellStyle name="Linked Cell 2 2 9" xfId="6091"/>
    <cellStyle name="Linked Cell 2 2 9 2" xfId="6092"/>
    <cellStyle name="Linked Cell 2 2 9 2 2" xfId="20285"/>
    <cellStyle name="Linked Cell 2 2 9 2 2 2" xfId="40353"/>
    <cellStyle name="Linked Cell 2 2 9 2 3" xfId="24261"/>
    <cellStyle name="Linked Cell 2 2 9 3" xfId="16871"/>
    <cellStyle name="Linked Cell 2 2 9 3 2" xfId="36939"/>
    <cellStyle name="Linked Cell 2 2 9 4" xfId="24103"/>
    <cellStyle name="Linked Cell 2 20" xfId="23888"/>
    <cellStyle name="Linked Cell 2 3" xfId="6093"/>
    <cellStyle name="Linked Cell 2 3 10" xfId="6094"/>
    <cellStyle name="Linked Cell 2 3 10 2" xfId="6095"/>
    <cellStyle name="Linked Cell 2 3 10 2 2" xfId="20286"/>
    <cellStyle name="Linked Cell 2 3 10 2 2 2" xfId="40354"/>
    <cellStyle name="Linked Cell 2 3 10 2 3" xfId="24262"/>
    <cellStyle name="Linked Cell 2 3 10 3" xfId="17354"/>
    <cellStyle name="Linked Cell 2 3 10 3 2" xfId="37422"/>
    <cellStyle name="Linked Cell 2 3 10 4" xfId="24142"/>
    <cellStyle name="Linked Cell 2 3 11" xfId="6096"/>
    <cellStyle name="Linked Cell 2 3 11 2" xfId="6097"/>
    <cellStyle name="Linked Cell 2 3 11 2 2" xfId="20287"/>
    <cellStyle name="Linked Cell 2 3 11 2 2 2" xfId="40355"/>
    <cellStyle name="Linked Cell 2 3 11 2 3" xfId="24263"/>
    <cellStyle name="Linked Cell 2 3 11 3" xfId="16047"/>
    <cellStyle name="Linked Cell 2 3 11 3 2" xfId="36115"/>
    <cellStyle name="Linked Cell 2 3 11 4" xfId="24046"/>
    <cellStyle name="Linked Cell 2 3 12" xfId="6098"/>
    <cellStyle name="Linked Cell 2 3 12 2" xfId="6099"/>
    <cellStyle name="Linked Cell 2 3 12 2 2" xfId="20288"/>
    <cellStyle name="Linked Cell 2 3 12 2 2 2" xfId="40356"/>
    <cellStyle name="Linked Cell 2 3 12 2 3" xfId="24264"/>
    <cellStyle name="Linked Cell 2 3 12 3" xfId="15403"/>
    <cellStyle name="Linked Cell 2 3 12 3 2" xfId="35471"/>
    <cellStyle name="Linked Cell 2 3 12 4" xfId="24007"/>
    <cellStyle name="Linked Cell 2 3 13" xfId="6100"/>
    <cellStyle name="Linked Cell 2 3 13 2" xfId="6101"/>
    <cellStyle name="Linked Cell 2 3 13 2 2" xfId="20289"/>
    <cellStyle name="Linked Cell 2 3 13 2 2 2" xfId="40357"/>
    <cellStyle name="Linked Cell 2 3 13 2 3" xfId="24265"/>
    <cellStyle name="Linked Cell 2 3 13 3" xfId="16189"/>
    <cellStyle name="Linked Cell 2 3 13 3 2" xfId="36257"/>
    <cellStyle name="Linked Cell 2 3 13 4" xfId="24054"/>
    <cellStyle name="Linked Cell 2 3 14" xfId="6102"/>
    <cellStyle name="Linked Cell 2 3 14 2" xfId="18274"/>
    <cellStyle name="Linked Cell 2 3 14 2 2" xfId="38342"/>
    <cellStyle name="Linked Cell 2 3 14 3" xfId="24180"/>
    <cellStyle name="Linked Cell 2 3 15" xfId="13879"/>
    <cellStyle name="Linked Cell 2 3 15 2" xfId="33947"/>
    <cellStyle name="Linked Cell 2 3 16" xfId="23890"/>
    <cellStyle name="Linked Cell 2 3 2" xfId="6103"/>
    <cellStyle name="Linked Cell 2 3 2 10" xfId="6104"/>
    <cellStyle name="Linked Cell 2 3 2 10 2" xfId="6105"/>
    <cellStyle name="Linked Cell 2 3 2 10 2 2" xfId="20290"/>
    <cellStyle name="Linked Cell 2 3 2 10 2 2 2" xfId="40358"/>
    <cellStyle name="Linked Cell 2 3 2 10 2 3" xfId="24266"/>
    <cellStyle name="Linked Cell 2 3 2 10 3" xfId="16522"/>
    <cellStyle name="Linked Cell 2 3 2 10 3 2" xfId="36590"/>
    <cellStyle name="Linked Cell 2 3 2 10 4" xfId="24072"/>
    <cellStyle name="Linked Cell 2 3 2 11" xfId="6106"/>
    <cellStyle name="Linked Cell 2 3 2 11 2" xfId="6107"/>
    <cellStyle name="Linked Cell 2 3 2 11 2 2" xfId="20291"/>
    <cellStyle name="Linked Cell 2 3 2 11 2 2 2" xfId="40359"/>
    <cellStyle name="Linked Cell 2 3 2 11 2 3" xfId="24267"/>
    <cellStyle name="Linked Cell 2 3 2 11 3" xfId="17923"/>
    <cellStyle name="Linked Cell 2 3 2 11 3 2" xfId="37991"/>
    <cellStyle name="Linked Cell 2 3 2 11 4" xfId="24166"/>
    <cellStyle name="Linked Cell 2 3 2 12" xfId="6108"/>
    <cellStyle name="Linked Cell 2 3 2 12 2" xfId="6109"/>
    <cellStyle name="Linked Cell 2 3 2 12 2 2" xfId="20292"/>
    <cellStyle name="Linked Cell 2 3 2 12 2 2 2" xfId="40360"/>
    <cellStyle name="Linked Cell 2 3 2 12 2 3" xfId="24268"/>
    <cellStyle name="Linked Cell 2 3 2 12 3" xfId="18297"/>
    <cellStyle name="Linked Cell 2 3 2 12 3 2" xfId="38365"/>
    <cellStyle name="Linked Cell 2 3 2 12 4" xfId="24186"/>
    <cellStyle name="Linked Cell 2 3 2 13" xfId="6110"/>
    <cellStyle name="Linked Cell 2 3 2 13 2" xfId="18385"/>
    <cellStyle name="Linked Cell 2 3 2 13 2 2" xfId="38453"/>
    <cellStyle name="Linked Cell 2 3 2 13 3" xfId="24198"/>
    <cellStyle name="Linked Cell 2 3 2 14" xfId="14381"/>
    <cellStyle name="Linked Cell 2 3 2 14 2" xfId="34449"/>
    <cellStyle name="Linked Cell 2 3 2 15" xfId="23939"/>
    <cellStyle name="Linked Cell 2 3 2 2" xfId="6111"/>
    <cellStyle name="Linked Cell 2 3 2 2 2" xfId="6112"/>
    <cellStyle name="Linked Cell 2 3 2 2 2 2" xfId="20293"/>
    <cellStyle name="Linked Cell 2 3 2 2 2 2 2" xfId="40361"/>
    <cellStyle name="Linked Cell 2 3 2 2 2 3" xfId="24269"/>
    <cellStyle name="Linked Cell 2 3 2 2 3" xfId="14897"/>
    <cellStyle name="Linked Cell 2 3 2 2 3 2" xfId="34965"/>
    <cellStyle name="Linked Cell 2 3 2 2 4" xfId="23964"/>
    <cellStyle name="Linked Cell 2 3 2 3" xfId="6113"/>
    <cellStyle name="Linked Cell 2 3 2 3 2" xfId="6114"/>
    <cellStyle name="Linked Cell 2 3 2 3 2 2" xfId="20294"/>
    <cellStyle name="Linked Cell 2 3 2 3 2 2 2" xfId="40362"/>
    <cellStyle name="Linked Cell 2 3 2 3 2 3" xfId="24270"/>
    <cellStyle name="Linked Cell 2 3 2 3 3" xfId="15066"/>
    <cellStyle name="Linked Cell 2 3 2 3 3 2" xfId="35134"/>
    <cellStyle name="Linked Cell 2 3 2 3 4" xfId="23980"/>
    <cellStyle name="Linked Cell 2 3 2 4" xfId="6115"/>
    <cellStyle name="Linked Cell 2 3 2 4 2" xfId="6116"/>
    <cellStyle name="Linked Cell 2 3 2 4 2 2" xfId="20295"/>
    <cellStyle name="Linked Cell 2 3 2 4 2 2 2" xfId="40363"/>
    <cellStyle name="Linked Cell 2 3 2 4 2 3" xfId="24271"/>
    <cellStyle name="Linked Cell 2 3 2 4 3" xfId="14861"/>
    <cellStyle name="Linked Cell 2 3 2 4 3 2" xfId="34929"/>
    <cellStyle name="Linked Cell 2 3 2 4 4" xfId="23960"/>
    <cellStyle name="Linked Cell 2 3 2 5" xfId="6117"/>
    <cellStyle name="Linked Cell 2 3 2 5 2" xfId="6118"/>
    <cellStyle name="Linked Cell 2 3 2 5 2 2" xfId="20296"/>
    <cellStyle name="Linked Cell 2 3 2 5 2 2 2" xfId="40364"/>
    <cellStyle name="Linked Cell 2 3 2 5 2 3" xfId="24272"/>
    <cellStyle name="Linked Cell 2 3 2 5 3" xfId="16563"/>
    <cellStyle name="Linked Cell 2 3 2 5 3 2" xfId="36631"/>
    <cellStyle name="Linked Cell 2 3 2 5 4" xfId="24077"/>
    <cellStyle name="Linked Cell 2 3 2 6" xfId="6119"/>
    <cellStyle name="Linked Cell 2 3 2 6 2" xfId="6120"/>
    <cellStyle name="Linked Cell 2 3 2 6 2 2" xfId="20297"/>
    <cellStyle name="Linked Cell 2 3 2 6 2 2 2" xfId="40365"/>
    <cellStyle name="Linked Cell 2 3 2 6 2 3" xfId="24273"/>
    <cellStyle name="Linked Cell 2 3 2 6 3" xfId="16767"/>
    <cellStyle name="Linked Cell 2 3 2 6 3 2" xfId="36835"/>
    <cellStyle name="Linked Cell 2 3 2 6 4" xfId="24093"/>
    <cellStyle name="Linked Cell 2 3 2 7" xfId="6121"/>
    <cellStyle name="Linked Cell 2 3 2 7 2" xfId="6122"/>
    <cellStyle name="Linked Cell 2 3 2 7 2 2" xfId="20298"/>
    <cellStyle name="Linked Cell 2 3 2 7 2 2 2" xfId="40366"/>
    <cellStyle name="Linked Cell 2 3 2 7 2 3" xfId="24274"/>
    <cellStyle name="Linked Cell 2 3 2 7 3" xfId="17073"/>
    <cellStyle name="Linked Cell 2 3 2 7 3 2" xfId="37141"/>
    <cellStyle name="Linked Cell 2 3 2 7 4" xfId="24113"/>
    <cellStyle name="Linked Cell 2 3 2 8" xfId="6123"/>
    <cellStyle name="Linked Cell 2 3 2 8 2" xfId="6124"/>
    <cellStyle name="Linked Cell 2 3 2 8 2 2" xfId="20299"/>
    <cellStyle name="Linked Cell 2 3 2 8 2 2 2" xfId="40367"/>
    <cellStyle name="Linked Cell 2 3 2 8 2 3" xfId="24275"/>
    <cellStyle name="Linked Cell 2 3 2 8 3" xfId="17245"/>
    <cellStyle name="Linked Cell 2 3 2 8 3 2" xfId="37313"/>
    <cellStyle name="Linked Cell 2 3 2 8 4" xfId="24127"/>
    <cellStyle name="Linked Cell 2 3 2 9" xfId="6125"/>
    <cellStyle name="Linked Cell 2 3 2 9 2" xfId="6126"/>
    <cellStyle name="Linked Cell 2 3 2 9 2 2" xfId="20300"/>
    <cellStyle name="Linked Cell 2 3 2 9 2 2 2" xfId="40368"/>
    <cellStyle name="Linked Cell 2 3 2 9 2 3" xfId="24276"/>
    <cellStyle name="Linked Cell 2 3 2 9 3" xfId="17660"/>
    <cellStyle name="Linked Cell 2 3 2 9 3 2" xfId="37728"/>
    <cellStyle name="Linked Cell 2 3 2 9 4" xfId="24152"/>
    <cellStyle name="Linked Cell 2 3 3" xfId="6127"/>
    <cellStyle name="Linked Cell 2 3 3 2" xfId="6128"/>
    <cellStyle name="Linked Cell 2 3 3 2 2" xfId="20301"/>
    <cellStyle name="Linked Cell 2 3 3 2 2 2" xfId="40369"/>
    <cellStyle name="Linked Cell 2 3 3 2 3" xfId="24277"/>
    <cellStyle name="Linked Cell 2 3 3 3" xfId="14256"/>
    <cellStyle name="Linked Cell 2 3 3 3 2" xfId="34324"/>
    <cellStyle name="Linked Cell 2 3 3 4" xfId="23923"/>
    <cellStyle name="Linked Cell 2 3 4" xfId="6129"/>
    <cellStyle name="Linked Cell 2 3 4 2" xfId="6130"/>
    <cellStyle name="Linked Cell 2 3 4 2 2" xfId="20302"/>
    <cellStyle name="Linked Cell 2 3 4 2 2 2" xfId="40370"/>
    <cellStyle name="Linked Cell 2 3 4 2 3" xfId="24278"/>
    <cellStyle name="Linked Cell 2 3 4 3" xfId="14075"/>
    <cellStyle name="Linked Cell 2 3 4 3 2" xfId="34143"/>
    <cellStyle name="Linked Cell 2 3 4 4" xfId="23907"/>
    <cellStyle name="Linked Cell 2 3 5" xfId="6131"/>
    <cellStyle name="Linked Cell 2 3 5 2" xfId="6132"/>
    <cellStyle name="Linked Cell 2 3 5 2 2" xfId="20303"/>
    <cellStyle name="Linked Cell 2 3 5 2 2 2" xfId="40371"/>
    <cellStyle name="Linked Cell 2 3 5 2 3" xfId="24279"/>
    <cellStyle name="Linked Cell 2 3 5 3" xfId="14226"/>
    <cellStyle name="Linked Cell 2 3 5 3 2" xfId="34294"/>
    <cellStyle name="Linked Cell 2 3 5 4" xfId="23918"/>
    <cellStyle name="Linked Cell 2 3 6" xfId="6133"/>
    <cellStyle name="Linked Cell 2 3 6 2" xfId="6134"/>
    <cellStyle name="Linked Cell 2 3 6 2 2" xfId="20304"/>
    <cellStyle name="Linked Cell 2 3 6 2 2 2" xfId="40372"/>
    <cellStyle name="Linked Cell 2 3 6 2 3" xfId="24280"/>
    <cellStyle name="Linked Cell 2 3 6 3" xfId="15285"/>
    <cellStyle name="Linked Cell 2 3 6 3 2" xfId="35353"/>
    <cellStyle name="Linked Cell 2 3 6 4" xfId="23991"/>
    <cellStyle name="Linked Cell 2 3 7" xfId="6135"/>
    <cellStyle name="Linked Cell 2 3 7 2" xfId="6136"/>
    <cellStyle name="Linked Cell 2 3 7 2 2" xfId="20305"/>
    <cellStyle name="Linked Cell 2 3 7 2 2 2" xfId="40373"/>
    <cellStyle name="Linked Cell 2 3 7 2 3" xfId="24281"/>
    <cellStyle name="Linked Cell 2 3 7 3" xfId="15812"/>
    <cellStyle name="Linked Cell 2 3 7 3 2" xfId="35880"/>
    <cellStyle name="Linked Cell 2 3 7 4" xfId="24033"/>
    <cellStyle name="Linked Cell 2 3 8" xfId="6137"/>
    <cellStyle name="Linked Cell 2 3 8 2" xfId="6138"/>
    <cellStyle name="Linked Cell 2 3 8 2 2" xfId="20306"/>
    <cellStyle name="Linked Cell 2 3 8 2 2 2" xfId="40374"/>
    <cellStyle name="Linked Cell 2 3 8 2 3" xfId="24282"/>
    <cellStyle name="Linked Cell 2 3 8 3" xfId="16694"/>
    <cellStyle name="Linked Cell 2 3 8 3 2" xfId="36762"/>
    <cellStyle name="Linked Cell 2 3 8 4" xfId="24086"/>
    <cellStyle name="Linked Cell 2 3 9" xfId="6139"/>
    <cellStyle name="Linked Cell 2 3 9 2" xfId="6140"/>
    <cellStyle name="Linked Cell 2 3 9 2 2" xfId="20307"/>
    <cellStyle name="Linked Cell 2 3 9 2 2 2" xfId="40375"/>
    <cellStyle name="Linked Cell 2 3 9 2 3" xfId="24283"/>
    <cellStyle name="Linked Cell 2 3 9 3" xfId="16101"/>
    <cellStyle name="Linked Cell 2 3 9 3 2" xfId="36169"/>
    <cellStyle name="Linked Cell 2 3 9 4" xfId="24048"/>
    <cellStyle name="Linked Cell 2 4" xfId="6141"/>
    <cellStyle name="Linked Cell 2 4 10" xfId="6142"/>
    <cellStyle name="Linked Cell 2 4 10 2" xfId="6143"/>
    <cellStyle name="Linked Cell 2 4 10 2 2" xfId="20308"/>
    <cellStyle name="Linked Cell 2 4 10 2 2 2" xfId="40376"/>
    <cellStyle name="Linked Cell 2 4 10 2 3" xfId="24284"/>
    <cellStyle name="Linked Cell 2 4 10 3" xfId="17211"/>
    <cellStyle name="Linked Cell 2 4 10 3 2" xfId="37279"/>
    <cellStyle name="Linked Cell 2 4 10 4" xfId="24123"/>
    <cellStyle name="Linked Cell 2 4 11" xfId="6144"/>
    <cellStyle name="Linked Cell 2 4 11 2" xfId="6145"/>
    <cellStyle name="Linked Cell 2 4 11 2 2" xfId="20309"/>
    <cellStyle name="Linked Cell 2 4 11 2 2 2" xfId="40377"/>
    <cellStyle name="Linked Cell 2 4 11 2 3" xfId="24285"/>
    <cellStyle name="Linked Cell 2 4 11 3" xfId="16305"/>
    <cellStyle name="Linked Cell 2 4 11 3 2" xfId="36373"/>
    <cellStyle name="Linked Cell 2 4 11 4" xfId="24063"/>
    <cellStyle name="Linked Cell 2 4 12" xfId="6146"/>
    <cellStyle name="Linked Cell 2 4 12 2" xfId="6147"/>
    <cellStyle name="Linked Cell 2 4 12 2 2" xfId="20310"/>
    <cellStyle name="Linked Cell 2 4 12 2 2 2" xfId="40378"/>
    <cellStyle name="Linked Cell 2 4 12 2 3" xfId="24286"/>
    <cellStyle name="Linked Cell 2 4 12 3" xfId="15748"/>
    <cellStyle name="Linked Cell 2 4 12 3 2" xfId="35816"/>
    <cellStyle name="Linked Cell 2 4 12 4" xfId="24025"/>
    <cellStyle name="Linked Cell 2 4 13" xfId="6148"/>
    <cellStyle name="Linked Cell 2 4 13 2" xfId="6149"/>
    <cellStyle name="Linked Cell 2 4 13 2 2" xfId="20311"/>
    <cellStyle name="Linked Cell 2 4 13 2 2 2" xfId="40379"/>
    <cellStyle name="Linked Cell 2 4 13 2 3" xfId="24287"/>
    <cellStyle name="Linked Cell 2 4 13 3" xfId="16265"/>
    <cellStyle name="Linked Cell 2 4 13 3 2" xfId="36333"/>
    <cellStyle name="Linked Cell 2 4 13 4" xfId="24057"/>
    <cellStyle name="Linked Cell 2 4 14" xfId="6150"/>
    <cellStyle name="Linked Cell 2 4 14 2" xfId="16518"/>
    <cellStyle name="Linked Cell 2 4 14 2 2" xfId="36586"/>
    <cellStyle name="Linked Cell 2 4 14 3" xfId="24071"/>
    <cellStyle name="Linked Cell 2 4 15" xfId="13880"/>
    <cellStyle name="Linked Cell 2 4 15 2" xfId="33948"/>
    <cellStyle name="Linked Cell 2 4 16" xfId="23891"/>
    <cellStyle name="Linked Cell 2 4 2" xfId="6151"/>
    <cellStyle name="Linked Cell 2 4 2 10" xfId="6152"/>
    <cellStyle name="Linked Cell 2 4 2 10 2" xfId="6153"/>
    <cellStyle name="Linked Cell 2 4 2 10 2 2" xfId="20312"/>
    <cellStyle name="Linked Cell 2 4 2 10 2 2 2" xfId="40380"/>
    <cellStyle name="Linked Cell 2 4 2 10 2 3" xfId="24288"/>
    <cellStyle name="Linked Cell 2 4 2 10 3" xfId="17035"/>
    <cellStyle name="Linked Cell 2 4 2 10 3 2" xfId="37103"/>
    <cellStyle name="Linked Cell 2 4 2 10 4" xfId="24109"/>
    <cellStyle name="Linked Cell 2 4 2 11" xfId="6154"/>
    <cellStyle name="Linked Cell 2 4 2 11 2" xfId="6155"/>
    <cellStyle name="Linked Cell 2 4 2 11 2 2" xfId="20313"/>
    <cellStyle name="Linked Cell 2 4 2 11 2 2 2" xfId="40381"/>
    <cellStyle name="Linked Cell 2 4 2 11 2 3" xfId="24289"/>
    <cellStyle name="Linked Cell 2 4 2 11 3" xfId="17924"/>
    <cellStyle name="Linked Cell 2 4 2 11 3 2" xfId="37992"/>
    <cellStyle name="Linked Cell 2 4 2 11 4" xfId="24167"/>
    <cellStyle name="Linked Cell 2 4 2 12" xfId="6156"/>
    <cellStyle name="Linked Cell 2 4 2 12 2" xfId="6157"/>
    <cellStyle name="Linked Cell 2 4 2 12 2 2" xfId="20314"/>
    <cellStyle name="Linked Cell 2 4 2 12 2 2 2" xfId="40382"/>
    <cellStyle name="Linked Cell 2 4 2 12 2 3" xfId="24290"/>
    <cellStyle name="Linked Cell 2 4 2 12 3" xfId="18298"/>
    <cellStyle name="Linked Cell 2 4 2 12 3 2" xfId="38366"/>
    <cellStyle name="Linked Cell 2 4 2 12 4" xfId="24187"/>
    <cellStyle name="Linked Cell 2 4 2 13" xfId="6158"/>
    <cellStyle name="Linked Cell 2 4 2 13 2" xfId="18386"/>
    <cellStyle name="Linked Cell 2 4 2 13 2 2" xfId="38454"/>
    <cellStyle name="Linked Cell 2 4 2 13 3" xfId="24199"/>
    <cellStyle name="Linked Cell 2 4 2 14" xfId="14330"/>
    <cellStyle name="Linked Cell 2 4 2 14 2" xfId="34398"/>
    <cellStyle name="Linked Cell 2 4 2 15" xfId="23930"/>
    <cellStyle name="Linked Cell 2 4 2 2" xfId="6159"/>
    <cellStyle name="Linked Cell 2 4 2 2 2" xfId="6160"/>
    <cellStyle name="Linked Cell 2 4 2 2 2 2" xfId="20315"/>
    <cellStyle name="Linked Cell 2 4 2 2 2 2 2" xfId="40383"/>
    <cellStyle name="Linked Cell 2 4 2 2 2 3" xfId="24291"/>
    <cellStyle name="Linked Cell 2 4 2 2 3" xfId="14898"/>
    <cellStyle name="Linked Cell 2 4 2 2 3 2" xfId="34966"/>
    <cellStyle name="Linked Cell 2 4 2 2 4" xfId="23965"/>
    <cellStyle name="Linked Cell 2 4 2 3" xfId="6161"/>
    <cellStyle name="Linked Cell 2 4 2 3 2" xfId="6162"/>
    <cellStyle name="Linked Cell 2 4 2 3 2 2" xfId="20316"/>
    <cellStyle name="Linked Cell 2 4 2 3 2 2 2" xfId="40384"/>
    <cellStyle name="Linked Cell 2 4 2 3 2 3" xfId="24292"/>
    <cellStyle name="Linked Cell 2 4 2 3 3" xfId="15067"/>
    <cellStyle name="Linked Cell 2 4 2 3 3 2" xfId="35135"/>
    <cellStyle name="Linked Cell 2 4 2 3 4" xfId="23981"/>
    <cellStyle name="Linked Cell 2 4 2 4" xfId="6163"/>
    <cellStyle name="Linked Cell 2 4 2 4 2" xfId="6164"/>
    <cellStyle name="Linked Cell 2 4 2 4 2 2" xfId="20317"/>
    <cellStyle name="Linked Cell 2 4 2 4 2 2 2" xfId="40385"/>
    <cellStyle name="Linked Cell 2 4 2 4 2 3" xfId="24293"/>
    <cellStyle name="Linked Cell 2 4 2 4 3" xfId="14167"/>
    <cellStyle name="Linked Cell 2 4 2 4 3 2" xfId="34235"/>
    <cellStyle name="Linked Cell 2 4 2 4 4" xfId="23913"/>
    <cellStyle name="Linked Cell 2 4 2 5" xfId="6165"/>
    <cellStyle name="Linked Cell 2 4 2 5 2" xfId="6166"/>
    <cellStyle name="Linked Cell 2 4 2 5 2 2" xfId="20318"/>
    <cellStyle name="Linked Cell 2 4 2 5 2 2 2" xfId="40386"/>
    <cellStyle name="Linked Cell 2 4 2 5 2 3" xfId="24294"/>
    <cellStyle name="Linked Cell 2 4 2 5 3" xfId="16564"/>
    <cellStyle name="Linked Cell 2 4 2 5 3 2" xfId="36632"/>
    <cellStyle name="Linked Cell 2 4 2 5 4" xfId="24078"/>
    <cellStyle name="Linked Cell 2 4 2 6" xfId="6167"/>
    <cellStyle name="Linked Cell 2 4 2 6 2" xfId="6168"/>
    <cellStyle name="Linked Cell 2 4 2 6 2 2" xfId="20319"/>
    <cellStyle name="Linked Cell 2 4 2 6 2 2 2" xfId="40387"/>
    <cellStyle name="Linked Cell 2 4 2 6 2 3" xfId="24295"/>
    <cellStyle name="Linked Cell 2 4 2 6 3" xfId="16768"/>
    <cellStyle name="Linked Cell 2 4 2 6 3 2" xfId="36836"/>
    <cellStyle name="Linked Cell 2 4 2 6 4" xfId="24094"/>
    <cellStyle name="Linked Cell 2 4 2 7" xfId="6169"/>
    <cellStyle name="Linked Cell 2 4 2 7 2" xfId="6170"/>
    <cellStyle name="Linked Cell 2 4 2 7 2 2" xfId="20320"/>
    <cellStyle name="Linked Cell 2 4 2 7 2 2 2" xfId="40388"/>
    <cellStyle name="Linked Cell 2 4 2 7 2 3" xfId="24296"/>
    <cellStyle name="Linked Cell 2 4 2 7 3" xfId="17074"/>
    <cellStyle name="Linked Cell 2 4 2 7 3 2" xfId="37142"/>
    <cellStyle name="Linked Cell 2 4 2 7 4" xfId="24114"/>
    <cellStyle name="Linked Cell 2 4 2 8" xfId="6171"/>
    <cellStyle name="Linked Cell 2 4 2 8 2" xfId="6172"/>
    <cellStyle name="Linked Cell 2 4 2 8 2 2" xfId="20321"/>
    <cellStyle name="Linked Cell 2 4 2 8 2 2 2" xfId="40389"/>
    <cellStyle name="Linked Cell 2 4 2 8 2 3" xfId="24297"/>
    <cellStyle name="Linked Cell 2 4 2 8 3" xfId="17246"/>
    <cellStyle name="Linked Cell 2 4 2 8 3 2" xfId="37314"/>
    <cellStyle name="Linked Cell 2 4 2 8 4" xfId="24128"/>
    <cellStyle name="Linked Cell 2 4 2 9" xfId="6173"/>
    <cellStyle name="Linked Cell 2 4 2 9 2" xfId="6174"/>
    <cellStyle name="Linked Cell 2 4 2 9 2 2" xfId="20322"/>
    <cellStyle name="Linked Cell 2 4 2 9 2 2 2" xfId="40390"/>
    <cellStyle name="Linked Cell 2 4 2 9 2 3" xfId="24298"/>
    <cellStyle name="Linked Cell 2 4 2 9 3" xfId="17661"/>
    <cellStyle name="Linked Cell 2 4 2 9 3 2" xfId="37729"/>
    <cellStyle name="Linked Cell 2 4 2 9 4" xfId="24153"/>
    <cellStyle name="Linked Cell 2 4 3" xfId="6175"/>
    <cellStyle name="Linked Cell 2 4 3 2" xfId="6176"/>
    <cellStyle name="Linked Cell 2 4 3 2 2" xfId="20323"/>
    <cellStyle name="Linked Cell 2 4 3 2 2 2" xfId="40391"/>
    <cellStyle name="Linked Cell 2 4 3 2 3" xfId="24299"/>
    <cellStyle name="Linked Cell 2 4 3 3" xfId="14292"/>
    <cellStyle name="Linked Cell 2 4 3 3 2" xfId="34360"/>
    <cellStyle name="Linked Cell 2 4 3 4" xfId="23926"/>
    <cellStyle name="Linked Cell 2 4 4" xfId="6177"/>
    <cellStyle name="Linked Cell 2 4 4 2" xfId="6178"/>
    <cellStyle name="Linked Cell 2 4 4 2 2" xfId="20324"/>
    <cellStyle name="Linked Cell 2 4 4 2 2 2" xfId="40392"/>
    <cellStyle name="Linked Cell 2 4 4 2 3" xfId="24300"/>
    <cellStyle name="Linked Cell 2 4 4 3" xfId="14727"/>
    <cellStyle name="Linked Cell 2 4 4 3 2" xfId="34795"/>
    <cellStyle name="Linked Cell 2 4 4 4" xfId="23955"/>
    <cellStyle name="Linked Cell 2 4 5" xfId="6179"/>
    <cellStyle name="Linked Cell 2 4 5 2" xfId="6180"/>
    <cellStyle name="Linked Cell 2 4 5 2 2" xfId="20325"/>
    <cellStyle name="Linked Cell 2 4 5 2 2 2" xfId="40393"/>
    <cellStyle name="Linked Cell 2 4 5 2 3" xfId="24301"/>
    <cellStyle name="Linked Cell 2 4 5 3" xfId="14093"/>
    <cellStyle name="Linked Cell 2 4 5 3 2" xfId="34161"/>
    <cellStyle name="Linked Cell 2 4 5 4" xfId="23908"/>
    <cellStyle name="Linked Cell 2 4 6" xfId="6181"/>
    <cellStyle name="Linked Cell 2 4 6 2" xfId="6182"/>
    <cellStyle name="Linked Cell 2 4 6 2 2" xfId="20326"/>
    <cellStyle name="Linked Cell 2 4 6 2 2 2" xfId="40394"/>
    <cellStyle name="Linked Cell 2 4 6 2 3" xfId="24302"/>
    <cellStyle name="Linked Cell 2 4 6 3" xfId="15286"/>
    <cellStyle name="Linked Cell 2 4 6 3 2" xfId="35354"/>
    <cellStyle name="Linked Cell 2 4 6 4" xfId="23992"/>
    <cellStyle name="Linked Cell 2 4 7" xfId="6183"/>
    <cellStyle name="Linked Cell 2 4 7 2" xfId="6184"/>
    <cellStyle name="Linked Cell 2 4 7 2 2" xfId="20327"/>
    <cellStyle name="Linked Cell 2 4 7 2 2 2" xfId="40395"/>
    <cellStyle name="Linked Cell 2 4 7 2 3" xfId="24303"/>
    <cellStyle name="Linked Cell 2 4 7 3" xfId="15395"/>
    <cellStyle name="Linked Cell 2 4 7 3 2" xfId="35463"/>
    <cellStyle name="Linked Cell 2 4 7 4" xfId="24004"/>
    <cellStyle name="Linked Cell 2 4 8" xfId="6185"/>
    <cellStyle name="Linked Cell 2 4 8 2" xfId="6186"/>
    <cellStyle name="Linked Cell 2 4 8 2 2" xfId="20328"/>
    <cellStyle name="Linked Cell 2 4 8 2 2 2" xfId="40396"/>
    <cellStyle name="Linked Cell 2 4 8 2 3" xfId="24304"/>
    <cellStyle name="Linked Cell 2 4 8 3" xfId="15940"/>
    <cellStyle name="Linked Cell 2 4 8 3 2" xfId="36008"/>
    <cellStyle name="Linked Cell 2 4 8 4" xfId="24039"/>
    <cellStyle name="Linked Cell 2 4 9" xfId="6187"/>
    <cellStyle name="Linked Cell 2 4 9 2" xfId="6188"/>
    <cellStyle name="Linked Cell 2 4 9 2 2" xfId="20329"/>
    <cellStyle name="Linked Cell 2 4 9 2 2 2" xfId="40397"/>
    <cellStyle name="Linked Cell 2 4 9 2 3" xfId="24305"/>
    <cellStyle name="Linked Cell 2 4 9 3" xfId="16102"/>
    <cellStyle name="Linked Cell 2 4 9 3 2" xfId="36170"/>
    <cellStyle name="Linked Cell 2 4 9 4" xfId="24049"/>
    <cellStyle name="Linked Cell 2 5" xfId="6189"/>
    <cellStyle name="Linked Cell 2 5 10" xfId="6190"/>
    <cellStyle name="Linked Cell 2 5 10 2" xfId="6191"/>
    <cellStyle name="Linked Cell 2 5 10 2 2" xfId="20330"/>
    <cellStyle name="Linked Cell 2 5 10 2 2 2" xfId="40398"/>
    <cellStyle name="Linked Cell 2 5 10 2 3" xfId="24306"/>
    <cellStyle name="Linked Cell 2 5 10 3" xfId="15424"/>
    <cellStyle name="Linked Cell 2 5 10 3 2" xfId="35492"/>
    <cellStyle name="Linked Cell 2 5 10 4" xfId="24009"/>
    <cellStyle name="Linked Cell 2 5 11" xfId="6192"/>
    <cellStyle name="Linked Cell 2 5 11 2" xfId="6193"/>
    <cellStyle name="Linked Cell 2 5 11 2 2" xfId="20331"/>
    <cellStyle name="Linked Cell 2 5 11 2 2 2" xfId="40399"/>
    <cellStyle name="Linked Cell 2 5 11 2 3" xfId="24307"/>
    <cellStyle name="Linked Cell 2 5 11 3" xfId="16046"/>
    <cellStyle name="Linked Cell 2 5 11 3 2" xfId="36114"/>
    <cellStyle name="Linked Cell 2 5 11 4" xfId="24045"/>
    <cellStyle name="Linked Cell 2 5 12" xfId="6194"/>
    <cellStyle name="Linked Cell 2 5 12 2" xfId="6195"/>
    <cellStyle name="Linked Cell 2 5 12 2 2" xfId="20332"/>
    <cellStyle name="Linked Cell 2 5 12 2 2 2" xfId="40400"/>
    <cellStyle name="Linked Cell 2 5 12 2 3" xfId="24308"/>
    <cellStyle name="Linked Cell 2 5 12 3" xfId="15471"/>
    <cellStyle name="Linked Cell 2 5 12 3 2" xfId="35539"/>
    <cellStyle name="Linked Cell 2 5 12 4" xfId="24012"/>
    <cellStyle name="Linked Cell 2 5 13" xfId="6196"/>
    <cellStyle name="Linked Cell 2 5 13 2" xfId="6197"/>
    <cellStyle name="Linked Cell 2 5 13 2 2" xfId="20333"/>
    <cellStyle name="Linked Cell 2 5 13 2 2 2" xfId="40401"/>
    <cellStyle name="Linked Cell 2 5 13 2 3" xfId="24309"/>
    <cellStyle name="Linked Cell 2 5 13 3" xfId="18018"/>
    <cellStyle name="Linked Cell 2 5 13 3 2" xfId="38086"/>
    <cellStyle name="Linked Cell 2 5 13 4" xfId="24176"/>
    <cellStyle name="Linked Cell 2 5 14" xfId="6198"/>
    <cellStyle name="Linked Cell 2 5 14 2" xfId="18275"/>
    <cellStyle name="Linked Cell 2 5 14 2 2" xfId="38343"/>
    <cellStyle name="Linked Cell 2 5 14 3" xfId="24181"/>
    <cellStyle name="Linked Cell 2 5 15" xfId="13881"/>
    <cellStyle name="Linked Cell 2 5 15 2" xfId="33949"/>
    <cellStyle name="Linked Cell 2 5 16" xfId="23892"/>
    <cellStyle name="Linked Cell 2 5 2" xfId="6199"/>
    <cellStyle name="Linked Cell 2 5 2 10" xfId="6200"/>
    <cellStyle name="Linked Cell 2 5 2 10 2" xfId="6201"/>
    <cellStyle name="Linked Cell 2 5 2 10 2 2" xfId="20334"/>
    <cellStyle name="Linked Cell 2 5 2 10 2 2 2" xfId="40402"/>
    <cellStyle name="Linked Cell 2 5 2 10 2 3" xfId="24310"/>
    <cellStyle name="Linked Cell 2 5 2 10 3" xfId="16040"/>
    <cellStyle name="Linked Cell 2 5 2 10 3 2" xfId="36108"/>
    <cellStyle name="Linked Cell 2 5 2 10 4" xfId="24043"/>
    <cellStyle name="Linked Cell 2 5 2 11" xfId="6202"/>
    <cellStyle name="Linked Cell 2 5 2 11 2" xfId="6203"/>
    <cellStyle name="Linked Cell 2 5 2 11 2 2" xfId="20335"/>
    <cellStyle name="Linked Cell 2 5 2 11 2 2 2" xfId="40403"/>
    <cellStyle name="Linked Cell 2 5 2 11 2 3" xfId="24311"/>
    <cellStyle name="Linked Cell 2 5 2 11 3" xfId="17925"/>
    <cellStyle name="Linked Cell 2 5 2 11 3 2" xfId="37993"/>
    <cellStyle name="Linked Cell 2 5 2 11 4" xfId="24168"/>
    <cellStyle name="Linked Cell 2 5 2 12" xfId="6204"/>
    <cellStyle name="Linked Cell 2 5 2 12 2" xfId="6205"/>
    <cellStyle name="Linked Cell 2 5 2 12 2 2" xfId="20336"/>
    <cellStyle name="Linked Cell 2 5 2 12 2 2 2" xfId="40404"/>
    <cellStyle name="Linked Cell 2 5 2 12 2 3" xfId="24312"/>
    <cellStyle name="Linked Cell 2 5 2 12 3" xfId="18299"/>
    <cellStyle name="Linked Cell 2 5 2 12 3 2" xfId="38367"/>
    <cellStyle name="Linked Cell 2 5 2 12 4" xfId="24188"/>
    <cellStyle name="Linked Cell 2 5 2 13" xfId="6206"/>
    <cellStyle name="Linked Cell 2 5 2 13 2" xfId="18387"/>
    <cellStyle name="Linked Cell 2 5 2 13 2 2" xfId="38455"/>
    <cellStyle name="Linked Cell 2 5 2 13 3" xfId="24200"/>
    <cellStyle name="Linked Cell 2 5 2 14" xfId="14343"/>
    <cellStyle name="Linked Cell 2 5 2 14 2" xfId="34411"/>
    <cellStyle name="Linked Cell 2 5 2 15" xfId="23933"/>
    <cellStyle name="Linked Cell 2 5 2 2" xfId="6207"/>
    <cellStyle name="Linked Cell 2 5 2 2 2" xfId="6208"/>
    <cellStyle name="Linked Cell 2 5 2 2 2 2" xfId="20337"/>
    <cellStyle name="Linked Cell 2 5 2 2 2 2 2" xfId="40405"/>
    <cellStyle name="Linked Cell 2 5 2 2 2 3" xfId="24313"/>
    <cellStyle name="Linked Cell 2 5 2 2 3" xfId="14899"/>
    <cellStyle name="Linked Cell 2 5 2 2 3 2" xfId="34967"/>
    <cellStyle name="Linked Cell 2 5 2 2 4" xfId="23966"/>
    <cellStyle name="Linked Cell 2 5 2 3" xfId="6209"/>
    <cellStyle name="Linked Cell 2 5 2 3 2" xfId="6210"/>
    <cellStyle name="Linked Cell 2 5 2 3 2 2" xfId="20338"/>
    <cellStyle name="Linked Cell 2 5 2 3 2 2 2" xfId="40406"/>
    <cellStyle name="Linked Cell 2 5 2 3 2 3" xfId="24314"/>
    <cellStyle name="Linked Cell 2 5 2 3 3" xfId="15068"/>
    <cellStyle name="Linked Cell 2 5 2 3 3 2" xfId="35136"/>
    <cellStyle name="Linked Cell 2 5 2 3 4" xfId="23982"/>
    <cellStyle name="Linked Cell 2 5 2 4" xfId="6211"/>
    <cellStyle name="Linked Cell 2 5 2 4 2" xfId="6212"/>
    <cellStyle name="Linked Cell 2 5 2 4 2 2" xfId="20339"/>
    <cellStyle name="Linked Cell 2 5 2 4 2 2 2" xfId="40407"/>
    <cellStyle name="Linked Cell 2 5 2 4 2 3" xfId="24315"/>
    <cellStyle name="Linked Cell 2 5 2 4 3" xfId="14421"/>
    <cellStyle name="Linked Cell 2 5 2 4 3 2" xfId="34489"/>
    <cellStyle name="Linked Cell 2 5 2 4 4" xfId="23941"/>
    <cellStyle name="Linked Cell 2 5 2 5" xfId="6213"/>
    <cellStyle name="Linked Cell 2 5 2 5 2" xfId="6214"/>
    <cellStyle name="Linked Cell 2 5 2 5 2 2" xfId="20340"/>
    <cellStyle name="Linked Cell 2 5 2 5 2 2 2" xfId="40408"/>
    <cellStyle name="Linked Cell 2 5 2 5 2 3" xfId="24316"/>
    <cellStyle name="Linked Cell 2 5 2 5 3" xfId="16565"/>
    <cellStyle name="Linked Cell 2 5 2 5 3 2" xfId="36633"/>
    <cellStyle name="Linked Cell 2 5 2 5 4" xfId="24079"/>
    <cellStyle name="Linked Cell 2 5 2 6" xfId="6215"/>
    <cellStyle name="Linked Cell 2 5 2 6 2" xfId="6216"/>
    <cellStyle name="Linked Cell 2 5 2 6 2 2" xfId="20341"/>
    <cellStyle name="Linked Cell 2 5 2 6 2 2 2" xfId="40409"/>
    <cellStyle name="Linked Cell 2 5 2 6 2 3" xfId="24317"/>
    <cellStyle name="Linked Cell 2 5 2 6 3" xfId="16769"/>
    <cellStyle name="Linked Cell 2 5 2 6 3 2" xfId="36837"/>
    <cellStyle name="Linked Cell 2 5 2 6 4" xfId="24095"/>
    <cellStyle name="Linked Cell 2 5 2 7" xfId="6217"/>
    <cellStyle name="Linked Cell 2 5 2 7 2" xfId="6218"/>
    <cellStyle name="Linked Cell 2 5 2 7 2 2" xfId="20342"/>
    <cellStyle name="Linked Cell 2 5 2 7 2 2 2" xfId="40410"/>
    <cellStyle name="Linked Cell 2 5 2 7 2 3" xfId="24318"/>
    <cellStyle name="Linked Cell 2 5 2 7 3" xfId="17075"/>
    <cellStyle name="Linked Cell 2 5 2 7 3 2" xfId="37143"/>
    <cellStyle name="Linked Cell 2 5 2 7 4" xfId="24115"/>
    <cellStyle name="Linked Cell 2 5 2 8" xfId="6219"/>
    <cellStyle name="Linked Cell 2 5 2 8 2" xfId="6220"/>
    <cellStyle name="Linked Cell 2 5 2 8 2 2" xfId="20343"/>
    <cellStyle name="Linked Cell 2 5 2 8 2 2 2" xfId="40411"/>
    <cellStyle name="Linked Cell 2 5 2 8 2 3" xfId="24319"/>
    <cellStyle name="Linked Cell 2 5 2 8 3" xfId="17247"/>
    <cellStyle name="Linked Cell 2 5 2 8 3 2" xfId="37315"/>
    <cellStyle name="Linked Cell 2 5 2 8 4" xfId="24129"/>
    <cellStyle name="Linked Cell 2 5 2 9" xfId="6221"/>
    <cellStyle name="Linked Cell 2 5 2 9 2" xfId="6222"/>
    <cellStyle name="Linked Cell 2 5 2 9 2 2" xfId="20344"/>
    <cellStyle name="Linked Cell 2 5 2 9 2 2 2" xfId="40412"/>
    <cellStyle name="Linked Cell 2 5 2 9 2 3" xfId="24320"/>
    <cellStyle name="Linked Cell 2 5 2 9 3" xfId="17662"/>
    <cellStyle name="Linked Cell 2 5 2 9 3 2" xfId="37730"/>
    <cellStyle name="Linked Cell 2 5 2 9 4" xfId="24154"/>
    <cellStyle name="Linked Cell 2 5 3" xfId="6223"/>
    <cellStyle name="Linked Cell 2 5 3 2" xfId="6224"/>
    <cellStyle name="Linked Cell 2 5 3 2 2" xfId="20345"/>
    <cellStyle name="Linked Cell 2 5 3 2 2 2" xfId="40413"/>
    <cellStyle name="Linked Cell 2 5 3 2 3" xfId="24321"/>
    <cellStyle name="Linked Cell 2 5 3 3" xfId="14461"/>
    <cellStyle name="Linked Cell 2 5 3 3 2" xfId="34529"/>
    <cellStyle name="Linked Cell 2 5 3 4" xfId="23942"/>
    <cellStyle name="Linked Cell 2 5 4" xfId="6225"/>
    <cellStyle name="Linked Cell 2 5 4 2" xfId="6226"/>
    <cellStyle name="Linked Cell 2 5 4 2 2" xfId="20346"/>
    <cellStyle name="Linked Cell 2 5 4 2 2 2" xfId="40414"/>
    <cellStyle name="Linked Cell 2 5 4 2 3" xfId="24322"/>
    <cellStyle name="Linked Cell 2 5 4 3" xfId="14104"/>
    <cellStyle name="Linked Cell 2 5 4 3 2" xfId="34172"/>
    <cellStyle name="Linked Cell 2 5 4 4" xfId="23910"/>
    <cellStyle name="Linked Cell 2 5 5" xfId="6227"/>
    <cellStyle name="Linked Cell 2 5 5 2" xfId="6228"/>
    <cellStyle name="Linked Cell 2 5 5 2 2" xfId="20347"/>
    <cellStyle name="Linked Cell 2 5 5 2 2 2" xfId="40415"/>
    <cellStyle name="Linked Cell 2 5 5 2 3" xfId="24323"/>
    <cellStyle name="Linked Cell 2 5 5 3" xfId="14549"/>
    <cellStyle name="Linked Cell 2 5 5 3 2" xfId="34617"/>
    <cellStyle name="Linked Cell 2 5 5 4" xfId="23946"/>
    <cellStyle name="Linked Cell 2 5 6" xfId="6229"/>
    <cellStyle name="Linked Cell 2 5 6 2" xfId="6230"/>
    <cellStyle name="Linked Cell 2 5 6 2 2" xfId="20348"/>
    <cellStyle name="Linked Cell 2 5 6 2 2 2" xfId="40416"/>
    <cellStyle name="Linked Cell 2 5 6 2 3" xfId="24324"/>
    <cellStyle name="Linked Cell 2 5 6 3" xfId="15287"/>
    <cellStyle name="Linked Cell 2 5 6 3 2" xfId="35355"/>
    <cellStyle name="Linked Cell 2 5 6 4" xfId="23993"/>
    <cellStyle name="Linked Cell 2 5 7" xfId="6231"/>
    <cellStyle name="Linked Cell 2 5 7 2" xfId="6232"/>
    <cellStyle name="Linked Cell 2 5 7 2 2" xfId="20349"/>
    <cellStyle name="Linked Cell 2 5 7 2 2 2" xfId="40417"/>
    <cellStyle name="Linked Cell 2 5 7 2 3" xfId="24325"/>
    <cellStyle name="Linked Cell 2 5 7 3" xfId="15811"/>
    <cellStyle name="Linked Cell 2 5 7 3 2" xfId="35879"/>
    <cellStyle name="Linked Cell 2 5 7 4" xfId="24032"/>
    <cellStyle name="Linked Cell 2 5 8" xfId="6233"/>
    <cellStyle name="Linked Cell 2 5 8 2" xfId="6234"/>
    <cellStyle name="Linked Cell 2 5 8 2 2" xfId="20350"/>
    <cellStyle name="Linked Cell 2 5 8 2 2 2" xfId="40418"/>
    <cellStyle name="Linked Cell 2 5 8 2 3" xfId="24326"/>
    <cellStyle name="Linked Cell 2 5 8 3" xfId="16302"/>
    <cellStyle name="Linked Cell 2 5 8 3 2" xfId="36370"/>
    <cellStyle name="Linked Cell 2 5 8 4" xfId="24062"/>
    <cellStyle name="Linked Cell 2 5 9" xfId="6235"/>
    <cellStyle name="Linked Cell 2 5 9 2" xfId="6236"/>
    <cellStyle name="Linked Cell 2 5 9 2 2" xfId="20351"/>
    <cellStyle name="Linked Cell 2 5 9 2 2 2" xfId="40419"/>
    <cellStyle name="Linked Cell 2 5 9 2 3" xfId="24327"/>
    <cellStyle name="Linked Cell 2 5 9 3" xfId="16872"/>
    <cellStyle name="Linked Cell 2 5 9 3 2" xfId="36940"/>
    <cellStyle name="Linked Cell 2 5 9 4" xfId="24104"/>
    <cellStyle name="Linked Cell 2 6" xfId="6237"/>
    <cellStyle name="Linked Cell 2 6 10" xfId="6238"/>
    <cellStyle name="Linked Cell 2 6 10 2" xfId="6239"/>
    <cellStyle name="Linked Cell 2 6 10 2 2" xfId="20352"/>
    <cellStyle name="Linked Cell 2 6 10 2 2 2" xfId="40420"/>
    <cellStyle name="Linked Cell 2 6 10 2 3" xfId="24328"/>
    <cellStyle name="Linked Cell 2 6 10 3" xfId="15399"/>
    <cellStyle name="Linked Cell 2 6 10 3 2" xfId="35467"/>
    <cellStyle name="Linked Cell 2 6 10 4" xfId="24006"/>
    <cellStyle name="Linked Cell 2 6 11" xfId="6240"/>
    <cellStyle name="Linked Cell 2 6 11 2" xfId="6241"/>
    <cellStyle name="Linked Cell 2 6 11 2 2" xfId="20353"/>
    <cellStyle name="Linked Cell 2 6 11 2 2 2" xfId="40421"/>
    <cellStyle name="Linked Cell 2 6 11 2 3" xfId="24329"/>
    <cellStyle name="Linked Cell 2 6 11 3" xfId="17921"/>
    <cellStyle name="Linked Cell 2 6 11 3 2" xfId="37989"/>
    <cellStyle name="Linked Cell 2 6 11 4" xfId="24164"/>
    <cellStyle name="Linked Cell 2 6 12" xfId="6242"/>
    <cellStyle name="Linked Cell 2 6 12 2" xfId="6243"/>
    <cellStyle name="Linked Cell 2 6 12 2 2" xfId="20354"/>
    <cellStyle name="Linked Cell 2 6 12 2 2 2" xfId="40422"/>
    <cellStyle name="Linked Cell 2 6 12 2 3" xfId="24330"/>
    <cellStyle name="Linked Cell 2 6 12 3" xfId="18295"/>
    <cellStyle name="Linked Cell 2 6 12 3 2" xfId="38363"/>
    <cellStyle name="Linked Cell 2 6 12 4" xfId="24184"/>
    <cellStyle name="Linked Cell 2 6 13" xfId="6244"/>
    <cellStyle name="Linked Cell 2 6 13 2" xfId="18383"/>
    <cellStyle name="Linked Cell 2 6 13 2 2" xfId="38451"/>
    <cellStyle name="Linked Cell 2 6 13 3" xfId="24196"/>
    <cellStyle name="Linked Cell 2 6 14" xfId="14243"/>
    <cellStyle name="Linked Cell 2 6 14 2" xfId="34311"/>
    <cellStyle name="Linked Cell 2 6 15" xfId="23922"/>
    <cellStyle name="Linked Cell 2 6 2" xfId="6245"/>
    <cellStyle name="Linked Cell 2 6 2 2" xfId="6246"/>
    <cellStyle name="Linked Cell 2 6 2 2 2" xfId="20355"/>
    <cellStyle name="Linked Cell 2 6 2 2 2 2" xfId="40423"/>
    <cellStyle name="Linked Cell 2 6 2 2 3" xfId="24331"/>
    <cellStyle name="Linked Cell 2 6 2 3" xfId="14895"/>
    <cellStyle name="Linked Cell 2 6 2 3 2" xfId="34963"/>
    <cellStyle name="Linked Cell 2 6 2 4" xfId="23962"/>
    <cellStyle name="Linked Cell 2 6 3" xfId="6247"/>
    <cellStyle name="Linked Cell 2 6 3 2" xfId="6248"/>
    <cellStyle name="Linked Cell 2 6 3 2 2" xfId="20356"/>
    <cellStyle name="Linked Cell 2 6 3 2 2 2" xfId="40424"/>
    <cellStyle name="Linked Cell 2 6 3 2 3" xfId="24332"/>
    <cellStyle name="Linked Cell 2 6 3 3" xfId="15064"/>
    <cellStyle name="Linked Cell 2 6 3 3 2" xfId="35132"/>
    <cellStyle name="Linked Cell 2 6 3 4" xfId="23978"/>
    <cellStyle name="Linked Cell 2 6 4" xfId="6249"/>
    <cellStyle name="Linked Cell 2 6 4 2" xfId="6250"/>
    <cellStyle name="Linked Cell 2 6 4 2 2" xfId="20357"/>
    <cellStyle name="Linked Cell 2 6 4 2 2 2" xfId="40425"/>
    <cellStyle name="Linked Cell 2 6 4 2 3" xfId="24333"/>
    <cellStyle name="Linked Cell 2 6 4 3" xfId="14858"/>
    <cellStyle name="Linked Cell 2 6 4 3 2" xfId="34926"/>
    <cellStyle name="Linked Cell 2 6 4 4" xfId="23959"/>
    <cellStyle name="Linked Cell 2 6 5" xfId="6251"/>
    <cellStyle name="Linked Cell 2 6 5 2" xfId="6252"/>
    <cellStyle name="Linked Cell 2 6 5 2 2" xfId="20358"/>
    <cellStyle name="Linked Cell 2 6 5 2 2 2" xfId="40426"/>
    <cellStyle name="Linked Cell 2 6 5 2 3" xfId="24334"/>
    <cellStyle name="Linked Cell 2 6 5 3" xfId="16561"/>
    <cellStyle name="Linked Cell 2 6 5 3 2" xfId="36629"/>
    <cellStyle name="Linked Cell 2 6 5 4" xfId="24075"/>
    <cellStyle name="Linked Cell 2 6 6" xfId="6253"/>
    <cellStyle name="Linked Cell 2 6 6 2" xfId="6254"/>
    <cellStyle name="Linked Cell 2 6 6 2 2" xfId="20359"/>
    <cellStyle name="Linked Cell 2 6 6 2 2 2" xfId="40427"/>
    <cellStyle name="Linked Cell 2 6 6 2 3" xfId="24335"/>
    <cellStyle name="Linked Cell 2 6 6 3" xfId="16765"/>
    <cellStyle name="Linked Cell 2 6 6 3 2" xfId="36833"/>
    <cellStyle name="Linked Cell 2 6 6 4" xfId="24091"/>
    <cellStyle name="Linked Cell 2 6 7" xfId="6255"/>
    <cellStyle name="Linked Cell 2 6 7 2" xfId="6256"/>
    <cellStyle name="Linked Cell 2 6 7 2 2" xfId="20360"/>
    <cellStyle name="Linked Cell 2 6 7 2 2 2" xfId="40428"/>
    <cellStyle name="Linked Cell 2 6 7 2 3" xfId="24336"/>
    <cellStyle name="Linked Cell 2 6 7 3" xfId="17071"/>
    <cellStyle name="Linked Cell 2 6 7 3 2" xfId="37139"/>
    <cellStyle name="Linked Cell 2 6 7 4" xfId="24111"/>
    <cellStyle name="Linked Cell 2 6 8" xfId="6257"/>
    <cellStyle name="Linked Cell 2 6 8 2" xfId="6258"/>
    <cellStyle name="Linked Cell 2 6 8 2 2" xfId="20361"/>
    <cellStyle name="Linked Cell 2 6 8 2 2 2" xfId="40429"/>
    <cellStyle name="Linked Cell 2 6 8 2 3" xfId="24337"/>
    <cellStyle name="Linked Cell 2 6 8 3" xfId="17243"/>
    <cellStyle name="Linked Cell 2 6 8 3 2" xfId="37311"/>
    <cellStyle name="Linked Cell 2 6 8 4" xfId="24125"/>
    <cellStyle name="Linked Cell 2 6 9" xfId="6259"/>
    <cellStyle name="Linked Cell 2 6 9 2" xfId="6260"/>
    <cellStyle name="Linked Cell 2 6 9 2 2" xfId="20362"/>
    <cellStyle name="Linked Cell 2 6 9 2 2 2" xfId="40430"/>
    <cellStyle name="Linked Cell 2 6 9 2 3" xfId="24338"/>
    <cellStyle name="Linked Cell 2 6 9 3" xfId="17658"/>
    <cellStyle name="Linked Cell 2 6 9 3 2" xfId="37726"/>
    <cellStyle name="Linked Cell 2 6 9 4" xfId="24150"/>
    <cellStyle name="Linked Cell 2 7" xfId="6261"/>
    <cellStyle name="Linked Cell 2 7 2" xfId="6262"/>
    <cellStyle name="Linked Cell 2 7 2 2" xfId="20363"/>
    <cellStyle name="Linked Cell 2 7 2 2 2" xfId="40431"/>
    <cellStyle name="Linked Cell 2 7 2 3" xfId="24339"/>
    <cellStyle name="Linked Cell 2 7 3" xfId="14195"/>
    <cellStyle name="Linked Cell 2 7 3 2" xfId="34263"/>
    <cellStyle name="Linked Cell 2 7 4" xfId="23916"/>
    <cellStyle name="Linked Cell 2 8" xfId="6263"/>
    <cellStyle name="Linked Cell 2 8 2" xfId="6264"/>
    <cellStyle name="Linked Cell 2 8 2 2" xfId="20364"/>
    <cellStyle name="Linked Cell 2 8 2 2 2" xfId="40432"/>
    <cellStyle name="Linked Cell 2 8 2 3" xfId="24340"/>
    <cellStyle name="Linked Cell 2 8 3" xfId="14571"/>
    <cellStyle name="Linked Cell 2 8 3 2" xfId="34639"/>
    <cellStyle name="Linked Cell 2 8 4" xfId="23949"/>
    <cellStyle name="Linked Cell 2 9" xfId="6265"/>
    <cellStyle name="Linked Cell 2 9 2" xfId="6266"/>
    <cellStyle name="Linked Cell 2 9 2 2" xfId="20365"/>
    <cellStyle name="Linked Cell 2 9 2 2 2" xfId="40433"/>
    <cellStyle name="Linked Cell 2 9 2 3" xfId="24341"/>
    <cellStyle name="Linked Cell 2 9 3" xfId="14617"/>
    <cellStyle name="Linked Cell 2 9 3 2" xfId="34685"/>
    <cellStyle name="Linked Cell 2 9 4" xfId="23952"/>
    <cellStyle name="Linked Cell 2_2012-2013" xfId="6267"/>
    <cellStyle name="Linked Cell 3" xfId="6268"/>
    <cellStyle name="Linked Cell 3 10" xfId="6269"/>
    <cellStyle name="Linked Cell 3 10 2" xfId="6270"/>
    <cellStyle name="Linked Cell 3 10 2 2" xfId="20366"/>
    <cellStyle name="Linked Cell 3 10 2 2 2" xfId="40434"/>
    <cellStyle name="Linked Cell 3 10 2 3" xfId="24342"/>
    <cellStyle name="Linked Cell 3 10 3" xfId="15939"/>
    <cellStyle name="Linked Cell 3 10 3 2" xfId="36007"/>
    <cellStyle name="Linked Cell 3 10 4" xfId="24038"/>
    <cellStyle name="Linked Cell 3 11" xfId="6271"/>
    <cellStyle name="Linked Cell 3 11 2" xfId="6272"/>
    <cellStyle name="Linked Cell 3 11 2 2" xfId="20367"/>
    <cellStyle name="Linked Cell 3 11 2 2 2" xfId="40435"/>
    <cellStyle name="Linked Cell 3 11 2 3" xfId="24343"/>
    <cellStyle name="Linked Cell 3 11 3" xfId="16103"/>
    <cellStyle name="Linked Cell 3 11 3 2" xfId="36171"/>
    <cellStyle name="Linked Cell 3 11 4" xfId="24050"/>
    <cellStyle name="Linked Cell 3 12" xfId="6273"/>
    <cellStyle name="Linked Cell 3 12 2" xfId="6274"/>
    <cellStyle name="Linked Cell 3 12 2 2" xfId="20368"/>
    <cellStyle name="Linked Cell 3 12 2 2 2" xfId="40436"/>
    <cellStyle name="Linked Cell 3 12 2 3" xfId="24344"/>
    <cellStyle name="Linked Cell 3 12 3" xfId="15642"/>
    <cellStyle name="Linked Cell 3 12 3 2" xfId="35710"/>
    <cellStyle name="Linked Cell 3 12 4" xfId="24022"/>
    <cellStyle name="Linked Cell 3 13" xfId="6275"/>
    <cellStyle name="Linked Cell 3 13 2" xfId="6276"/>
    <cellStyle name="Linked Cell 3 13 2 2" xfId="20369"/>
    <cellStyle name="Linked Cell 3 13 2 2 2" xfId="40437"/>
    <cellStyle name="Linked Cell 3 13 2 3" xfId="24345"/>
    <cellStyle name="Linked Cell 3 13 3" xfId="15945"/>
    <cellStyle name="Linked Cell 3 13 3 2" xfId="36013"/>
    <cellStyle name="Linked Cell 3 13 4" xfId="24041"/>
    <cellStyle name="Linked Cell 3 14" xfId="6277"/>
    <cellStyle name="Linked Cell 3 14 2" xfId="6278"/>
    <cellStyle name="Linked Cell 3 14 2 2" xfId="20370"/>
    <cellStyle name="Linked Cell 3 14 2 2 2" xfId="40438"/>
    <cellStyle name="Linked Cell 3 14 2 3" xfId="24346"/>
    <cellStyle name="Linked Cell 3 14 3" xfId="17652"/>
    <cellStyle name="Linked Cell 3 14 3 2" xfId="37720"/>
    <cellStyle name="Linked Cell 3 14 4" xfId="24146"/>
    <cellStyle name="Linked Cell 3 15" xfId="6279"/>
    <cellStyle name="Linked Cell 3 15 2" xfId="6280"/>
    <cellStyle name="Linked Cell 3 15 2 2" xfId="20371"/>
    <cellStyle name="Linked Cell 3 15 2 2 2" xfId="40439"/>
    <cellStyle name="Linked Cell 3 15 2 3" xfId="24347"/>
    <cellStyle name="Linked Cell 3 15 3" xfId="15422"/>
    <cellStyle name="Linked Cell 3 15 3 2" xfId="35490"/>
    <cellStyle name="Linked Cell 3 15 4" xfId="24008"/>
    <cellStyle name="Linked Cell 3 16" xfId="6281"/>
    <cellStyle name="Linked Cell 3 16 2" xfId="17693"/>
    <cellStyle name="Linked Cell 3 16 2 2" xfId="37761"/>
    <cellStyle name="Linked Cell 3 16 3" xfId="24161"/>
    <cellStyle name="Linked Cell 3 17" xfId="13882"/>
    <cellStyle name="Linked Cell 3 17 2" xfId="33950"/>
    <cellStyle name="Linked Cell 3 18" xfId="23893"/>
    <cellStyle name="Linked Cell 3 2" xfId="6282"/>
    <cellStyle name="Linked Cell 3 2 10" xfId="6283"/>
    <cellStyle name="Linked Cell 3 2 10 2" xfId="6284"/>
    <cellStyle name="Linked Cell 3 2 10 2 2" xfId="20372"/>
    <cellStyle name="Linked Cell 3 2 10 2 2 2" xfId="40440"/>
    <cellStyle name="Linked Cell 3 2 10 2 3" xfId="24348"/>
    <cellStyle name="Linked Cell 3 2 10 3" xfId="16290"/>
    <cellStyle name="Linked Cell 3 2 10 3 2" xfId="36358"/>
    <cellStyle name="Linked Cell 3 2 10 4" xfId="24061"/>
    <cellStyle name="Linked Cell 3 2 11" xfId="6285"/>
    <cellStyle name="Linked Cell 3 2 11 2" xfId="6286"/>
    <cellStyle name="Linked Cell 3 2 11 2 2" xfId="20373"/>
    <cellStyle name="Linked Cell 3 2 11 2 2 2" xfId="40441"/>
    <cellStyle name="Linked Cell 3 2 11 2 3" xfId="24349"/>
    <cellStyle name="Linked Cell 3 2 11 3" xfId="16045"/>
    <cellStyle name="Linked Cell 3 2 11 3 2" xfId="36113"/>
    <cellStyle name="Linked Cell 3 2 11 4" xfId="24044"/>
    <cellStyle name="Linked Cell 3 2 12" xfId="6287"/>
    <cellStyle name="Linked Cell 3 2 12 2" xfId="6288"/>
    <cellStyle name="Linked Cell 3 2 12 2 2" xfId="20374"/>
    <cellStyle name="Linked Cell 3 2 12 2 2 2" xfId="40442"/>
    <cellStyle name="Linked Cell 3 2 12 2 3" xfId="24350"/>
    <cellStyle name="Linked Cell 3 2 12 3" xfId="16236"/>
    <cellStyle name="Linked Cell 3 2 12 3 2" xfId="36304"/>
    <cellStyle name="Linked Cell 3 2 12 4" xfId="24055"/>
    <cellStyle name="Linked Cell 3 2 13" xfId="6289"/>
    <cellStyle name="Linked Cell 3 2 13 2" xfId="6290"/>
    <cellStyle name="Linked Cell 3 2 13 2 2" xfId="20375"/>
    <cellStyle name="Linked Cell 3 2 13 2 2 2" xfId="40443"/>
    <cellStyle name="Linked Cell 3 2 13 2 3" xfId="24351"/>
    <cellStyle name="Linked Cell 3 2 13 3" xfId="18019"/>
    <cellStyle name="Linked Cell 3 2 13 3 2" xfId="38087"/>
    <cellStyle name="Linked Cell 3 2 13 4" xfId="24177"/>
    <cellStyle name="Linked Cell 3 2 14" xfId="6291"/>
    <cellStyle name="Linked Cell 3 2 14 2" xfId="15991"/>
    <cellStyle name="Linked Cell 3 2 14 2 2" xfId="36059"/>
    <cellStyle name="Linked Cell 3 2 14 3" xfId="24042"/>
    <cellStyle name="Linked Cell 3 2 15" xfId="13883"/>
    <cellStyle name="Linked Cell 3 2 15 2" xfId="33951"/>
    <cellStyle name="Linked Cell 3 2 16" xfId="23894"/>
    <cellStyle name="Linked Cell 3 2 2" xfId="6292"/>
    <cellStyle name="Linked Cell 3 2 2 10" xfId="6293"/>
    <cellStyle name="Linked Cell 3 2 2 10 2" xfId="6294"/>
    <cellStyle name="Linked Cell 3 2 2 10 2 2" xfId="20376"/>
    <cellStyle name="Linked Cell 3 2 2 10 2 2 2" xfId="40444"/>
    <cellStyle name="Linked Cell 3 2 2 10 2 3" xfId="24352"/>
    <cellStyle name="Linked Cell 3 2 2 10 3" xfId="15583"/>
    <cellStyle name="Linked Cell 3 2 2 10 3 2" xfId="35651"/>
    <cellStyle name="Linked Cell 3 2 2 10 4" xfId="24019"/>
    <cellStyle name="Linked Cell 3 2 2 11" xfId="6295"/>
    <cellStyle name="Linked Cell 3 2 2 11 2" xfId="6296"/>
    <cellStyle name="Linked Cell 3 2 2 11 2 2" xfId="20377"/>
    <cellStyle name="Linked Cell 3 2 2 11 2 2 2" xfId="40445"/>
    <cellStyle name="Linked Cell 3 2 2 11 2 3" xfId="24353"/>
    <cellStyle name="Linked Cell 3 2 2 11 3" xfId="17927"/>
    <cellStyle name="Linked Cell 3 2 2 11 3 2" xfId="37995"/>
    <cellStyle name="Linked Cell 3 2 2 11 4" xfId="24170"/>
    <cellStyle name="Linked Cell 3 2 2 12" xfId="6297"/>
    <cellStyle name="Linked Cell 3 2 2 12 2" xfId="6298"/>
    <cellStyle name="Linked Cell 3 2 2 12 2 2" xfId="20378"/>
    <cellStyle name="Linked Cell 3 2 2 12 2 2 2" xfId="40446"/>
    <cellStyle name="Linked Cell 3 2 2 12 2 3" xfId="24354"/>
    <cellStyle name="Linked Cell 3 2 2 12 3" xfId="18301"/>
    <cellStyle name="Linked Cell 3 2 2 12 3 2" xfId="38369"/>
    <cellStyle name="Linked Cell 3 2 2 12 4" xfId="24190"/>
    <cellStyle name="Linked Cell 3 2 2 13" xfId="6299"/>
    <cellStyle name="Linked Cell 3 2 2 13 2" xfId="18389"/>
    <cellStyle name="Linked Cell 3 2 2 13 2 2" xfId="38457"/>
    <cellStyle name="Linked Cell 3 2 2 13 3" xfId="24202"/>
    <cellStyle name="Linked Cell 3 2 2 14" xfId="14286"/>
    <cellStyle name="Linked Cell 3 2 2 14 2" xfId="34354"/>
    <cellStyle name="Linked Cell 3 2 2 15" xfId="23925"/>
    <cellStyle name="Linked Cell 3 2 2 2" xfId="6300"/>
    <cellStyle name="Linked Cell 3 2 2 2 2" xfId="6301"/>
    <cellStyle name="Linked Cell 3 2 2 2 2 2" xfId="20379"/>
    <cellStyle name="Linked Cell 3 2 2 2 2 2 2" xfId="40447"/>
    <cellStyle name="Linked Cell 3 2 2 2 2 3" xfId="24355"/>
    <cellStyle name="Linked Cell 3 2 2 2 3" xfId="14901"/>
    <cellStyle name="Linked Cell 3 2 2 2 3 2" xfId="34969"/>
    <cellStyle name="Linked Cell 3 2 2 2 4" xfId="23968"/>
    <cellStyle name="Linked Cell 3 2 2 3" xfId="6302"/>
    <cellStyle name="Linked Cell 3 2 2 3 2" xfId="6303"/>
    <cellStyle name="Linked Cell 3 2 2 3 2 2" xfId="20380"/>
    <cellStyle name="Linked Cell 3 2 2 3 2 2 2" xfId="40448"/>
    <cellStyle name="Linked Cell 3 2 2 3 2 3" xfId="24356"/>
    <cellStyle name="Linked Cell 3 2 2 3 3" xfId="15070"/>
    <cellStyle name="Linked Cell 3 2 2 3 3 2" xfId="35138"/>
    <cellStyle name="Linked Cell 3 2 2 3 4" xfId="23984"/>
    <cellStyle name="Linked Cell 3 2 2 4" xfId="6304"/>
    <cellStyle name="Linked Cell 3 2 2 4 2" xfId="6305"/>
    <cellStyle name="Linked Cell 3 2 2 4 2 2" xfId="20381"/>
    <cellStyle name="Linked Cell 3 2 2 4 2 2 2" xfId="40449"/>
    <cellStyle name="Linked Cell 3 2 2 4 2 3" xfId="24357"/>
    <cellStyle name="Linked Cell 3 2 2 4 3" xfId="14363"/>
    <cellStyle name="Linked Cell 3 2 2 4 3 2" xfId="34431"/>
    <cellStyle name="Linked Cell 3 2 2 4 4" xfId="23936"/>
    <cellStyle name="Linked Cell 3 2 2 5" xfId="6306"/>
    <cellStyle name="Linked Cell 3 2 2 5 2" xfId="6307"/>
    <cellStyle name="Linked Cell 3 2 2 5 2 2" xfId="20382"/>
    <cellStyle name="Linked Cell 3 2 2 5 2 2 2" xfId="40450"/>
    <cellStyle name="Linked Cell 3 2 2 5 2 3" xfId="24358"/>
    <cellStyle name="Linked Cell 3 2 2 5 3" xfId="16567"/>
    <cellStyle name="Linked Cell 3 2 2 5 3 2" xfId="36635"/>
    <cellStyle name="Linked Cell 3 2 2 5 4" xfId="24081"/>
    <cellStyle name="Linked Cell 3 2 2 6" xfId="6308"/>
    <cellStyle name="Linked Cell 3 2 2 6 2" xfId="6309"/>
    <cellStyle name="Linked Cell 3 2 2 6 2 2" xfId="20383"/>
    <cellStyle name="Linked Cell 3 2 2 6 2 2 2" xfId="40451"/>
    <cellStyle name="Linked Cell 3 2 2 6 2 3" xfId="24359"/>
    <cellStyle name="Linked Cell 3 2 2 6 3" xfId="16771"/>
    <cellStyle name="Linked Cell 3 2 2 6 3 2" xfId="36839"/>
    <cellStyle name="Linked Cell 3 2 2 6 4" xfId="24097"/>
    <cellStyle name="Linked Cell 3 2 2 7" xfId="6310"/>
    <cellStyle name="Linked Cell 3 2 2 7 2" xfId="6311"/>
    <cellStyle name="Linked Cell 3 2 2 7 2 2" xfId="20384"/>
    <cellStyle name="Linked Cell 3 2 2 7 2 2 2" xfId="40452"/>
    <cellStyle name="Linked Cell 3 2 2 7 2 3" xfId="24360"/>
    <cellStyle name="Linked Cell 3 2 2 7 3" xfId="17077"/>
    <cellStyle name="Linked Cell 3 2 2 7 3 2" xfId="37145"/>
    <cellStyle name="Linked Cell 3 2 2 7 4" xfId="24117"/>
    <cellStyle name="Linked Cell 3 2 2 8" xfId="6312"/>
    <cellStyle name="Linked Cell 3 2 2 8 2" xfId="6313"/>
    <cellStyle name="Linked Cell 3 2 2 8 2 2" xfId="20385"/>
    <cellStyle name="Linked Cell 3 2 2 8 2 2 2" xfId="40453"/>
    <cellStyle name="Linked Cell 3 2 2 8 2 3" xfId="24361"/>
    <cellStyle name="Linked Cell 3 2 2 8 3" xfId="17249"/>
    <cellStyle name="Linked Cell 3 2 2 8 3 2" xfId="37317"/>
    <cellStyle name="Linked Cell 3 2 2 8 4" xfId="24131"/>
    <cellStyle name="Linked Cell 3 2 2 9" xfId="6314"/>
    <cellStyle name="Linked Cell 3 2 2 9 2" xfId="6315"/>
    <cellStyle name="Linked Cell 3 2 2 9 2 2" xfId="20386"/>
    <cellStyle name="Linked Cell 3 2 2 9 2 2 2" xfId="40454"/>
    <cellStyle name="Linked Cell 3 2 2 9 2 3" xfId="24362"/>
    <cellStyle name="Linked Cell 3 2 2 9 3" xfId="17664"/>
    <cellStyle name="Linked Cell 3 2 2 9 3 2" xfId="37732"/>
    <cellStyle name="Linked Cell 3 2 2 9 4" xfId="24156"/>
    <cellStyle name="Linked Cell 3 2 3" xfId="6316"/>
    <cellStyle name="Linked Cell 3 2 3 2" xfId="6317"/>
    <cellStyle name="Linked Cell 3 2 3 2 2" xfId="20387"/>
    <cellStyle name="Linked Cell 3 2 3 2 2 2" xfId="40455"/>
    <cellStyle name="Linked Cell 3 2 3 2 3" xfId="24363"/>
    <cellStyle name="Linked Cell 3 2 3 3" xfId="14293"/>
    <cellStyle name="Linked Cell 3 2 3 3 2" xfId="34361"/>
    <cellStyle name="Linked Cell 3 2 3 4" xfId="23927"/>
    <cellStyle name="Linked Cell 3 2 4" xfId="6318"/>
    <cellStyle name="Linked Cell 3 2 4 2" xfId="6319"/>
    <cellStyle name="Linked Cell 3 2 4 2 2" xfId="20388"/>
    <cellStyle name="Linked Cell 3 2 4 2 2 2" xfId="40456"/>
    <cellStyle name="Linked Cell 3 2 4 2 3" xfId="24364"/>
    <cellStyle name="Linked Cell 3 2 4 3" xfId="14728"/>
    <cellStyle name="Linked Cell 3 2 4 3 2" xfId="34796"/>
    <cellStyle name="Linked Cell 3 2 4 4" xfId="23956"/>
    <cellStyle name="Linked Cell 3 2 5" xfId="6320"/>
    <cellStyle name="Linked Cell 3 2 5 2" xfId="6321"/>
    <cellStyle name="Linked Cell 3 2 5 2 2" xfId="20389"/>
    <cellStyle name="Linked Cell 3 2 5 2 2 2" xfId="40457"/>
    <cellStyle name="Linked Cell 3 2 5 2 3" xfId="24365"/>
    <cellStyle name="Linked Cell 3 2 5 3" xfId="14227"/>
    <cellStyle name="Linked Cell 3 2 5 3 2" xfId="34295"/>
    <cellStyle name="Linked Cell 3 2 5 4" xfId="23919"/>
    <cellStyle name="Linked Cell 3 2 6" xfId="6322"/>
    <cellStyle name="Linked Cell 3 2 6 2" xfId="6323"/>
    <cellStyle name="Linked Cell 3 2 6 2 2" xfId="20390"/>
    <cellStyle name="Linked Cell 3 2 6 2 2 2" xfId="40458"/>
    <cellStyle name="Linked Cell 3 2 6 2 3" xfId="24366"/>
    <cellStyle name="Linked Cell 3 2 6 3" xfId="15289"/>
    <cellStyle name="Linked Cell 3 2 6 3 2" xfId="35357"/>
    <cellStyle name="Linked Cell 3 2 6 4" xfId="23995"/>
    <cellStyle name="Linked Cell 3 2 7" xfId="6324"/>
    <cellStyle name="Linked Cell 3 2 7 2" xfId="6325"/>
    <cellStyle name="Linked Cell 3 2 7 2 2" xfId="20391"/>
    <cellStyle name="Linked Cell 3 2 7 2 2 2" xfId="40459"/>
    <cellStyle name="Linked Cell 3 2 7 2 3" xfId="24367"/>
    <cellStyle name="Linked Cell 3 2 7 3" xfId="15394"/>
    <cellStyle name="Linked Cell 3 2 7 3 2" xfId="35462"/>
    <cellStyle name="Linked Cell 3 2 7 4" xfId="24003"/>
    <cellStyle name="Linked Cell 3 2 8" xfId="6326"/>
    <cellStyle name="Linked Cell 3 2 8 2" xfId="6327"/>
    <cellStyle name="Linked Cell 3 2 8 2 2" xfId="20392"/>
    <cellStyle name="Linked Cell 3 2 8 2 2 2" xfId="40460"/>
    <cellStyle name="Linked Cell 3 2 8 2 3" xfId="24368"/>
    <cellStyle name="Linked Cell 3 2 8 3" xfId="16527"/>
    <cellStyle name="Linked Cell 3 2 8 3 2" xfId="36595"/>
    <cellStyle name="Linked Cell 3 2 8 4" xfId="24073"/>
    <cellStyle name="Linked Cell 3 2 9" xfId="6328"/>
    <cellStyle name="Linked Cell 3 2 9 2" xfId="6329"/>
    <cellStyle name="Linked Cell 3 2 9 2 2" xfId="20393"/>
    <cellStyle name="Linked Cell 3 2 9 2 2 2" xfId="40461"/>
    <cellStyle name="Linked Cell 3 2 9 2 3" xfId="24369"/>
    <cellStyle name="Linked Cell 3 2 9 3" xfId="16873"/>
    <cellStyle name="Linked Cell 3 2 9 3 2" xfId="36941"/>
    <cellStyle name="Linked Cell 3 2 9 4" xfId="24105"/>
    <cellStyle name="Linked Cell 3 3" xfId="6330"/>
    <cellStyle name="Linked Cell 3 3 10" xfId="6331"/>
    <cellStyle name="Linked Cell 3 3 10 2" xfId="6332"/>
    <cellStyle name="Linked Cell 3 3 10 2 2" xfId="20394"/>
    <cellStyle name="Linked Cell 3 3 10 2 2 2" xfId="40462"/>
    <cellStyle name="Linked Cell 3 3 10 2 3" xfId="24370"/>
    <cellStyle name="Linked Cell 3 3 10 3" xfId="15665"/>
    <cellStyle name="Linked Cell 3 3 10 3 2" xfId="35733"/>
    <cellStyle name="Linked Cell 3 3 10 4" xfId="24023"/>
    <cellStyle name="Linked Cell 3 3 11" xfId="6333"/>
    <cellStyle name="Linked Cell 3 3 11 2" xfId="6334"/>
    <cellStyle name="Linked Cell 3 3 11 2 2" xfId="20395"/>
    <cellStyle name="Linked Cell 3 3 11 2 2 2" xfId="40463"/>
    <cellStyle name="Linked Cell 3 3 11 2 3" xfId="24371"/>
    <cellStyle name="Linked Cell 3 3 11 3" xfId="17321"/>
    <cellStyle name="Linked Cell 3 3 11 3 2" xfId="37389"/>
    <cellStyle name="Linked Cell 3 3 11 4" xfId="24138"/>
    <cellStyle name="Linked Cell 3 3 12" xfId="6335"/>
    <cellStyle name="Linked Cell 3 3 12 2" xfId="6336"/>
    <cellStyle name="Linked Cell 3 3 12 2 2" xfId="20396"/>
    <cellStyle name="Linked Cell 3 3 12 2 2 2" xfId="40464"/>
    <cellStyle name="Linked Cell 3 3 12 2 3" xfId="24372"/>
    <cellStyle name="Linked Cell 3 3 12 3" xfId="15440"/>
    <cellStyle name="Linked Cell 3 3 12 3 2" xfId="35508"/>
    <cellStyle name="Linked Cell 3 3 12 4" xfId="24011"/>
    <cellStyle name="Linked Cell 3 3 13" xfId="6337"/>
    <cellStyle name="Linked Cell 3 3 13 2" xfId="6338"/>
    <cellStyle name="Linked Cell 3 3 13 2 2" xfId="20397"/>
    <cellStyle name="Linked Cell 3 3 13 2 2 2" xfId="40465"/>
    <cellStyle name="Linked Cell 3 3 13 2 3" xfId="24373"/>
    <cellStyle name="Linked Cell 3 3 13 3" xfId="17348"/>
    <cellStyle name="Linked Cell 3 3 13 3 2" xfId="37416"/>
    <cellStyle name="Linked Cell 3 3 13 4" xfId="24139"/>
    <cellStyle name="Linked Cell 3 3 14" xfId="6339"/>
    <cellStyle name="Linked Cell 3 3 14 2" xfId="17351"/>
    <cellStyle name="Linked Cell 3 3 14 2 2" xfId="37419"/>
    <cellStyle name="Linked Cell 3 3 14 3" xfId="24141"/>
    <cellStyle name="Linked Cell 3 3 15" xfId="13884"/>
    <cellStyle name="Linked Cell 3 3 15 2" xfId="33952"/>
    <cellStyle name="Linked Cell 3 3 16" xfId="23895"/>
    <cellStyle name="Linked Cell 3 3 2" xfId="6340"/>
    <cellStyle name="Linked Cell 3 3 2 10" xfId="6341"/>
    <cellStyle name="Linked Cell 3 3 2 10 2" xfId="6342"/>
    <cellStyle name="Linked Cell 3 3 2 10 2 2" xfId="20398"/>
    <cellStyle name="Linked Cell 3 3 2 10 2 2 2" xfId="40466"/>
    <cellStyle name="Linked Cell 3 3 2 10 2 3" xfId="24374"/>
    <cellStyle name="Linked Cell 3 3 2 10 3" xfId="15503"/>
    <cellStyle name="Linked Cell 3 3 2 10 3 2" xfId="35571"/>
    <cellStyle name="Linked Cell 3 3 2 10 4" xfId="24016"/>
    <cellStyle name="Linked Cell 3 3 2 11" xfId="6343"/>
    <cellStyle name="Linked Cell 3 3 2 11 2" xfId="6344"/>
    <cellStyle name="Linked Cell 3 3 2 11 2 2" xfId="20399"/>
    <cellStyle name="Linked Cell 3 3 2 11 2 2 2" xfId="40467"/>
    <cellStyle name="Linked Cell 3 3 2 11 2 3" xfId="24375"/>
    <cellStyle name="Linked Cell 3 3 2 11 3" xfId="17928"/>
    <cellStyle name="Linked Cell 3 3 2 11 3 2" xfId="37996"/>
    <cellStyle name="Linked Cell 3 3 2 11 4" xfId="24171"/>
    <cellStyle name="Linked Cell 3 3 2 12" xfId="6345"/>
    <cellStyle name="Linked Cell 3 3 2 12 2" xfId="6346"/>
    <cellStyle name="Linked Cell 3 3 2 12 2 2" xfId="20400"/>
    <cellStyle name="Linked Cell 3 3 2 12 2 2 2" xfId="40468"/>
    <cellStyle name="Linked Cell 3 3 2 12 2 3" xfId="24376"/>
    <cellStyle name="Linked Cell 3 3 2 12 3" xfId="18302"/>
    <cellStyle name="Linked Cell 3 3 2 12 3 2" xfId="38370"/>
    <cellStyle name="Linked Cell 3 3 2 12 4" xfId="24191"/>
    <cellStyle name="Linked Cell 3 3 2 13" xfId="6347"/>
    <cellStyle name="Linked Cell 3 3 2 13 2" xfId="18390"/>
    <cellStyle name="Linked Cell 3 3 2 13 2 2" xfId="38458"/>
    <cellStyle name="Linked Cell 3 3 2 13 3" xfId="24203"/>
    <cellStyle name="Linked Cell 3 3 2 14" xfId="14239"/>
    <cellStyle name="Linked Cell 3 3 2 14 2" xfId="34307"/>
    <cellStyle name="Linked Cell 3 3 2 15" xfId="23921"/>
    <cellStyle name="Linked Cell 3 3 2 2" xfId="6348"/>
    <cellStyle name="Linked Cell 3 3 2 2 2" xfId="6349"/>
    <cellStyle name="Linked Cell 3 3 2 2 2 2" xfId="20401"/>
    <cellStyle name="Linked Cell 3 3 2 2 2 2 2" xfId="40469"/>
    <cellStyle name="Linked Cell 3 3 2 2 2 3" xfId="24377"/>
    <cellStyle name="Linked Cell 3 3 2 2 3" xfId="14902"/>
    <cellStyle name="Linked Cell 3 3 2 2 3 2" xfId="34970"/>
    <cellStyle name="Linked Cell 3 3 2 2 4" xfId="23969"/>
    <cellStyle name="Linked Cell 3 3 2 3" xfId="6350"/>
    <cellStyle name="Linked Cell 3 3 2 3 2" xfId="6351"/>
    <cellStyle name="Linked Cell 3 3 2 3 2 2" xfId="20402"/>
    <cellStyle name="Linked Cell 3 3 2 3 2 2 2" xfId="40470"/>
    <cellStyle name="Linked Cell 3 3 2 3 2 3" xfId="24378"/>
    <cellStyle name="Linked Cell 3 3 2 3 3" xfId="15071"/>
    <cellStyle name="Linked Cell 3 3 2 3 3 2" xfId="35139"/>
    <cellStyle name="Linked Cell 3 3 2 3 4" xfId="23985"/>
    <cellStyle name="Linked Cell 3 3 2 4" xfId="6352"/>
    <cellStyle name="Linked Cell 3 3 2 4 2" xfId="6353"/>
    <cellStyle name="Linked Cell 3 3 2 4 2 2" xfId="20403"/>
    <cellStyle name="Linked Cell 3 3 2 4 2 2 2" xfId="40471"/>
    <cellStyle name="Linked Cell 3 3 2 4 2 3" xfId="24379"/>
    <cellStyle name="Linked Cell 3 3 2 4 3" xfId="15008"/>
    <cellStyle name="Linked Cell 3 3 2 4 3 2" xfId="35076"/>
    <cellStyle name="Linked Cell 3 3 2 4 4" xfId="23975"/>
    <cellStyle name="Linked Cell 3 3 2 5" xfId="6354"/>
    <cellStyle name="Linked Cell 3 3 2 5 2" xfId="6355"/>
    <cellStyle name="Linked Cell 3 3 2 5 2 2" xfId="20404"/>
    <cellStyle name="Linked Cell 3 3 2 5 2 2 2" xfId="40472"/>
    <cellStyle name="Linked Cell 3 3 2 5 2 3" xfId="24380"/>
    <cellStyle name="Linked Cell 3 3 2 5 3" xfId="16568"/>
    <cellStyle name="Linked Cell 3 3 2 5 3 2" xfId="36636"/>
    <cellStyle name="Linked Cell 3 3 2 5 4" xfId="24082"/>
    <cellStyle name="Linked Cell 3 3 2 6" xfId="6356"/>
    <cellStyle name="Linked Cell 3 3 2 6 2" xfId="6357"/>
    <cellStyle name="Linked Cell 3 3 2 6 2 2" xfId="20405"/>
    <cellStyle name="Linked Cell 3 3 2 6 2 2 2" xfId="40473"/>
    <cellStyle name="Linked Cell 3 3 2 6 2 3" xfId="24381"/>
    <cellStyle name="Linked Cell 3 3 2 6 3" xfId="16772"/>
    <cellStyle name="Linked Cell 3 3 2 6 3 2" xfId="36840"/>
    <cellStyle name="Linked Cell 3 3 2 6 4" xfId="24098"/>
    <cellStyle name="Linked Cell 3 3 2 7" xfId="6358"/>
    <cellStyle name="Linked Cell 3 3 2 7 2" xfId="6359"/>
    <cellStyle name="Linked Cell 3 3 2 7 2 2" xfId="20406"/>
    <cellStyle name="Linked Cell 3 3 2 7 2 2 2" xfId="40474"/>
    <cellStyle name="Linked Cell 3 3 2 7 2 3" xfId="24382"/>
    <cellStyle name="Linked Cell 3 3 2 7 3" xfId="17078"/>
    <cellStyle name="Linked Cell 3 3 2 7 3 2" xfId="37146"/>
    <cellStyle name="Linked Cell 3 3 2 7 4" xfId="24118"/>
    <cellStyle name="Linked Cell 3 3 2 8" xfId="6360"/>
    <cellStyle name="Linked Cell 3 3 2 8 2" xfId="6361"/>
    <cellStyle name="Linked Cell 3 3 2 8 2 2" xfId="20407"/>
    <cellStyle name="Linked Cell 3 3 2 8 2 2 2" xfId="40475"/>
    <cellStyle name="Linked Cell 3 3 2 8 2 3" xfId="24383"/>
    <cellStyle name="Linked Cell 3 3 2 8 3" xfId="17250"/>
    <cellStyle name="Linked Cell 3 3 2 8 3 2" xfId="37318"/>
    <cellStyle name="Linked Cell 3 3 2 8 4" xfId="24132"/>
    <cellStyle name="Linked Cell 3 3 2 9" xfId="6362"/>
    <cellStyle name="Linked Cell 3 3 2 9 2" xfId="6363"/>
    <cellStyle name="Linked Cell 3 3 2 9 2 2" xfId="20408"/>
    <cellStyle name="Linked Cell 3 3 2 9 2 2 2" xfId="40476"/>
    <cellStyle name="Linked Cell 3 3 2 9 2 3" xfId="24384"/>
    <cellStyle name="Linked Cell 3 3 2 9 3" xfId="17665"/>
    <cellStyle name="Linked Cell 3 3 2 9 3 2" xfId="37733"/>
    <cellStyle name="Linked Cell 3 3 2 9 4" xfId="24157"/>
    <cellStyle name="Linked Cell 3 3 3" xfId="6364"/>
    <cellStyle name="Linked Cell 3 3 3 2" xfId="6365"/>
    <cellStyle name="Linked Cell 3 3 3 2 2" xfId="20409"/>
    <cellStyle name="Linked Cell 3 3 3 2 2 2" xfId="40477"/>
    <cellStyle name="Linked Cell 3 3 3 2 3" xfId="24385"/>
    <cellStyle name="Linked Cell 3 3 3 3" xfId="14333"/>
    <cellStyle name="Linked Cell 3 3 3 3 2" xfId="34401"/>
    <cellStyle name="Linked Cell 3 3 3 4" xfId="23931"/>
    <cellStyle name="Linked Cell 3 3 4" xfId="6366"/>
    <cellStyle name="Linked Cell 3 3 4 2" xfId="6367"/>
    <cellStyle name="Linked Cell 3 3 4 2 2" xfId="20410"/>
    <cellStyle name="Linked Cell 3 3 4 2 2 2" xfId="40478"/>
    <cellStyle name="Linked Cell 3 3 4 2 3" xfId="24386"/>
    <cellStyle name="Linked Cell 3 3 4 3" xfId="14463"/>
    <cellStyle name="Linked Cell 3 3 4 3 2" xfId="34531"/>
    <cellStyle name="Linked Cell 3 3 4 4" xfId="23943"/>
    <cellStyle name="Linked Cell 3 3 5" xfId="6368"/>
    <cellStyle name="Linked Cell 3 3 5 2" xfId="6369"/>
    <cellStyle name="Linked Cell 3 3 5 2 2" xfId="20411"/>
    <cellStyle name="Linked Cell 3 3 5 2 2 2" xfId="40479"/>
    <cellStyle name="Linked Cell 3 3 5 2 3" xfId="24387"/>
    <cellStyle name="Linked Cell 3 3 5 3" xfId="14069"/>
    <cellStyle name="Linked Cell 3 3 5 3 2" xfId="34137"/>
    <cellStyle name="Linked Cell 3 3 5 4" xfId="23906"/>
    <cellStyle name="Linked Cell 3 3 6" xfId="6370"/>
    <cellStyle name="Linked Cell 3 3 6 2" xfId="6371"/>
    <cellStyle name="Linked Cell 3 3 6 2 2" xfId="20412"/>
    <cellStyle name="Linked Cell 3 3 6 2 2 2" xfId="40480"/>
    <cellStyle name="Linked Cell 3 3 6 2 3" xfId="24388"/>
    <cellStyle name="Linked Cell 3 3 6 3" xfId="15290"/>
    <cellStyle name="Linked Cell 3 3 6 3 2" xfId="35358"/>
    <cellStyle name="Linked Cell 3 3 6 4" xfId="23996"/>
    <cellStyle name="Linked Cell 3 3 7" xfId="6372"/>
    <cellStyle name="Linked Cell 3 3 7 2" xfId="6373"/>
    <cellStyle name="Linked Cell 3 3 7 2 2" xfId="20413"/>
    <cellStyle name="Linked Cell 3 3 7 2 2 2" xfId="40481"/>
    <cellStyle name="Linked Cell 3 3 7 2 3" xfId="24389"/>
    <cellStyle name="Linked Cell 3 3 7 3" xfId="15809"/>
    <cellStyle name="Linked Cell 3 3 7 3 2" xfId="35877"/>
    <cellStyle name="Linked Cell 3 3 7 4" xfId="24030"/>
    <cellStyle name="Linked Cell 3 3 8" xfId="6374"/>
    <cellStyle name="Linked Cell 3 3 8 2" xfId="6375"/>
    <cellStyle name="Linked Cell 3 3 8 2 2" xfId="20414"/>
    <cellStyle name="Linked Cell 3 3 8 2 2 2" xfId="40482"/>
    <cellStyle name="Linked Cell 3 3 8 2 3" xfId="24390"/>
    <cellStyle name="Linked Cell 3 3 8 3" xfId="16529"/>
    <cellStyle name="Linked Cell 3 3 8 3 2" xfId="36597"/>
    <cellStyle name="Linked Cell 3 3 8 4" xfId="24074"/>
    <cellStyle name="Linked Cell 3 3 9" xfId="6376"/>
    <cellStyle name="Linked Cell 3 3 9 2" xfId="6377"/>
    <cellStyle name="Linked Cell 3 3 9 2 2" xfId="20415"/>
    <cellStyle name="Linked Cell 3 3 9 2 2 2" xfId="40483"/>
    <cellStyle name="Linked Cell 3 3 9 2 3" xfId="24391"/>
    <cellStyle name="Linked Cell 3 3 9 3" xfId="15491"/>
    <cellStyle name="Linked Cell 3 3 9 3 2" xfId="35559"/>
    <cellStyle name="Linked Cell 3 3 9 4" xfId="24015"/>
    <cellStyle name="Linked Cell 3 4" xfId="6378"/>
    <cellStyle name="Linked Cell 3 4 10" xfId="6379"/>
    <cellStyle name="Linked Cell 3 4 10 2" xfId="6380"/>
    <cellStyle name="Linked Cell 3 4 10 2 2" xfId="20416"/>
    <cellStyle name="Linked Cell 3 4 10 2 2 2" xfId="40484"/>
    <cellStyle name="Linked Cell 3 4 10 2 3" xfId="24392"/>
    <cellStyle name="Linked Cell 3 4 10 3" xfId="16313"/>
    <cellStyle name="Linked Cell 3 4 10 3 2" xfId="36381"/>
    <cellStyle name="Linked Cell 3 4 10 4" xfId="24065"/>
    <cellStyle name="Linked Cell 3 4 11" xfId="6381"/>
    <cellStyle name="Linked Cell 3 4 11 2" xfId="6382"/>
    <cellStyle name="Linked Cell 3 4 11 2 2" xfId="20417"/>
    <cellStyle name="Linked Cell 3 4 11 2 2 2" xfId="40485"/>
    <cellStyle name="Linked Cell 3 4 11 2 3" xfId="24393"/>
    <cellStyle name="Linked Cell 3 4 11 3" xfId="17926"/>
    <cellStyle name="Linked Cell 3 4 11 3 2" xfId="37994"/>
    <cellStyle name="Linked Cell 3 4 11 4" xfId="24169"/>
    <cellStyle name="Linked Cell 3 4 12" xfId="6383"/>
    <cellStyle name="Linked Cell 3 4 12 2" xfId="6384"/>
    <cellStyle name="Linked Cell 3 4 12 2 2" xfId="20418"/>
    <cellStyle name="Linked Cell 3 4 12 2 2 2" xfId="40486"/>
    <cellStyle name="Linked Cell 3 4 12 2 3" xfId="24394"/>
    <cellStyle name="Linked Cell 3 4 12 3" xfId="18300"/>
    <cellStyle name="Linked Cell 3 4 12 3 2" xfId="38368"/>
    <cellStyle name="Linked Cell 3 4 12 4" xfId="24189"/>
    <cellStyle name="Linked Cell 3 4 13" xfId="6385"/>
    <cellStyle name="Linked Cell 3 4 13 2" xfId="18388"/>
    <cellStyle name="Linked Cell 3 4 13 2 2" xfId="38456"/>
    <cellStyle name="Linked Cell 3 4 13 3" xfId="24201"/>
    <cellStyle name="Linked Cell 3 4 14" xfId="14578"/>
    <cellStyle name="Linked Cell 3 4 14 2" xfId="34646"/>
    <cellStyle name="Linked Cell 3 4 15" xfId="23950"/>
    <cellStyle name="Linked Cell 3 4 2" xfId="6386"/>
    <cellStyle name="Linked Cell 3 4 2 2" xfId="6387"/>
    <cellStyle name="Linked Cell 3 4 2 2 2" xfId="20419"/>
    <cellStyle name="Linked Cell 3 4 2 2 2 2" xfId="40487"/>
    <cellStyle name="Linked Cell 3 4 2 2 3" xfId="24395"/>
    <cellStyle name="Linked Cell 3 4 2 3" xfId="14900"/>
    <cellStyle name="Linked Cell 3 4 2 3 2" xfId="34968"/>
    <cellStyle name="Linked Cell 3 4 2 4" xfId="23967"/>
    <cellStyle name="Linked Cell 3 4 3" xfId="6388"/>
    <cellStyle name="Linked Cell 3 4 3 2" xfId="6389"/>
    <cellStyle name="Linked Cell 3 4 3 2 2" xfId="20420"/>
    <cellStyle name="Linked Cell 3 4 3 2 2 2" xfId="40488"/>
    <cellStyle name="Linked Cell 3 4 3 2 3" xfId="24396"/>
    <cellStyle name="Linked Cell 3 4 3 3" xfId="15069"/>
    <cellStyle name="Linked Cell 3 4 3 3 2" xfId="35137"/>
    <cellStyle name="Linked Cell 3 4 3 4" xfId="23983"/>
    <cellStyle name="Linked Cell 3 4 4" xfId="6390"/>
    <cellStyle name="Linked Cell 3 4 4 2" xfId="6391"/>
    <cellStyle name="Linked Cell 3 4 4 2 2" xfId="20421"/>
    <cellStyle name="Linked Cell 3 4 4 2 2 2" xfId="40489"/>
    <cellStyle name="Linked Cell 3 4 4 2 3" xfId="24397"/>
    <cellStyle name="Linked Cell 3 4 4 3" xfId="15007"/>
    <cellStyle name="Linked Cell 3 4 4 3 2" xfId="35075"/>
    <cellStyle name="Linked Cell 3 4 4 4" xfId="23974"/>
    <cellStyle name="Linked Cell 3 4 5" xfId="6392"/>
    <cellStyle name="Linked Cell 3 4 5 2" xfId="6393"/>
    <cellStyle name="Linked Cell 3 4 5 2 2" xfId="20422"/>
    <cellStyle name="Linked Cell 3 4 5 2 2 2" xfId="40490"/>
    <cellStyle name="Linked Cell 3 4 5 2 3" xfId="24398"/>
    <cellStyle name="Linked Cell 3 4 5 3" xfId="16566"/>
    <cellStyle name="Linked Cell 3 4 5 3 2" xfId="36634"/>
    <cellStyle name="Linked Cell 3 4 5 4" xfId="24080"/>
    <cellStyle name="Linked Cell 3 4 6" xfId="6394"/>
    <cellStyle name="Linked Cell 3 4 6 2" xfId="6395"/>
    <cellStyle name="Linked Cell 3 4 6 2 2" xfId="20423"/>
    <cellStyle name="Linked Cell 3 4 6 2 2 2" xfId="40491"/>
    <cellStyle name="Linked Cell 3 4 6 2 3" xfId="24399"/>
    <cellStyle name="Linked Cell 3 4 6 3" xfId="16770"/>
    <cellStyle name="Linked Cell 3 4 6 3 2" xfId="36838"/>
    <cellStyle name="Linked Cell 3 4 6 4" xfId="24096"/>
    <cellStyle name="Linked Cell 3 4 7" xfId="6396"/>
    <cellStyle name="Linked Cell 3 4 7 2" xfId="6397"/>
    <cellStyle name="Linked Cell 3 4 7 2 2" xfId="20424"/>
    <cellStyle name="Linked Cell 3 4 7 2 2 2" xfId="40492"/>
    <cellStyle name="Linked Cell 3 4 7 2 3" xfId="24400"/>
    <cellStyle name="Linked Cell 3 4 7 3" xfId="17076"/>
    <cellStyle name="Linked Cell 3 4 7 3 2" xfId="37144"/>
    <cellStyle name="Linked Cell 3 4 7 4" xfId="24116"/>
    <cellStyle name="Linked Cell 3 4 8" xfId="6398"/>
    <cellStyle name="Linked Cell 3 4 8 2" xfId="6399"/>
    <cellStyle name="Linked Cell 3 4 8 2 2" xfId="20425"/>
    <cellStyle name="Linked Cell 3 4 8 2 2 2" xfId="40493"/>
    <cellStyle name="Linked Cell 3 4 8 2 3" xfId="24401"/>
    <cellStyle name="Linked Cell 3 4 8 3" xfId="17248"/>
    <cellStyle name="Linked Cell 3 4 8 3 2" xfId="37316"/>
    <cellStyle name="Linked Cell 3 4 8 4" xfId="24130"/>
    <cellStyle name="Linked Cell 3 4 9" xfId="6400"/>
    <cellStyle name="Linked Cell 3 4 9 2" xfId="6401"/>
    <cellStyle name="Linked Cell 3 4 9 2 2" xfId="20426"/>
    <cellStyle name="Linked Cell 3 4 9 2 2 2" xfId="40494"/>
    <cellStyle name="Linked Cell 3 4 9 2 3" xfId="24402"/>
    <cellStyle name="Linked Cell 3 4 9 3" xfId="17663"/>
    <cellStyle name="Linked Cell 3 4 9 3 2" xfId="37731"/>
    <cellStyle name="Linked Cell 3 4 9 4" xfId="24155"/>
    <cellStyle name="Linked Cell 3 5" xfId="6402"/>
    <cellStyle name="Linked Cell 3 5 2" xfId="6403"/>
    <cellStyle name="Linked Cell 3 5 2 2" xfId="20427"/>
    <cellStyle name="Linked Cell 3 5 2 2 2" xfId="40495"/>
    <cellStyle name="Linked Cell 3 5 2 3" xfId="24403"/>
    <cellStyle name="Linked Cell 3 5 3" xfId="14191"/>
    <cellStyle name="Linked Cell 3 5 3 2" xfId="34259"/>
    <cellStyle name="Linked Cell 3 5 4" xfId="23914"/>
    <cellStyle name="Linked Cell 3 6" xfId="6404"/>
    <cellStyle name="Linked Cell 3 6 2" xfId="6405"/>
    <cellStyle name="Linked Cell 3 6 2 2" xfId="20428"/>
    <cellStyle name="Linked Cell 3 6 2 2 2" xfId="40496"/>
    <cellStyle name="Linked Cell 3 6 2 3" xfId="24404"/>
    <cellStyle name="Linked Cell 3 6 3" xfId="14297"/>
    <cellStyle name="Linked Cell 3 6 3 2" xfId="34365"/>
    <cellStyle name="Linked Cell 3 6 4" xfId="23928"/>
    <cellStyle name="Linked Cell 3 7" xfId="6406"/>
    <cellStyle name="Linked Cell 3 7 2" xfId="6407"/>
    <cellStyle name="Linked Cell 3 7 2 2" xfId="20429"/>
    <cellStyle name="Linked Cell 3 7 2 2 2" xfId="40497"/>
    <cellStyle name="Linked Cell 3 7 2 3" xfId="24405"/>
    <cellStyle name="Linked Cell 3 7 3" xfId="14464"/>
    <cellStyle name="Linked Cell 3 7 3 2" xfId="34532"/>
    <cellStyle name="Linked Cell 3 7 4" xfId="23944"/>
    <cellStyle name="Linked Cell 3 8" xfId="6408"/>
    <cellStyle name="Linked Cell 3 8 2" xfId="6409"/>
    <cellStyle name="Linked Cell 3 8 2 2" xfId="20430"/>
    <cellStyle name="Linked Cell 3 8 2 2 2" xfId="40498"/>
    <cellStyle name="Linked Cell 3 8 2 3" xfId="24406"/>
    <cellStyle name="Linked Cell 3 8 3" xfId="15288"/>
    <cellStyle name="Linked Cell 3 8 3 2" xfId="35356"/>
    <cellStyle name="Linked Cell 3 8 4" xfId="23994"/>
    <cellStyle name="Linked Cell 3 9" xfId="6410"/>
    <cellStyle name="Linked Cell 3 9 2" xfId="6411"/>
    <cellStyle name="Linked Cell 3 9 2 2" xfId="20431"/>
    <cellStyle name="Linked Cell 3 9 2 2 2" xfId="40499"/>
    <cellStyle name="Linked Cell 3 9 2 3" xfId="24407"/>
    <cellStyle name="Linked Cell 3 9 3" xfId="15810"/>
    <cellStyle name="Linked Cell 3 9 3 2" xfId="35878"/>
    <cellStyle name="Linked Cell 3 9 4" xfId="24031"/>
    <cellStyle name="Linked Cell 3_2012-2013" xfId="6412"/>
    <cellStyle name="Linked Cell 4" xfId="6413"/>
    <cellStyle name="Linked Cell 4 10" xfId="6414"/>
    <cellStyle name="Linked Cell 4 10 2" xfId="6415"/>
    <cellStyle name="Linked Cell 4 10 2 2" xfId="20432"/>
    <cellStyle name="Linked Cell 4 10 2 2 2" xfId="40500"/>
    <cellStyle name="Linked Cell 4 10 2 3" xfId="24408"/>
    <cellStyle name="Linked Cell 4 10 3" xfId="16104"/>
    <cellStyle name="Linked Cell 4 10 3 2" xfId="36172"/>
    <cellStyle name="Linked Cell 4 10 4" xfId="24051"/>
    <cellStyle name="Linked Cell 4 11" xfId="6416"/>
    <cellStyle name="Linked Cell 4 11 2" xfId="6417"/>
    <cellStyle name="Linked Cell 4 11 2 2" xfId="20433"/>
    <cellStyle name="Linked Cell 4 11 2 2 2" xfId="40501"/>
    <cellStyle name="Linked Cell 4 11 2 3" xfId="24409"/>
    <cellStyle name="Linked Cell 4 11 3" xfId="16331"/>
    <cellStyle name="Linked Cell 4 11 3 2" xfId="36399"/>
    <cellStyle name="Linked Cell 4 11 4" xfId="24069"/>
    <cellStyle name="Linked Cell 4 12" xfId="6418"/>
    <cellStyle name="Linked Cell 4 12 2" xfId="6419"/>
    <cellStyle name="Linked Cell 4 12 2 2" xfId="20434"/>
    <cellStyle name="Linked Cell 4 12 2 2 2" xfId="40502"/>
    <cellStyle name="Linked Cell 4 12 2 3" xfId="24410"/>
    <cellStyle name="Linked Cell 4 12 3" xfId="16729"/>
    <cellStyle name="Linked Cell 4 12 3 2" xfId="36797"/>
    <cellStyle name="Linked Cell 4 12 4" xfId="24089"/>
    <cellStyle name="Linked Cell 4 13" xfId="6420"/>
    <cellStyle name="Linked Cell 4 13 2" xfId="6421"/>
    <cellStyle name="Linked Cell 4 13 2 2" xfId="20435"/>
    <cellStyle name="Linked Cell 4 13 2 2 2" xfId="40503"/>
    <cellStyle name="Linked Cell 4 13 2 3" xfId="24411"/>
    <cellStyle name="Linked Cell 4 13 3" xfId="17655"/>
    <cellStyle name="Linked Cell 4 13 3 2" xfId="37723"/>
    <cellStyle name="Linked Cell 4 13 4" xfId="24149"/>
    <cellStyle name="Linked Cell 4 14" xfId="6422"/>
    <cellStyle name="Linked Cell 4 14 2" xfId="6423"/>
    <cellStyle name="Linked Cell 4 14 2 2" xfId="20436"/>
    <cellStyle name="Linked Cell 4 14 2 2 2" xfId="40504"/>
    <cellStyle name="Linked Cell 4 14 2 3" xfId="24412"/>
    <cellStyle name="Linked Cell 4 14 3" xfId="15435"/>
    <cellStyle name="Linked Cell 4 14 3 2" xfId="35503"/>
    <cellStyle name="Linked Cell 4 14 4" xfId="24010"/>
    <cellStyle name="Linked Cell 4 15" xfId="6424"/>
    <cellStyle name="Linked Cell 4 15 2" xfId="17350"/>
    <cellStyle name="Linked Cell 4 15 2 2" xfId="37418"/>
    <cellStyle name="Linked Cell 4 15 3" xfId="24140"/>
    <cellStyle name="Linked Cell 4 16" xfId="13885"/>
    <cellStyle name="Linked Cell 4 16 2" xfId="33953"/>
    <cellStyle name="Linked Cell 4 17" xfId="23896"/>
    <cellStyle name="Linked Cell 4 2" xfId="6425"/>
    <cellStyle name="Linked Cell 4 2 10" xfId="6426"/>
    <cellStyle name="Linked Cell 4 2 10 2" xfId="6427"/>
    <cellStyle name="Linked Cell 4 2 10 2 2" xfId="20437"/>
    <cellStyle name="Linked Cell 4 2 10 2 2 2" xfId="40505"/>
    <cellStyle name="Linked Cell 4 2 10 2 3" xfId="24413"/>
    <cellStyle name="Linked Cell 4 2 10 3" xfId="17355"/>
    <cellStyle name="Linked Cell 4 2 10 3 2" xfId="37423"/>
    <cellStyle name="Linked Cell 4 2 10 4" xfId="24143"/>
    <cellStyle name="Linked Cell 4 2 11" xfId="6428"/>
    <cellStyle name="Linked Cell 4 2 11 2" xfId="6429"/>
    <cellStyle name="Linked Cell 4 2 11 2 2" xfId="20438"/>
    <cellStyle name="Linked Cell 4 2 11 2 2 2" xfId="40506"/>
    <cellStyle name="Linked Cell 4 2 11 2 3" xfId="24414"/>
    <cellStyle name="Linked Cell 4 2 11 3" xfId="17320"/>
    <cellStyle name="Linked Cell 4 2 11 3 2" xfId="37388"/>
    <cellStyle name="Linked Cell 4 2 11 4" xfId="24137"/>
    <cellStyle name="Linked Cell 4 2 12" xfId="6430"/>
    <cellStyle name="Linked Cell 4 2 12 2" xfId="6431"/>
    <cellStyle name="Linked Cell 4 2 12 2 2" xfId="20439"/>
    <cellStyle name="Linked Cell 4 2 12 2 2 2" xfId="40507"/>
    <cellStyle name="Linked Cell 4 2 12 2 3" xfId="24415"/>
    <cellStyle name="Linked Cell 4 2 12 3" xfId="16070"/>
    <cellStyle name="Linked Cell 4 2 12 3 2" xfId="36138"/>
    <cellStyle name="Linked Cell 4 2 12 4" xfId="24047"/>
    <cellStyle name="Linked Cell 4 2 13" xfId="6432"/>
    <cellStyle name="Linked Cell 4 2 13 2" xfId="6433"/>
    <cellStyle name="Linked Cell 4 2 13 2 2" xfId="20440"/>
    <cellStyle name="Linked Cell 4 2 13 2 2 2" xfId="40508"/>
    <cellStyle name="Linked Cell 4 2 13 2 3" xfId="24416"/>
    <cellStyle name="Linked Cell 4 2 13 3" xfId="18020"/>
    <cellStyle name="Linked Cell 4 2 13 3 2" xfId="38088"/>
    <cellStyle name="Linked Cell 4 2 13 4" xfId="24178"/>
    <cellStyle name="Linked Cell 4 2 14" xfId="6434"/>
    <cellStyle name="Linked Cell 4 2 14 2" xfId="18276"/>
    <cellStyle name="Linked Cell 4 2 14 2 2" xfId="38344"/>
    <cellStyle name="Linked Cell 4 2 14 3" xfId="24182"/>
    <cellStyle name="Linked Cell 4 2 15" xfId="13886"/>
    <cellStyle name="Linked Cell 4 2 15 2" xfId="33954"/>
    <cellStyle name="Linked Cell 4 2 16" xfId="23897"/>
    <cellStyle name="Linked Cell 4 2 2" xfId="6435"/>
    <cellStyle name="Linked Cell 4 2 2 10" xfId="6436"/>
    <cellStyle name="Linked Cell 4 2 2 10 2" xfId="6437"/>
    <cellStyle name="Linked Cell 4 2 2 10 2 2" xfId="20441"/>
    <cellStyle name="Linked Cell 4 2 2 10 2 2 2" xfId="40509"/>
    <cellStyle name="Linked Cell 4 2 2 10 2 3" xfId="24417"/>
    <cellStyle name="Linked Cell 4 2 2 10 3" xfId="15582"/>
    <cellStyle name="Linked Cell 4 2 2 10 3 2" xfId="35650"/>
    <cellStyle name="Linked Cell 4 2 2 10 4" xfId="24018"/>
    <cellStyle name="Linked Cell 4 2 2 11" xfId="6438"/>
    <cellStyle name="Linked Cell 4 2 2 11 2" xfId="6439"/>
    <cellStyle name="Linked Cell 4 2 2 11 2 2" xfId="20442"/>
    <cellStyle name="Linked Cell 4 2 2 11 2 2 2" xfId="40510"/>
    <cellStyle name="Linked Cell 4 2 2 11 2 3" xfId="24418"/>
    <cellStyle name="Linked Cell 4 2 2 11 3" xfId="17930"/>
    <cellStyle name="Linked Cell 4 2 2 11 3 2" xfId="37998"/>
    <cellStyle name="Linked Cell 4 2 2 11 4" xfId="24173"/>
    <cellStyle name="Linked Cell 4 2 2 12" xfId="6440"/>
    <cellStyle name="Linked Cell 4 2 2 12 2" xfId="6441"/>
    <cellStyle name="Linked Cell 4 2 2 12 2 2" xfId="20443"/>
    <cellStyle name="Linked Cell 4 2 2 12 2 2 2" xfId="40511"/>
    <cellStyle name="Linked Cell 4 2 2 12 2 3" xfId="24419"/>
    <cellStyle name="Linked Cell 4 2 2 12 3" xfId="18304"/>
    <cellStyle name="Linked Cell 4 2 2 12 3 2" xfId="38372"/>
    <cellStyle name="Linked Cell 4 2 2 12 4" xfId="24193"/>
    <cellStyle name="Linked Cell 4 2 2 13" xfId="6442"/>
    <cellStyle name="Linked Cell 4 2 2 13 2" xfId="18392"/>
    <cellStyle name="Linked Cell 4 2 2 13 2 2" xfId="38460"/>
    <cellStyle name="Linked Cell 4 2 2 13 3" xfId="24205"/>
    <cellStyle name="Linked Cell 4 2 2 14" xfId="14337"/>
    <cellStyle name="Linked Cell 4 2 2 14 2" xfId="34405"/>
    <cellStyle name="Linked Cell 4 2 2 15" xfId="23932"/>
    <cellStyle name="Linked Cell 4 2 2 2" xfId="6443"/>
    <cellStyle name="Linked Cell 4 2 2 2 2" xfId="6444"/>
    <cellStyle name="Linked Cell 4 2 2 2 2 2" xfId="20444"/>
    <cellStyle name="Linked Cell 4 2 2 2 2 2 2" xfId="40512"/>
    <cellStyle name="Linked Cell 4 2 2 2 2 3" xfId="24420"/>
    <cellStyle name="Linked Cell 4 2 2 2 3" xfId="14904"/>
    <cellStyle name="Linked Cell 4 2 2 2 3 2" xfId="34972"/>
    <cellStyle name="Linked Cell 4 2 2 2 4" xfId="23971"/>
    <cellStyle name="Linked Cell 4 2 2 3" xfId="6445"/>
    <cellStyle name="Linked Cell 4 2 2 3 2" xfId="6446"/>
    <cellStyle name="Linked Cell 4 2 2 3 2 2" xfId="20445"/>
    <cellStyle name="Linked Cell 4 2 2 3 2 2 2" xfId="40513"/>
    <cellStyle name="Linked Cell 4 2 2 3 2 3" xfId="24421"/>
    <cellStyle name="Linked Cell 4 2 2 3 3" xfId="15073"/>
    <cellStyle name="Linked Cell 4 2 2 3 3 2" xfId="35141"/>
    <cellStyle name="Linked Cell 4 2 2 3 4" xfId="23987"/>
    <cellStyle name="Linked Cell 4 2 2 4" xfId="6447"/>
    <cellStyle name="Linked Cell 4 2 2 4 2" xfId="6448"/>
    <cellStyle name="Linked Cell 4 2 2 4 2 2" xfId="20446"/>
    <cellStyle name="Linked Cell 4 2 2 4 2 2 2" xfId="40514"/>
    <cellStyle name="Linked Cell 4 2 2 4 2 3" xfId="24422"/>
    <cellStyle name="Linked Cell 4 2 2 4 3" xfId="14344"/>
    <cellStyle name="Linked Cell 4 2 2 4 3 2" xfId="34412"/>
    <cellStyle name="Linked Cell 4 2 2 4 4" xfId="23934"/>
    <cellStyle name="Linked Cell 4 2 2 5" xfId="6449"/>
    <cellStyle name="Linked Cell 4 2 2 5 2" xfId="6450"/>
    <cellStyle name="Linked Cell 4 2 2 5 2 2" xfId="20447"/>
    <cellStyle name="Linked Cell 4 2 2 5 2 2 2" xfId="40515"/>
    <cellStyle name="Linked Cell 4 2 2 5 2 3" xfId="24423"/>
    <cellStyle name="Linked Cell 4 2 2 5 3" xfId="16570"/>
    <cellStyle name="Linked Cell 4 2 2 5 3 2" xfId="36638"/>
    <cellStyle name="Linked Cell 4 2 2 5 4" xfId="24084"/>
    <cellStyle name="Linked Cell 4 2 2 6" xfId="6451"/>
    <cellStyle name="Linked Cell 4 2 2 6 2" xfId="6452"/>
    <cellStyle name="Linked Cell 4 2 2 6 2 2" xfId="20448"/>
    <cellStyle name="Linked Cell 4 2 2 6 2 2 2" xfId="40516"/>
    <cellStyle name="Linked Cell 4 2 2 6 2 3" xfId="24424"/>
    <cellStyle name="Linked Cell 4 2 2 6 3" xfId="16774"/>
    <cellStyle name="Linked Cell 4 2 2 6 3 2" xfId="36842"/>
    <cellStyle name="Linked Cell 4 2 2 6 4" xfId="24100"/>
    <cellStyle name="Linked Cell 4 2 2 7" xfId="6453"/>
    <cellStyle name="Linked Cell 4 2 2 7 2" xfId="6454"/>
    <cellStyle name="Linked Cell 4 2 2 7 2 2" xfId="20449"/>
    <cellStyle name="Linked Cell 4 2 2 7 2 2 2" xfId="40517"/>
    <cellStyle name="Linked Cell 4 2 2 7 2 3" xfId="24425"/>
    <cellStyle name="Linked Cell 4 2 2 7 3" xfId="17080"/>
    <cellStyle name="Linked Cell 4 2 2 7 3 2" xfId="37148"/>
    <cellStyle name="Linked Cell 4 2 2 7 4" xfId="24120"/>
    <cellStyle name="Linked Cell 4 2 2 8" xfId="6455"/>
    <cellStyle name="Linked Cell 4 2 2 8 2" xfId="6456"/>
    <cellStyle name="Linked Cell 4 2 2 8 2 2" xfId="20450"/>
    <cellStyle name="Linked Cell 4 2 2 8 2 2 2" xfId="40518"/>
    <cellStyle name="Linked Cell 4 2 2 8 2 3" xfId="24426"/>
    <cellStyle name="Linked Cell 4 2 2 8 3" xfId="17252"/>
    <cellStyle name="Linked Cell 4 2 2 8 3 2" xfId="37320"/>
    <cellStyle name="Linked Cell 4 2 2 8 4" xfId="24134"/>
    <cellStyle name="Linked Cell 4 2 2 9" xfId="6457"/>
    <cellStyle name="Linked Cell 4 2 2 9 2" xfId="6458"/>
    <cellStyle name="Linked Cell 4 2 2 9 2 2" xfId="20451"/>
    <cellStyle name="Linked Cell 4 2 2 9 2 2 2" xfId="40519"/>
    <cellStyle name="Linked Cell 4 2 2 9 2 3" xfId="24427"/>
    <cellStyle name="Linked Cell 4 2 2 9 3" xfId="17667"/>
    <cellStyle name="Linked Cell 4 2 2 9 3 2" xfId="37735"/>
    <cellStyle name="Linked Cell 4 2 2 9 4" xfId="24159"/>
    <cellStyle name="Linked Cell 4 2 3" xfId="6459"/>
    <cellStyle name="Linked Cell 4 2 3 2" xfId="6460"/>
    <cellStyle name="Linked Cell 4 2 3 2 2" xfId="20452"/>
    <cellStyle name="Linked Cell 4 2 3 2 2 2" xfId="40520"/>
    <cellStyle name="Linked Cell 4 2 3 2 3" xfId="24428"/>
    <cellStyle name="Linked Cell 4 2 3 3" xfId="14238"/>
    <cellStyle name="Linked Cell 4 2 3 3 2" xfId="34306"/>
    <cellStyle name="Linked Cell 4 2 3 4" xfId="23920"/>
    <cellStyle name="Linked Cell 4 2 4" xfId="6461"/>
    <cellStyle name="Linked Cell 4 2 4 2" xfId="6462"/>
    <cellStyle name="Linked Cell 4 2 4 2 2" xfId="20453"/>
    <cellStyle name="Linked Cell 4 2 4 2 2 2" xfId="40521"/>
    <cellStyle name="Linked Cell 4 2 4 2 3" xfId="24429"/>
    <cellStyle name="Linked Cell 4 2 4 3" xfId="14729"/>
    <cellStyle name="Linked Cell 4 2 4 3 2" xfId="34797"/>
    <cellStyle name="Linked Cell 4 2 4 4" xfId="23957"/>
    <cellStyle name="Linked Cell 4 2 5" xfId="6463"/>
    <cellStyle name="Linked Cell 4 2 5 2" xfId="6464"/>
    <cellStyle name="Linked Cell 4 2 5 2 2" xfId="20454"/>
    <cellStyle name="Linked Cell 4 2 5 2 2 2" xfId="40522"/>
    <cellStyle name="Linked Cell 4 2 5 2 3" xfId="24430"/>
    <cellStyle name="Linked Cell 4 2 5 3" xfId="14373"/>
    <cellStyle name="Linked Cell 4 2 5 3 2" xfId="34441"/>
    <cellStyle name="Linked Cell 4 2 5 4" xfId="23938"/>
    <cellStyle name="Linked Cell 4 2 6" xfId="6465"/>
    <cellStyle name="Linked Cell 4 2 6 2" xfId="6466"/>
    <cellStyle name="Linked Cell 4 2 6 2 2" xfId="20455"/>
    <cellStyle name="Linked Cell 4 2 6 2 2 2" xfId="40523"/>
    <cellStyle name="Linked Cell 4 2 6 2 3" xfId="24431"/>
    <cellStyle name="Linked Cell 4 2 6 3" xfId="15292"/>
    <cellStyle name="Linked Cell 4 2 6 3 2" xfId="35360"/>
    <cellStyle name="Linked Cell 4 2 6 4" xfId="23998"/>
    <cellStyle name="Linked Cell 4 2 7" xfId="6467"/>
    <cellStyle name="Linked Cell 4 2 7 2" xfId="6468"/>
    <cellStyle name="Linked Cell 4 2 7 2 2" xfId="20456"/>
    <cellStyle name="Linked Cell 4 2 7 2 2 2" xfId="40524"/>
    <cellStyle name="Linked Cell 4 2 7 2 3" xfId="24432"/>
    <cellStyle name="Linked Cell 4 2 7 3" xfId="15808"/>
    <cellStyle name="Linked Cell 4 2 7 3 2" xfId="35876"/>
    <cellStyle name="Linked Cell 4 2 7 4" xfId="24029"/>
    <cellStyle name="Linked Cell 4 2 8" xfId="6469"/>
    <cellStyle name="Linked Cell 4 2 8 2" xfId="6470"/>
    <cellStyle name="Linked Cell 4 2 8 2 2" xfId="20457"/>
    <cellStyle name="Linked Cell 4 2 8 2 2 2" xfId="40525"/>
    <cellStyle name="Linked Cell 4 2 8 2 3" xfId="24433"/>
    <cellStyle name="Linked Cell 4 2 8 3" xfId="16695"/>
    <cellStyle name="Linked Cell 4 2 8 3 2" xfId="36763"/>
    <cellStyle name="Linked Cell 4 2 8 4" xfId="24087"/>
    <cellStyle name="Linked Cell 4 2 9" xfId="6471"/>
    <cellStyle name="Linked Cell 4 2 9 2" xfId="6472"/>
    <cellStyle name="Linked Cell 4 2 9 2 2" xfId="20458"/>
    <cellStyle name="Linked Cell 4 2 9 2 2 2" xfId="40526"/>
    <cellStyle name="Linked Cell 4 2 9 2 3" xfId="24434"/>
    <cellStyle name="Linked Cell 4 2 9 3" xfId="16105"/>
    <cellStyle name="Linked Cell 4 2 9 3 2" xfId="36173"/>
    <cellStyle name="Linked Cell 4 2 9 4" xfId="24052"/>
    <cellStyle name="Linked Cell 4 3" xfId="6473"/>
    <cellStyle name="Linked Cell 4 3 10" xfId="6474"/>
    <cellStyle name="Linked Cell 4 3 10 2" xfId="6475"/>
    <cellStyle name="Linked Cell 4 3 10 2 2" xfId="20459"/>
    <cellStyle name="Linked Cell 4 3 10 2 2 2" xfId="40527"/>
    <cellStyle name="Linked Cell 4 3 10 2 3" xfId="24435"/>
    <cellStyle name="Linked Cell 4 3 10 3" xfId="15579"/>
    <cellStyle name="Linked Cell 4 3 10 3 2" xfId="35647"/>
    <cellStyle name="Linked Cell 4 3 10 4" xfId="24017"/>
    <cellStyle name="Linked Cell 4 3 11" xfId="6476"/>
    <cellStyle name="Linked Cell 4 3 11 2" xfId="6477"/>
    <cellStyle name="Linked Cell 4 3 11 2 2" xfId="20460"/>
    <cellStyle name="Linked Cell 4 3 11 2 2 2" xfId="40528"/>
    <cellStyle name="Linked Cell 4 3 11 2 3" xfId="24436"/>
    <cellStyle name="Linked Cell 4 3 11 3" xfId="17929"/>
    <cellStyle name="Linked Cell 4 3 11 3 2" xfId="37997"/>
    <cellStyle name="Linked Cell 4 3 11 4" xfId="24172"/>
    <cellStyle name="Linked Cell 4 3 12" xfId="6478"/>
    <cellStyle name="Linked Cell 4 3 12 2" xfId="6479"/>
    <cellStyle name="Linked Cell 4 3 12 2 2" xfId="20461"/>
    <cellStyle name="Linked Cell 4 3 12 2 2 2" xfId="40529"/>
    <cellStyle name="Linked Cell 4 3 12 2 3" xfId="24437"/>
    <cellStyle name="Linked Cell 4 3 12 3" xfId="18303"/>
    <cellStyle name="Linked Cell 4 3 12 3 2" xfId="38371"/>
    <cellStyle name="Linked Cell 4 3 12 4" xfId="24192"/>
    <cellStyle name="Linked Cell 4 3 13" xfId="6480"/>
    <cellStyle name="Linked Cell 4 3 13 2" xfId="18391"/>
    <cellStyle name="Linked Cell 4 3 13 2 2" xfId="38459"/>
    <cellStyle name="Linked Cell 4 3 13 3" xfId="24204"/>
    <cellStyle name="Linked Cell 4 3 14" xfId="14371"/>
    <cellStyle name="Linked Cell 4 3 14 2" xfId="34439"/>
    <cellStyle name="Linked Cell 4 3 15" xfId="23937"/>
    <cellStyle name="Linked Cell 4 3 2" xfId="6481"/>
    <cellStyle name="Linked Cell 4 3 2 2" xfId="6482"/>
    <cellStyle name="Linked Cell 4 3 2 2 2" xfId="20462"/>
    <cellStyle name="Linked Cell 4 3 2 2 2 2" xfId="40530"/>
    <cellStyle name="Linked Cell 4 3 2 2 3" xfId="24438"/>
    <cellStyle name="Linked Cell 4 3 2 3" xfId="14903"/>
    <cellStyle name="Linked Cell 4 3 2 3 2" xfId="34971"/>
    <cellStyle name="Linked Cell 4 3 2 4" xfId="23970"/>
    <cellStyle name="Linked Cell 4 3 3" xfId="6483"/>
    <cellStyle name="Linked Cell 4 3 3 2" xfId="6484"/>
    <cellStyle name="Linked Cell 4 3 3 2 2" xfId="20463"/>
    <cellStyle name="Linked Cell 4 3 3 2 2 2" xfId="40531"/>
    <cellStyle name="Linked Cell 4 3 3 2 3" xfId="24439"/>
    <cellStyle name="Linked Cell 4 3 3 3" xfId="15072"/>
    <cellStyle name="Linked Cell 4 3 3 3 2" xfId="35140"/>
    <cellStyle name="Linked Cell 4 3 3 4" xfId="23986"/>
    <cellStyle name="Linked Cell 4 3 4" xfId="6485"/>
    <cellStyle name="Linked Cell 4 3 4 2" xfId="6486"/>
    <cellStyle name="Linked Cell 4 3 4 2 2" xfId="20464"/>
    <cellStyle name="Linked Cell 4 3 4 2 2 2" xfId="40532"/>
    <cellStyle name="Linked Cell 4 3 4 2 3" xfId="24440"/>
    <cellStyle name="Linked Cell 4 3 4 3" xfId="14114"/>
    <cellStyle name="Linked Cell 4 3 4 3 2" xfId="34182"/>
    <cellStyle name="Linked Cell 4 3 4 4" xfId="23911"/>
    <cellStyle name="Linked Cell 4 3 5" xfId="6487"/>
    <cellStyle name="Linked Cell 4 3 5 2" xfId="6488"/>
    <cellStyle name="Linked Cell 4 3 5 2 2" xfId="20465"/>
    <cellStyle name="Linked Cell 4 3 5 2 2 2" xfId="40533"/>
    <cellStyle name="Linked Cell 4 3 5 2 3" xfId="24441"/>
    <cellStyle name="Linked Cell 4 3 5 3" xfId="16569"/>
    <cellStyle name="Linked Cell 4 3 5 3 2" xfId="36637"/>
    <cellStyle name="Linked Cell 4 3 5 4" xfId="24083"/>
    <cellStyle name="Linked Cell 4 3 6" xfId="6489"/>
    <cellStyle name="Linked Cell 4 3 6 2" xfId="6490"/>
    <cellStyle name="Linked Cell 4 3 6 2 2" xfId="20466"/>
    <cellStyle name="Linked Cell 4 3 6 2 2 2" xfId="40534"/>
    <cellStyle name="Linked Cell 4 3 6 2 3" xfId="24442"/>
    <cellStyle name="Linked Cell 4 3 6 3" xfId="16773"/>
    <cellStyle name="Linked Cell 4 3 6 3 2" xfId="36841"/>
    <cellStyle name="Linked Cell 4 3 6 4" xfId="24099"/>
    <cellStyle name="Linked Cell 4 3 7" xfId="6491"/>
    <cellStyle name="Linked Cell 4 3 7 2" xfId="6492"/>
    <cellStyle name="Linked Cell 4 3 7 2 2" xfId="20467"/>
    <cellStyle name="Linked Cell 4 3 7 2 2 2" xfId="40535"/>
    <cellStyle name="Linked Cell 4 3 7 2 3" xfId="24443"/>
    <cellStyle name="Linked Cell 4 3 7 3" xfId="17079"/>
    <cellStyle name="Linked Cell 4 3 7 3 2" xfId="37147"/>
    <cellStyle name="Linked Cell 4 3 7 4" xfId="24119"/>
    <cellStyle name="Linked Cell 4 3 8" xfId="6493"/>
    <cellStyle name="Linked Cell 4 3 8 2" xfId="6494"/>
    <cellStyle name="Linked Cell 4 3 8 2 2" xfId="20468"/>
    <cellStyle name="Linked Cell 4 3 8 2 2 2" xfId="40536"/>
    <cellStyle name="Linked Cell 4 3 8 2 3" xfId="24444"/>
    <cellStyle name="Linked Cell 4 3 8 3" xfId="17251"/>
    <cellStyle name="Linked Cell 4 3 8 3 2" xfId="37319"/>
    <cellStyle name="Linked Cell 4 3 8 4" xfId="24133"/>
    <cellStyle name="Linked Cell 4 3 9" xfId="6495"/>
    <cellStyle name="Linked Cell 4 3 9 2" xfId="6496"/>
    <cellStyle name="Linked Cell 4 3 9 2 2" xfId="20469"/>
    <cellStyle name="Linked Cell 4 3 9 2 2 2" xfId="40537"/>
    <cellStyle name="Linked Cell 4 3 9 2 3" xfId="24445"/>
    <cellStyle name="Linked Cell 4 3 9 3" xfId="17666"/>
    <cellStyle name="Linked Cell 4 3 9 3 2" xfId="37734"/>
    <cellStyle name="Linked Cell 4 3 9 4" xfId="24158"/>
    <cellStyle name="Linked Cell 4 4" xfId="6497"/>
    <cellStyle name="Linked Cell 4 4 2" xfId="6498"/>
    <cellStyle name="Linked Cell 4 4 2 2" xfId="20470"/>
    <cellStyle name="Linked Cell 4 4 2 2 2" xfId="40538"/>
    <cellStyle name="Linked Cell 4 4 2 3" xfId="24446"/>
    <cellStyle name="Linked Cell 4 4 3" xfId="14103"/>
    <cellStyle name="Linked Cell 4 4 3 2" xfId="34171"/>
    <cellStyle name="Linked Cell 4 4 4" xfId="23909"/>
    <cellStyle name="Linked Cell 4 5" xfId="6499"/>
    <cellStyle name="Linked Cell 4 5 2" xfId="6500"/>
    <cellStyle name="Linked Cell 4 5 2 2" xfId="20471"/>
    <cellStyle name="Linked Cell 4 5 2 2 2" xfId="40539"/>
    <cellStyle name="Linked Cell 4 5 2 3" xfId="24447"/>
    <cellStyle name="Linked Cell 4 5 3" xfId="14308"/>
    <cellStyle name="Linked Cell 4 5 3 2" xfId="34376"/>
    <cellStyle name="Linked Cell 4 5 4" xfId="23929"/>
    <cellStyle name="Linked Cell 4 6" xfId="6501"/>
    <cellStyle name="Linked Cell 4 6 2" xfId="6502"/>
    <cellStyle name="Linked Cell 4 6 2 2" xfId="20472"/>
    <cellStyle name="Linked Cell 4 6 2 2 2" xfId="40540"/>
    <cellStyle name="Linked Cell 4 6 2 3" xfId="24448"/>
    <cellStyle name="Linked Cell 4 6 3" xfId="14347"/>
    <cellStyle name="Linked Cell 4 6 3 2" xfId="34415"/>
    <cellStyle name="Linked Cell 4 6 4" xfId="23935"/>
    <cellStyle name="Linked Cell 4 7" xfId="6503"/>
    <cellStyle name="Linked Cell 4 7 2" xfId="6504"/>
    <cellStyle name="Linked Cell 4 7 2 2" xfId="20473"/>
    <cellStyle name="Linked Cell 4 7 2 2 2" xfId="40541"/>
    <cellStyle name="Linked Cell 4 7 2 3" xfId="24449"/>
    <cellStyle name="Linked Cell 4 7 3" xfId="15291"/>
    <cellStyle name="Linked Cell 4 7 3 2" xfId="35359"/>
    <cellStyle name="Linked Cell 4 7 4" xfId="23997"/>
    <cellStyle name="Linked Cell 4 8" xfId="6505"/>
    <cellStyle name="Linked Cell 4 8 2" xfId="6506"/>
    <cellStyle name="Linked Cell 4 8 2 2" xfId="20474"/>
    <cellStyle name="Linked Cell 4 8 2 2 2" xfId="40542"/>
    <cellStyle name="Linked Cell 4 8 2 3" xfId="24450"/>
    <cellStyle name="Linked Cell 4 8 3" xfId="15393"/>
    <cellStyle name="Linked Cell 4 8 3 2" xfId="35461"/>
    <cellStyle name="Linked Cell 4 8 4" xfId="24002"/>
    <cellStyle name="Linked Cell 4 9" xfId="6507"/>
    <cellStyle name="Linked Cell 4 9 2" xfId="6508"/>
    <cellStyle name="Linked Cell 4 9 2 2" xfId="20475"/>
    <cellStyle name="Linked Cell 4 9 2 2 2" xfId="40543"/>
    <cellStyle name="Linked Cell 4 9 2 3" xfId="24451"/>
    <cellStyle name="Linked Cell 4 9 3" xfId="15786"/>
    <cellStyle name="Linked Cell 4 9 3 2" xfId="35854"/>
    <cellStyle name="Linked Cell 4 9 4" xfId="24027"/>
    <cellStyle name="Linked Cell 4_2012-2013" xfId="6509"/>
    <cellStyle name="Linked Cell 5" xfId="6510"/>
    <cellStyle name="Linked Cell 5 10" xfId="6511"/>
    <cellStyle name="Linked Cell 5 10 2" xfId="6512"/>
    <cellStyle name="Linked Cell 5 10 2 2" xfId="20476"/>
    <cellStyle name="Linked Cell 5 10 2 2 2" xfId="40544"/>
    <cellStyle name="Linked Cell 5 10 2 3" xfId="24452"/>
    <cellStyle name="Linked Cell 5 10 3" xfId="16330"/>
    <cellStyle name="Linked Cell 5 10 3 2" xfId="36398"/>
    <cellStyle name="Linked Cell 5 10 4" xfId="24068"/>
    <cellStyle name="Linked Cell 5 11" xfId="6513"/>
    <cellStyle name="Linked Cell 5 11 2" xfId="6514"/>
    <cellStyle name="Linked Cell 5 11 2 2" xfId="20477"/>
    <cellStyle name="Linked Cell 5 11 2 2 2" xfId="40545"/>
    <cellStyle name="Linked Cell 5 11 2 3" xfId="24453"/>
    <cellStyle name="Linked Cell 5 11 3" xfId="17319"/>
    <cellStyle name="Linked Cell 5 11 3 2" xfId="37387"/>
    <cellStyle name="Linked Cell 5 11 4" xfId="24136"/>
    <cellStyle name="Linked Cell 5 12" xfId="6515"/>
    <cellStyle name="Linked Cell 5 12 2" xfId="6516"/>
    <cellStyle name="Linked Cell 5 12 2 2" xfId="20478"/>
    <cellStyle name="Linked Cell 5 12 2 2 2" xfId="40546"/>
    <cellStyle name="Linked Cell 5 12 2 3" xfId="24454"/>
    <cellStyle name="Linked Cell 5 12 3" xfId="17654"/>
    <cellStyle name="Linked Cell 5 12 3 2" xfId="37722"/>
    <cellStyle name="Linked Cell 5 12 4" xfId="24148"/>
    <cellStyle name="Linked Cell 5 13" xfId="6517"/>
    <cellStyle name="Linked Cell 5 13 2" xfId="6518"/>
    <cellStyle name="Linked Cell 5 13 2 2" xfId="20479"/>
    <cellStyle name="Linked Cell 5 13 2 2 2" xfId="40547"/>
    <cellStyle name="Linked Cell 5 13 2 3" xfId="24455"/>
    <cellStyle name="Linked Cell 5 13 3" xfId="16264"/>
    <cellStyle name="Linked Cell 5 13 3 2" xfId="36332"/>
    <cellStyle name="Linked Cell 5 13 4" xfId="24056"/>
    <cellStyle name="Linked Cell 5 14" xfId="6519"/>
    <cellStyle name="Linked Cell 5 14 2" xfId="16901"/>
    <cellStyle name="Linked Cell 5 14 2 2" xfId="36969"/>
    <cellStyle name="Linked Cell 5 14 3" xfId="24107"/>
    <cellStyle name="Linked Cell 5 15" xfId="13887"/>
    <cellStyle name="Linked Cell 5 15 2" xfId="33955"/>
    <cellStyle name="Linked Cell 5 16" xfId="23898"/>
    <cellStyle name="Linked Cell 5 2" xfId="6520"/>
    <cellStyle name="Linked Cell 5 2 10" xfId="6521"/>
    <cellStyle name="Linked Cell 5 2 10 2" xfId="6522"/>
    <cellStyle name="Linked Cell 5 2 10 2 2" xfId="20480"/>
    <cellStyle name="Linked Cell 5 2 10 2 2 2" xfId="40548"/>
    <cellStyle name="Linked Cell 5 2 10 2 3" xfId="24456"/>
    <cellStyle name="Linked Cell 5 2 10 3" xfId="15732"/>
    <cellStyle name="Linked Cell 5 2 10 3 2" xfId="35800"/>
    <cellStyle name="Linked Cell 5 2 10 4" xfId="24024"/>
    <cellStyle name="Linked Cell 5 2 11" xfId="6523"/>
    <cellStyle name="Linked Cell 5 2 11 2" xfId="6524"/>
    <cellStyle name="Linked Cell 5 2 11 2 2" xfId="20481"/>
    <cellStyle name="Linked Cell 5 2 11 2 2 2" xfId="40549"/>
    <cellStyle name="Linked Cell 5 2 11 2 3" xfId="24457"/>
    <cellStyle name="Linked Cell 5 2 11 3" xfId="17931"/>
    <cellStyle name="Linked Cell 5 2 11 3 2" xfId="37999"/>
    <cellStyle name="Linked Cell 5 2 11 4" xfId="24174"/>
    <cellStyle name="Linked Cell 5 2 12" xfId="6525"/>
    <cellStyle name="Linked Cell 5 2 12 2" xfId="6526"/>
    <cellStyle name="Linked Cell 5 2 12 2 2" xfId="20482"/>
    <cellStyle name="Linked Cell 5 2 12 2 2 2" xfId="40550"/>
    <cellStyle name="Linked Cell 5 2 12 2 3" xfId="24458"/>
    <cellStyle name="Linked Cell 5 2 12 3" xfId="18305"/>
    <cellStyle name="Linked Cell 5 2 12 3 2" xfId="38373"/>
    <cellStyle name="Linked Cell 5 2 12 4" xfId="24194"/>
    <cellStyle name="Linked Cell 5 2 13" xfId="6527"/>
    <cellStyle name="Linked Cell 5 2 13 2" xfId="18393"/>
    <cellStyle name="Linked Cell 5 2 13 2 2" xfId="38461"/>
    <cellStyle name="Linked Cell 5 2 13 3" xfId="24206"/>
    <cellStyle name="Linked Cell 5 2 14" xfId="14153"/>
    <cellStyle name="Linked Cell 5 2 14 2" xfId="34221"/>
    <cellStyle name="Linked Cell 5 2 15" xfId="23912"/>
    <cellStyle name="Linked Cell 5 2 2" xfId="6528"/>
    <cellStyle name="Linked Cell 5 2 2 2" xfId="6529"/>
    <cellStyle name="Linked Cell 5 2 2 2 2" xfId="20483"/>
    <cellStyle name="Linked Cell 5 2 2 2 2 2" xfId="40551"/>
    <cellStyle name="Linked Cell 5 2 2 2 3" xfId="24459"/>
    <cellStyle name="Linked Cell 5 2 2 3" xfId="14905"/>
    <cellStyle name="Linked Cell 5 2 2 3 2" xfId="34973"/>
    <cellStyle name="Linked Cell 5 2 2 4" xfId="23972"/>
    <cellStyle name="Linked Cell 5 2 3" xfId="6530"/>
    <cellStyle name="Linked Cell 5 2 3 2" xfId="6531"/>
    <cellStyle name="Linked Cell 5 2 3 2 2" xfId="20484"/>
    <cellStyle name="Linked Cell 5 2 3 2 2 2" xfId="40552"/>
    <cellStyle name="Linked Cell 5 2 3 2 3" xfId="24460"/>
    <cellStyle name="Linked Cell 5 2 3 3" xfId="15074"/>
    <cellStyle name="Linked Cell 5 2 3 3 2" xfId="35142"/>
    <cellStyle name="Linked Cell 5 2 3 4" xfId="23988"/>
    <cellStyle name="Linked Cell 5 2 4" xfId="6532"/>
    <cellStyle name="Linked Cell 5 2 4 2" xfId="6533"/>
    <cellStyle name="Linked Cell 5 2 4 2 2" xfId="20485"/>
    <cellStyle name="Linked Cell 5 2 4 2 2 2" xfId="40553"/>
    <cellStyle name="Linked Cell 5 2 4 2 3" xfId="24461"/>
    <cellStyle name="Linked Cell 5 2 4 3" xfId="15009"/>
    <cellStyle name="Linked Cell 5 2 4 3 2" xfId="35077"/>
    <cellStyle name="Linked Cell 5 2 4 4" xfId="23976"/>
    <cellStyle name="Linked Cell 5 2 5" xfId="6534"/>
    <cellStyle name="Linked Cell 5 2 5 2" xfId="6535"/>
    <cellStyle name="Linked Cell 5 2 5 2 2" xfId="20486"/>
    <cellStyle name="Linked Cell 5 2 5 2 2 2" xfId="40554"/>
    <cellStyle name="Linked Cell 5 2 5 2 3" xfId="24462"/>
    <cellStyle name="Linked Cell 5 2 5 3" xfId="16571"/>
    <cellStyle name="Linked Cell 5 2 5 3 2" xfId="36639"/>
    <cellStyle name="Linked Cell 5 2 5 4" xfId="24085"/>
    <cellStyle name="Linked Cell 5 2 6" xfId="6536"/>
    <cellStyle name="Linked Cell 5 2 6 2" xfId="6537"/>
    <cellStyle name="Linked Cell 5 2 6 2 2" xfId="20487"/>
    <cellStyle name="Linked Cell 5 2 6 2 2 2" xfId="40555"/>
    <cellStyle name="Linked Cell 5 2 6 2 3" xfId="24463"/>
    <cellStyle name="Linked Cell 5 2 6 3" xfId="16775"/>
    <cellStyle name="Linked Cell 5 2 6 3 2" xfId="36843"/>
    <cellStyle name="Linked Cell 5 2 6 4" xfId="24101"/>
    <cellStyle name="Linked Cell 5 2 7" xfId="6538"/>
    <cellStyle name="Linked Cell 5 2 7 2" xfId="6539"/>
    <cellStyle name="Linked Cell 5 2 7 2 2" xfId="20488"/>
    <cellStyle name="Linked Cell 5 2 7 2 2 2" xfId="40556"/>
    <cellStyle name="Linked Cell 5 2 7 2 3" xfId="24464"/>
    <cellStyle name="Linked Cell 5 2 7 3" xfId="17081"/>
    <cellStyle name="Linked Cell 5 2 7 3 2" xfId="37149"/>
    <cellStyle name="Linked Cell 5 2 7 4" xfId="24121"/>
    <cellStyle name="Linked Cell 5 2 8" xfId="6540"/>
    <cellStyle name="Linked Cell 5 2 8 2" xfId="6541"/>
    <cellStyle name="Linked Cell 5 2 8 2 2" xfId="20489"/>
    <cellStyle name="Linked Cell 5 2 8 2 2 2" xfId="40557"/>
    <cellStyle name="Linked Cell 5 2 8 2 3" xfId="24465"/>
    <cellStyle name="Linked Cell 5 2 8 3" xfId="17253"/>
    <cellStyle name="Linked Cell 5 2 8 3 2" xfId="37321"/>
    <cellStyle name="Linked Cell 5 2 8 4" xfId="24135"/>
    <cellStyle name="Linked Cell 5 2 9" xfId="6542"/>
    <cellStyle name="Linked Cell 5 2 9 2" xfId="6543"/>
    <cellStyle name="Linked Cell 5 2 9 2 2" xfId="20490"/>
    <cellStyle name="Linked Cell 5 2 9 2 2 2" xfId="40558"/>
    <cellStyle name="Linked Cell 5 2 9 2 3" xfId="24466"/>
    <cellStyle name="Linked Cell 5 2 9 3" xfId="17668"/>
    <cellStyle name="Linked Cell 5 2 9 3 2" xfId="37736"/>
    <cellStyle name="Linked Cell 5 2 9 4" xfId="24160"/>
    <cellStyle name="Linked Cell 5 3" xfId="6544"/>
    <cellStyle name="Linked Cell 5 3 2" xfId="6545"/>
    <cellStyle name="Linked Cell 5 3 2 2" xfId="20491"/>
    <cellStyle name="Linked Cell 5 3 2 2 2" xfId="40559"/>
    <cellStyle name="Linked Cell 5 3 2 3" xfId="24467"/>
    <cellStyle name="Linked Cell 5 3 3" xfId="14404"/>
    <cellStyle name="Linked Cell 5 3 3 2" xfId="34472"/>
    <cellStyle name="Linked Cell 5 3 4" xfId="23940"/>
    <cellStyle name="Linked Cell 5 4" xfId="6546"/>
    <cellStyle name="Linked Cell 5 4 2" xfId="6547"/>
    <cellStyle name="Linked Cell 5 4 2 2" xfId="20492"/>
    <cellStyle name="Linked Cell 5 4 2 2 2" xfId="40560"/>
    <cellStyle name="Linked Cell 5 4 2 3" xfId="24468"/>
    <cellStyle name="Linked Cell 5 4 3" xfId="14625"/>
    <cellStyle name="Linked Cell 5 4 3 2" xfId="34693"/>
    <cellStyle name="Linked Cell 5 4 4" xfId="23953"/>
    <cellStyle name="Linked Cell 5 5" xfId="6548"/>
    <cellStyle name="Linked Cell 5 5 2" xfId="6549"/>
    <cellStyle name="Linked Cell 5 5 2 2" xfId="20493"/>
    <cellStyle name="Linked Cell 5 5 2 2 2" xfId="40561"/>
    <cellStyle name="Linked Cell 5 5 2 3" xfId="24469"/>
    <cellStyle name="Linked Cell 5 5 3" xfId="14194"/>
    <cellStyle name="Linked Cell 5 5 3 2" xfId="34262"/>
    <cellStyle name="Linked Cell 5 5 4" xfId="23915"/>
    <cellStyle name="Linked Cell 5 6" xfId="6550"/>
    <cellStyle name="Linked Cell 5 6 2" xfId="6551"/>
    <cellStyle name="Linked Cell 5 6 2 2" xfId="20494"/>
    <cellStyle name="Linked Cell 5 6 2 2 2" xfId="40562"/>
    <cellStyle name="Linked Cell 5 6 2 3" xfId="24470"/>
    <cellStyle name="Linked Cell 5 6 3" xfId="15293"/>
    <cellStyle name="Linked Cell 5 6 3 2" xfId="35361"/>
    <cellStyle name="Linked Cell 5 6 4" xfId="23999"/>
    <cellStyle name="Linked Cell 5 7" xfId="6552"/>
    <cellStyle name="Linked Cell 5 7 2" xfId="6553"/>
    <cellStyle name="Linked Cell 5 7 2 2" xfId="20495"/>
    <cellStyle name="Linked Cell 5 7 2 2 2" xfId="40563"/>
    <cellStyle name="Linked Cell 5 7 2 3" xfId="24471"/>
    <cellStyle name="Linked Cell 5 7 3" xfId="15807"/>
    <cellStyle name="Linked Cell 5 7 3 2" xfId="35875"/>
    <cellStyle name="Linked Cell 5 7 4" xfId="24028"/>
    <cellStyle name="Linked Cell 5 8" xfId="6554"/>
    <cellStyle name="Linked Cell 5 8 2" xfId="6555"/>
    <cellStyle name="Linked Cell 5 8 2 2" xfId="20496"/>
    <cellStyle name="Linked Cell 5 8 2 2 2" xfId="40564"/>
    <cellStyle name="Linked Cell 5 8 2 3" xfId="24472"/>
    <cellStyle name="Linked Cell 5 8 3" xfId="15938"/>
    <cellStyle name="Linked Cell 5 8 3 2" xfId="36006"/>
    <cellStyle name="Linked Cell 5 8 4" xfId="24037"/>
    <cellStyle name="Linked Cell 5 9" xfId="6556"/>
    <cellStyle name="Linked Cell 5 9 2" xfId="6557"/>
    <cellStyle name="Linked Cell 5 9 2 2" xfId="20497"/>
    <cellStyle name="Linked Cell 5 9 2 2 2" xfId="40565"/>
    <cellStyle name="Linked Cell 5 9 2 3" xfId="24473"/>
    <cellStyle name="Linked Cell 5 9 3" xfId="16874"/>
    <cellStyle name="Linked Cell 5 9 3 2" xfId="36942"/>
    <cellStyle name="Linked Cell 5 9 4" xfId="24106"/>
    <cellStyle name="mark01" xfId="6558"/>
    <cellStyle name="Neutral" xfId="11" builtinId="28" customBuiltin="1"/>
    <cellStyle name="Neutral 2" xfId="6559"/>
    <cellStyle name="Neutral 2 2" xfId="6560"/>
    <cellStyle name="Neutral 2 3" xfId="6561"/>
    <cellStyle name="Neutral 2 4" xfId="6562"/>
    <cellStyle name="Neutral 2 5" xfId="6563"/>
    <cellStyle name="Neutral 2 6" xfId="6564"/>
    <cellStyle name="Neutral 2_ANC" xfId="6565"/>
    <cellStyle name="Neutral 3" xfId="6566"/>
    <cellStyle name="Neutral 3 2" xfId="6567"/>
    <cellStyle name="Neutral 3 3" xfId="6568"/>
    <cellStyle name="Neutral 3 4" xfId="6569"/>
    <cellStyle name="Neutral 3_ANC" xfId="6570"/>
    <cellStyle name="Neutral 4" xfId="6571"/>
    <cellStyle name="Neutral 4 2" xfId="6572"/>
    <cellStyle name="Neutral 4 3" xfId="6573"/>
    <cellStyle name="Neutral 4_ANC" xfId="6574"/>
    <cellStyle name="Neutral 5" xfId="6575"/>
    <cellStyle name="Neutre" xfId="6576"/>
    <cellStyle name="Normal" xfId="0" builtinId="0"/>
    <cellStyle name="Normal 10" xfId="6577"/>
    <cellStyle name="Normal 10 2" xfId="6578"/>
    <cellStyle name="Normal 10 2 2" xfId="6579"/>
    <cellStyle name="Normal 10 2 2 2" xfId="6580"/>
    <cellStyle name="Normal 10 2 2 2 2" xfId="6581"/>
    <cellStyle name="Normal 10 2 2 3" xfId="6582"/>
    <cellStyle name="Normal 10 2 2_Look Back" xfId="6583"/>
    <cellStyle name="Normal 10 2 3" xfId="6584"/>
    <cellStyle name="Normal 10 2 3 2" xfId="6585"/>
    <cellStyle name="Normal 10 2 3 2 2" xfId="6586"/>
    <cellStyle name="Normal 10 2 3 3" xfId="6587"/>
    <cellStyle name="Normal 10 2 3_Look Back" xfId="6588"/>
    <cellStyle name="Normal 10 2 4" xfId="6589"/>
    <cellStyle name="Normal 10 2 4 2" xfId="6590"/>
    <cellStyle name="Normal 10 2 5" xfId="6591"/>
    <cellStyle name="Normal 10 2 5 2" xfId="6592"/>
    <cellStyle name="Normal 10 2 6" xfId="6593"/>
    <cellStyle name="Normal 10 2_Look Back" xfId="6594"/>
    <cellStyle name="Normal 10 3" xfId="6595"/>
    <cellStyle name="Normal 10 4" xfId="6596"/>
    <cellStyle name="Normal 10_2012-2013" xfId="6597"/>
    <cellStyle name="Normal 11" xfId="6598"/>
    <cellStyle name="Normal 11 2" xfId="6599"/>
    <cellStyle name="Normal 11 3" xfId="6600"/>
    <cellStyle name="Normal 11_2012-2013" xfId="6601"/>
    <cellStyle name="Normal 12" xfId="6602"/>
    <cellStyle name="Normal 12 2" xfId="6603"/>
    <cellStyle name="Normal 12 2 2" xfId="6604"/>
    <cellStyle name="Normal 12 2 2 2" xfId="6605"/>
    <cellStyle name="Normal 12 2 3" xfId="6606"/>
    <cellStyle name="Normal 12 2_Look Back" xfId="6607"/>
    <cellStyle name="Normal 12 3" xfId="6608"/>
    <cellStyle name="Normal 12 3 2" xfId="6609"/>
    <cellStyle name="Normal 12 3 2 2" xfId="6610"/>
    <cellStyle name="Normal 12 3 3" xfId="6611"/>
    <cellStyle name="Normal 12 3_Look Back" xfId="6612"/>
    <cellStyle name="Normal 12 4" xfId="6613"/>
    <cellStyle name="Normal 12 4 2" xfId="6614"/>
    <cellStyle name="Normal 12 5" xfId="6615"/>
    <cellStyle name="Normal 12 5 2" xfId="6616"/>
    <cellStyle name="Normal 12 6" xfId="6617"/>
    <cellStyle name="Normal 12_Look Back" xfId="6618"/>
    <cellStyle name="Normal 13" xfId="6619"/>
    <cellStyle name="Normal 13 2" xfId="6620"/>
    <cellStyle name="Normal 13 2 2" xfId="6621"/>
    <cellStyle name="Normal 13 2 2 2" xfId="6622"/>
    <cellStyle name="Normal 13 2 3" xfId="6623"/>
    <cellStyle name="Normal 13 2_Look Back" xfId="6624"/>
    <cellStyle name="Normal 13 3" xfId="6625"/>
    <cellStyle name="Normal 13 3 2" xfId="6626"/>
    <cellStyle name="Normal 13 3 2 2" xfId="6627"/>
    <cellStyle name="Normal 13 3 3" xfId="6628"/>
    <cellStyle name="Normal 13 3_Look Back" xfId="6629"/>
    <cellStyle name="Normal 13 4" xfId="6630"/>
    <cellStyle name="Normal 13 4 2" xfId="6631"/>
    <cellStyle name="Normal 13 5" xfId="6632"/>
    <cellStyle name="Normal 13 5 2" xfId="6633"/>
    <cellStyle name="Normal 13 6" xfId="6634"/>
    <cellStyle name="Normal 13_Look Back" xfId="6635"/>
    <cellStyle name="Normal 14" xfId="6636"/>
    <cellStyle name="Normal 14 2" xfId="6637"/>
    <cellStyle name="Normal 14 2 2" xfId="6638"/>
    <cellStyle name="Normal 14 2 2 2" xfId="6639"/>
    <cellStyle name="Normal 14 2 3" xfId="6640"/>
    <cellStyle name="Normal 14 2_Look Back" xfId="6641"/>
    <cellStyle name="Normal 14 3" xfId="6642"/>
    <cellStyle name="Normal 14 3 2" xfId="6643"/>
    <cellStyle name="Normal 14 3 2 2" xfId="6644"/>
    <cellStyle name="Normal 14 3 3" xfId="6645"/>
    <cellStyle name="Normal 14 3_Look Back" xfId="6646"/>
    <cellStyle name="Normal 14 4" xfId="6647"/>
    <cellStyle name="Normal 14 4 2" xfId="6648"/>
    <cellStyle name="Normal 14 5" xfId="6649"/>
    <cellStyle name="Normal 14 5 2" xfId="6650"/>
    <cellStyle name="Normal 14 6" xfId="6651"/>
    <cellStyle name="Normal 14_Look Back" xfId="6652"/>
    <cellStyle name="Normal 15" xfId="6653"/>
    <cellStyle name="Normal 15 2" xfId="6654"/>
    <cellStyle name="Normal 15 2 2" xfId="6655"/>
    <cellStyle name="Normal 15 2 2 2" xfId="6656"/>
    <cellStyle name="Normal 15 2 3" xfId="6657"/>
    <cellStyle name="Normal 15 2_Look Back" xfId="6658"/>
    <cellStyle name="Normal 15 3" xfId="6659"/>
    <cellStyle name="Normal 15 3 2" xfId="6660"/>
    <cellStyle name="Normal 15 3 2 2" xfId="6661"/>
    <cellStyle name="Normal 15 3 3" xfId="6662"/>
    <cellStyle name="Normal 15 3_Look Back" xfId="6663"/>
    <cellStyle name="Normal 15 4" xfId="6664"/>
    <cellStyle name="Normal 15 4 2" xfId="6665"/>
    <cellStyle name="Normal 15 5" xfId="6666"/>
    <cellStyle name="Normal 15 5 2" xfId="6667"/>
    <cellStyle name="Normal 15 6" xfId="6668"/>
    <cellStyle name="Normal 15_Look Back" xfId="6669"/>
    <cellStyle name="Normal 16" xfId="6670"/>
    <cellStyle name="Normal 16 2" xfId="6671"/>
    <cellStyle name="Normal 16 3" xfId="6672"/>
    <cellStyle name="Normal 16 4" xfId="6673"/>
    <cellStyle name="Normal 17" xfId="6674"/>
    <cellStyle name="Normal 17 2" xfId="6675"/>
    <cellStyle name="Normal 17 2 2" xfId="6676"/>
    <cellStyle name="Normal 17 2 2 2" xfId="6677"/>
    <cellStyle name="Normal 17 2 3" xfId="6678"/>
    <cellStyle name="Normal 17 2_Look Back" xfId="6679"/>
    <cellStyle name="Normal 17 3" xfId="6680"/>
    <cellStyle name="Normal 17 3 2" xfId="6681"/>
    <cellStyle name="Normal 17 3 2 2" xfId="6682"/>
    <cellStyle name="Normal 17 3 3" xfId="6683"/>
    <cellStyle name="Normal 17 3_Look Back" xfId="6684"/>
    <cellStyle name="Normal 17 4" xfId="6685"/>
    <cellStyle name="Normal 17 4 2" xfId="6686"/>
    <cellStyle name="Normal 17 5" xfId="6687"/>
    <cellStyle name="Normal 17 5 2" xfId="6688"/>
    <cellStyle name="Normal 17 6" xfId="6689"/>
    <cellStyle name="Normal 17_Look Back" xfId="6690"/>
    <cellStyle name="Normal 18" xfId="6691"/>
    <cellStyle name="Normal 19" xfId="6692"/>
    <cellStyle name="Normal 2" xfId="46"/>
    <cellStyle name="Normal 2 2" xfId="6693"/>
    <cellStyle name="Normal 2 2 2" xfId="6694"/>
    <cellStyle name="Normal 2 2 2 2" xfId="6695"/>
    <cellStyle name="Normal 2 2 2_Look Back" xfId="6696"/>
    <cellStyle name="Normal 2 2_2012-2013" xfId="6697"/>
    <cellStyle name="Normal 2 3" xfId="6698"/>
    <cellStyle name="Normal 2 3 2" xfId="6699"/>
    <cellStyle name="Normal 2 3_Matrix" xfId="6700"/>
    <cellStyle name="Normal 2 4" xfId="6701"/>
    <cellStyle name="Normal 2 5" xfId="6702"/>
    <cellStyle name="Normal 2 6" xfId="6703"/>
    <cellStyle name="Normal 2_2011-2012" xfId="6704"/>
    <cellStyle name="Normal 20" xfId="6705"/>
    <cellStyle name="Normal 21" xfId="6706"/>
    <cellStyle name="Normal 21 2" xfId="6707"/>
    <cellStyle name="Normal 22" xfId="6708"/>
    <cellStyle name="Normal 22 2" xfId="6709"/>
    <cellStyle name="Normal 23" xfId="6710"/>
    <cellStyle name="Normal 23 2" xfId="6711"/>
    <cellStyle name="Normal 24" xfId="6712"/>
    <cellStyle name="Normal 24 10" xfId="6713"/>
    <cellStyle name="Normal 24 2" xfId="6714"/>
    <cellStyle name="Normal 24 2 2" xfId="6715"/>
    <cellStyle name="Normal 24 2 2 2" xfId="6716"/>
    <cellStyle name="Normal 24 2 3" xfId="6717"/>
    <cellStyle name="Normal 24 2_Look Back" xfId="6718"/>
    <cellStyle name="Normal 24 3" xfId="6719"/>
    <cellStyle name="Normal 24 3 2" xfId="6720"/>
    <cellStyle name="Normal 24 3 2 2" xfId="6721"/>
    <cellStyle name="Normal 24 3 3" xfId="6722"/>
    <cellStyle name="Normal 24 3_Look Back" xfId="6723"/>
    <cellStyle name="Normal 24 4" xfId="6724"/>
    <cellStyle name="Normal 24 4 2" xfId="6725"/>
    <cellStyle name="Normal 24 5" xfId="6726"/>
    <cellStyle name="Normal 24 5 2" xfId="6727"/>
    <cellStyle name="Normal 24 6" xfId="6728"/>
    <cellStyle name="Normal 24 7" xfId="6729"/>
    <cellStyle name="Normal 24 8" xfId="6730"/>
    <cellStyle name="Normal 24 9" xfId="6731"/>
    <cellStyle name="Normal 24_Look Back" xfId="6732"/>
    <cellStyle name="Normal 25" xfId="6733"/>
    <cellStyle name="Normal 25 10" xfId="6734"/>
    <cellStyle name="Normal 25 2" xfId="6735"/>
    <cellStyle name="Normal 25 2 2" xfId="6736"/>
    <cellStyle name="Normal 25 2 2 2" xfId="6737"/>
    <cellStyle name="Normal 25 2 3" xfId="6738"/>
    <cellStyle name="Normal 25 2_Look Back" xfId="6739"/>
    <cellStyle name="Normal 25 3" xfId="6740"/>
    <cellStyle name="Normal 25 3 2" xfId="6741"/>
    <cellStyle name="Normal 25 3 2 2" xfId="6742"/>
    <cellStyle name="Normal 25 3 3" xfId="6743"/>
    <cellStyle name="Normal 25 3_Look Back" xfId="6744"/>
    <cellStyle name="Normal 25 4" xfId="6745"/>
    <cellStyle name="Normal 25 4 2" xfId="6746"/>
    <cellStyle name="Normal 25 5" xfId="6747"/>
    <cellStyle name="Normal 25 5 2" xfId="6748"/>
    <cellStyle name="Normal 25 6" xfId="6749"/>
    <cellStyle name="Normal 25 7" xfId="6750"/>
    <cellStyle name="Normal 25 8" xfId="6751"/>
    <cellStyle name="Normal 25 9" xfId="6752"/>
    <cellStyle name="Normal 25_Look Back" xfId="6753"/>
    <cellStyle name="Normal 26" xfId="6754"/>
    <cellStyle name="Normal 26 2" xfId="6755"/>
    <cellStyle name="Normal 26 2 2" xfId="6756"/>
    <cellStyle name="Normal 26 2 2 2" xfId="6757"/>
    <cellStyle name="Normal 26 2 3" xfId="6758"/>
    <cellStyle name="Normal 26 2_Look Back" xfId="6759"/>
    <cellStyle name="Normal 26 3" xfId="6760"/>
    <cellStyle name="Normal 26 3 2" xfId="6761"/>
    <cellStyle name="Normal 26 3 2 2" xfId="6762"/>
    <cellStyle name="Normal 26 3 3" xfId="6763"/>
    <cellStyle name="Normal 26 3_Look Back" xfId="6764"/>
    <cellStyle name="Normal 26 4" xfId="6765"/>
    <cellStyle name="Normal 26 4 2" xfId="6766"/>
    <cellStyle name="Normal 26 5" xfId="6767"/>
    <cellStyle name="Normal 26 5 2" xfId="6768"/>
    <cellStyle name="Normal 26 6" xfId="6769"/>
    <cellStyle name="Normal 26_Look Back" xfId="6770"/>
    <cellStyle name="Normal 27" xfId="6771"/>
    <cellStyle name="Normal 27 10" xfId="6772"/>
    <cellStyle name="Normal 27 2" xfId="6773"/>
    <cellStyle name="Normal 27 2 2" xfId="6774"/>
    <cellStyle name="Normal 27 2 2 2" xfId="6775"/>
    <cellStyle name="Normal 27 2 3" xfId="6776"/>
    <cellStyle name="Normal 27 2_Look Back" xfId="6777"/>
    <cellStyle name="Normal 27 3" xfId="6778"/>
    <cellStyle name="Normal 27 3 2" xfId="6779"/>
    <cellStyle name="Normal 27 3 2 2" xfId="6780"/>
    <cellStyle name="Normal 27 3 3" xfId="6781"/>
    <cellStyle name="Normal 27 3_Look Back" xfId="6782"/>
    <cellStyle name="Normal 27 4" xfId="6783"/>
    <cellStyle name="Normal 27 4 2" xfId="6784"/>
    <cellStyle name="Normal 27 5" xfId="6785"/>
    <cellStyle name="Normal 27 5 2" xfId="6786"/>
    <cellStyle name="Normal 27 6" xfId="6787"/>
    <cellStyle name="Normal 27 7" xfId="6788"/>
    <cellStyle name="Normal 27 8" xfId="6789"/>
    <cellStyle name="Normal 27 9" xfId="6790"/>
    <cellStyle name="Normal 27_Look Back" xfId="6791"/>
    <cellStyle name="Normal 28" xfId="6792"/>
    <cellStyle name="Normal 28 10" xfId="6793"/>
    <cellStyle name="Normal 28 2" xfId="6794"/>
    <cellStyle name="Normal 28 2 2" xfId="6795"/>
    <cellStyle name="Normal 28 2 2 2" xfId="6796"/>
    <cellStyle name="Normal 28 2 3" xfId="6797"/>
    <cellStyle name="Normal 28 2_Look Back" xfId="6798"/>
    <cellStyle name="Normal 28 3" xfId="6799"/>
    <cellStyle name="Normal 28 3 2" xfId="6800"/>
    <cellStyle name="Normal 28 3 2 2" xfId="6801"/>
    <cellStyle name="Normal 28 3 3" xfId="6802"/>
    <cellStyle name="Normal 28 3_Look Back" xfId="6803"/>
    <cellStyle name="Normal 28 4" xfId="6804"/>
    <cellStyle name="Normal 28 4 2" xfId="6805"/>
    <cellStyle name="Normal 28 5" xfId="6806"/>
    <cellStyle name="Normal 28 5 2" xfId="6807"/>
    <cellStyle name="Normal 28 6" xfId="6808"/>
    <cellStyle name="Normal 28 7" xfId="6809"/>
    <cellStyle name="Normal 28 8" xfId="6810"/>
    <cellStyle name="Normal 28 9" xfId="6811"/>
    <cellStyle name="Normal 28_Look Back" xfId="6812"/>
    <cellStyle name="Normal 29" xfId="6813"/>
    <cellStyle name="Normal 29 10" xfId="6814"/>
    <cellStyle name="Normal 29 2" xfId="6815"/>
    <cellStyle name="Normal 29 2 2" xfId="6816"/>
    <cellStyle name="Normal 29 2 2 2" xfId="6817"/>
    <cellStyle name="Normal 29 2 3" xfId="6818"/>
    <cellStyle name="Normal 29 2_Look Back" xfId="6819"/>
    <cellStyle name="Normal 29 3" xfId="6820"/>
    <cellStyle name="Normal 29 3 2" xfId="6821"/>
    <cellStyle name="Normal 29 3 2 2" xfId="6822"/>
    <cellStyle name="Normal 29 3 3" xfId="6823"/>
    <cellStyle name="Normal 29 3_Look Back" xfId="6824"/>
    <cellStyle name="Normal 29 4" xfId="6825"/>
    <cellStyle name="Normal 29 4 2" xfId="6826"/>
    <cellStyle name="Normal 29 5" xfId="6827"/>
    <cellStyle name="Normal 29 5 2" xfId="6828"/>
    <cellStyle name="Normal 29 6" xfId="6829"/>
    <cellStyle name="Normal 29 7" xfId="6830"/>
    <cellStyle name="Normal 29 8" xfId="6831"/>
    <cellStyle name="Normal 29 9" xfId="6832"/>
    <cellStyle name="Normal 29_Look Back" xfId="6833"/>
    <cellStyle name="Normal 3" xfId="6834"/>
    <cellStyle name="Normal 3 2" xfId="6835"/>
    <cellStyle name="Normal 3 3" xfId="43978"/>
    <cellStyle name="Normal 3_2012-2013" xfId="6836"/>
    <cellStyle name="Normal 30" xfId="6837"/>
    <cellStyle name="Normal 30 10" xfId="6838"/>
    <cellStyle name="Normal 30 2" xfId="6839"/>
    <cellStyle name="Normal 30 2 2" xfId="6840"/>
    <cellStyle name="Normal 30 2 2 2" xfId="6841"/>
    <cellStyle name="Normal 30 2 3" xfId="6842"/>
    <cellStyle name="Normal 30 2_Look Back" xfId="6843"/>
    <cellStyle name="Normal 30 3" xfId="6844"/>
    <cellStyle name="Normal 30 3 2" xfId="6845"/>
    <cellStyle name="Normal 30 3 2 2" xfId="6846"/>
    <cellStyle name="Normal 30 3 3" xfId="6847"/>
    <cellStyle name="Normal 30 3_Look Back" xfId="6848"/>
    <cellStyle name="Normal 30 4" xfId="6849"/>
    <cellStyle name="Normal 30 4 2" xfId="6850"/>
    <cellStyle name="Normal 30 5" xfId="6851"/>
    <cellStyle name="Normal 30 5 2" xfId="6852"/>
    <cellStyle name="Normal 30 6" xfId="6853"/>
    <cellStyle name="Normal 30 7" xfId="6854"/>
    <cellStyle name="Normal 30 8" xfId="6855"/>
    <cellStyle name="Normal 30 9" xfId="6856"/>
    <cellStyle name="Normal 30_Look Back" xfId="6857"/>
    <cellStyle name="Normal 31" xfId="6858"/>
    <cellStyle name="Normal 32" xfId="6859"/>
    <cellStyle name="Normal 33" xfId="6860"/>
    <cellStyle name="Normal 34" xfId="6861"/>
    <cellStyle name="Normal 35" xfId="6862"/>
    <cellStyle name="Normal 36" xfId="6863"/>
    <cellStyle name="Normal 37" xfId="6864"/>
    <cellStyle name="Normal 38" xfId="6865"/>
    <cellStyle name="Normal 39" xfId="6866"/>
    <cellStyle name="Normal 4" xfId="6867"/>
    <cellStyle name="Normal 4 10" xfId="43996"/>
    <cellStyle name="Normal 4 2" xfId="6868"/>
    <cellStyle name="Normal 4 2 2" xfId="6869"/>
    <cellStyle name="Normal 4 2 2 2" xfId="6870"/>
    <cellStyle name="Normal 4 2 2 2 2" xfId="6871"/>
    <cellStyle name="Normal 4 2 2 3" xfId="6872"/>
    <cellStyle name="Normal 4 2 2_Look Back" xfId="6873"/>
    <cellStyle name="Normal 4 2 3" xfId="6874"/>
    <cellStyle name="Normal 4 2 3 2" xfId="6875"/>
    <cellStyle name="Normal 4 2 3 2 2" xfId="6876"/>
    <cellStyle name="Normal 4 2 3 3" xfId="6877"/>
    <cellStyle name="Normal 4 2 3_Look Back" xfId="6878"/>
    <cellStyle name="Normal 4 2 4" xfId="6879"/>
    <cellStyle name="Normal 4 2 4 2" xfId="6880"/>
    <cellStyle name="Normal 4 2 5" xfId="6881"/>
    <cellStyle name="Normal 4 2 5 2" xfId="6882"/>
    <cellStyle name="Normal 4 2 6" xfId="6883"/>
    <cellStyle name="Normal 4 2_Look Back" xfId="6884"/>
    <cellStyle name="Normal 4 3" xfId="6885"/>
    <cellStyle name="Normal 4 4" xfId="43979"/>
    <cellStyle name="Normal 4 5" xfId="43985"/>
    <cellStyle name="Normal 4 6" xfId="43973"/>
    <cellStyle name="Normal 4 7" xfId="43983"/>
    <cellStyle name="Normal 4 8" xfId="43971"/>
    <cellStyle name="Normal 4 9" xfId="43993"/>
    <cellStyle name="Normal 4_2012-2013" xfId="6886"/>
    <cellStyle name="Normal 40" xfId="6887"/>
    <cellStyle name="Normal 41" xfId="6888"/>
    <cellStyle name="Normal 42" xfId="6889"/>
    <cellStyle name="Normal 43" xfId="6890"/>
    <cellStyle name="Normal 44" xfId="6891"/>
    <cellStyle name="Normal 45" xfId="6892"/>
    <cellStyle name="Normal 46" xfId="6893"/>
    <cellStyle name="Normal 47" xfId="6894"/>
    <cellStyle name="Normal 48" xfId="6895"/>
    <cellStyle name="Normal 49" xfId="6896"/>
    <cellStyle name="Normal 5" xfId="6897"/>
    <cellStyle name="Normal 5 2" xfId="6898"/>
    <cellStyle name="Normal 5 3" xfId="6899"/>
    <cellStyle name="Normal 5 4" xfId="43980"/>
    <cellStyle name="Normal 5_2012-2013" xfId="6900"/>
    <cellStyle name="Normal 50" xfId="6901"/>
    <cellStyle name="Normal 51" xfId="6902"/>
    <cellStyle name="Normal 52" xfId="6903"/>
    <cellStyle name="Normal 53" xfId="6904"/>
    <cellStyle name="Normal 54" xfId="6905"/>
    <cellStyle name="Normal 55" xfId="6906"/>
    <cellStyle name="Normal 56" xfId="6907"/>
    <cellStyle name="Normal 57" xfId="6908"/>
    <cellStyle name="Normal 58" xfId="6909"/>
    <cellStyle name="Normal 59" xfId="6910"/>
    <cellStyle name="Normal 6" xfId="6911"/>
    <cellStyle name="Normal 6 2" xfId="6912"/>
    <cellStyle name="Normal 6 3" xfId="6913"/>
    <cellStyle name="Normal 6_2012-2013" xfId="6914"/>
    <cellStyle name="Normal 60" xfId="6915"/>
    <cellStyle name="Normal 61" xfId="6916"/>
    <cellStyle name="Normal 62" xfId="6917"/>
    <cellStyle name="Normal 63" xfId="6918"/>
    <cellStyle name="Normal 64" xfId="6919"/>
    <cellStyle name="Normal 65" xfId="6920"/>
    <cellStyle name="Normal 66" xfId="6921"/>
    <cellStyle name="Normal 67" xfId="6922"/>
    <cellStyle name="Normal 68" xfId="6923"/>
    <cellStyle name="Normal 69" xfId="6924"/>
    <cellStyle name="Normal 7" xfId="6925"/>
    <cellStyle name="Normal 7 2" xfId="6926"/>
    <cellStyle name="Normal 7_2012-2013" xfId="6927"/>
    <cellStyle name="Normal 8" xfId="6928"/>
    <cellStyle name="Normal 8 2" xfId="6929"/>
    <cellStyle name="Normal 8_2012-2013" xfId="6930"/>
    <cellStyle name="Normal 9" xfId="6931"/>
    <cellStyle name="Normal 9 2" xfId="6932"/>
    <cellStyle name="Normal 9 2 2" xfId="6933"/>
    <cellStyle name="Normal 9 2 2 2" xfId="6934"/>
    <cellStyle name="Normal 9 2 2 2 2" xfId="6935"/>
    <cellStyle name="Normal 9 2 2 3" xfId="6936"/>
    <cellStyle name="Normal 9 2 2_Look Back" xfId="6937"/>
    <cellStyle name="Normal 9 2 3" xfId="6938"/>
    <cellStyle name="Normal 9 2 3 2" xfId="6939"/>
    <cellStyle name="Normal 9 2 3 2 2" xfId="6940"/>
    <cellStyle name="Normal 9 2 3 3" xfId="6941"/>
    <cellStyle name="Normal 9 2 3_Look Back" xfId="6942"/>
    <cellStyle name="Normal 9 2 4" xfId="6943"/>
    <cellStyle name="Normal 9 2 4 2" xfId="6944"/>
    <cellStyle name="Normal 9 2 5" xfId="6945"/>
    <cellStyle name="Normal 9 2 5 2" xfId="6946"/>
    <cellStyle name="Normal 9 2 6" xfId="6947"/>
    <cellStyle name="Normal 9 2_Look Back" xfId="6948"/>
    <cellStyle name="Normal 9 3" xfId="6949"/>
    <cellStyle name="Normal 9 3 2" xfId="6950"/>
    <cellStyle name="Normal 9 3 2 2" xfId="6951"/>
    <cellStyle name="Normal 9 3 3" xfId="6952"/>
    <cellStyle name="Normal 9 3_Look Back" xfId="6953"/>
    <cellStyle name="Normal 9 4" xfId="6954"/>
    <cellStyle name="Normal 9 4 2" xfId="6955"/>
    <cellStyle name="Normal 9 4 2 2" xfId="6956"/>
    <cellStyle name="Normal 9 4 3" xfId="6957"/>
    <cellStyle name="Normal 9 4_Look Back" xfId="6958"/>
    <cellStyle name="Normal 9 5" xfId="6959"/>
    <cellStyle name="Normal 9 5 2" xfId="6960"/>
    <cellStyle name="Normal 9 6" xfId="6961"/>
    <cellStyle name="Normal 9 6 2" xfId="6962"/>
    <cellStyle name="Normal 9 7" xfId="6963"/>
    <cellStyle name="Normal 9_2012-2013" xfId="6964"/>
    <cellStyle name="Note" xfId="18" builtinId="10" customBuiltin="1"/>
    <cellStyle name="Note 2" xfId="6965"/>
    <cellStyle name="Note 2 10" xfId="6966"/>
    <cellStyle name="Note 2 10 2" xfId="6967"/>
    <cellStyle name="Note 2 10 2 2" xfId="20499"/>
    <cellStyle name="Note 2 10 2 2 2" xfId="40567"/>
    <cellStyle name="Note 2 10 2 3" xfId="27162"/>
    <cellStyle name="Note 2 10 3" xfId="14614"/>
    <cellStyle name="Note 2 10 3 2" xfId="34682"/>
    <cellStyle name="Note 2 10 4" xfId="27161"/>
    <cellStyle name="Note 2 11" xfId="6968"/>
    <cellStyle name="Note 2 11 2" xfId="6969"/>
    <cellStyle name="Note 2 11 2 2" xfId="20500"/>
    <cellStyle name="Note 2 11 2 2 2" xfId="40568"/>
    <cellStyle name="Note 2 11 2 3" xfId="27164"/>
    <cellStyle name="Note 2 11 3" xfId="14425"/>
    <cellStyle name="Note 2 11 3 2" xfId="34493"/>
    <cellStyle name="Note 2 11 4" xfId="27163"/>
    <cellStyle name="Note 2 12" xfId="6970"/>
    <cellStyle name="Note 2 12 2" xfId="6971"/>
    <cellStyle name="Note 2 12 2 2" xfId="20501"/>
    <cellStyle name="Note 2 12 2 2 2" xfId="40569"/>
    <cellStyle name="Note 2 12 2 3" xfId="27166"/>
    <cellStyle name="Note 2 12 3" xfId="14063"/>
    <cellStyle name="Note 2 12 3 2" xfId="34131"/>
    <cellStyle name="Note 2 12 4" xfId="27165"/>
    <cellStyle name="Note 2 13" xfId="6972"/>
    <cellStyle name="Note 2 13 2" xfId="6973"/>
    <cellStyle name="Note 2 13 2 2" xfId="20502"/>
    <cellStyle name="Note 2 13 2 2 2" xfId="40570"/>
    <cellStyle name="Note 2 13 2 3" xfId="27168"/>
    <cellStyle name="Note 2 13 3" xfId="13986"/>
    <cellStyle name="Note 2 13 3 2" xfId="34054"/>
    <cellStyle name="Note 2 13 4" xfId="27167"/>
    <cellStyle name="Note 2 14" xfId="6974"/>
    <cellStyle name="Note 2 14 2" xfId="6975"/>
    <cellStyle name="Note 2 14 2 2" xfId="20503"/>
    <cellStyle name="Note 2 14 2 2 2" xfId="40571"/>
    <cellStyle name="Note 2 14 2 3" xfId="27170"/>
    <cellStyle name="Note 2 14 3" xfId="14335"/>
    <cellStyle name="Note 2 14 3 2" xfId="34403"/>
    <cellStyle name="Note 2 14 4" xfId="27169"/>
    <cellStyle name="Note 2 15" xfId="6976"/>
    <cellStyle name="Note 2 15 2" xfId="6977"/>
    <cellStyle name="Note 2 15 2 2" xfId="20504"/>
    <cellStyle name="Note 2 15 2 2 2" xfId="40572"/>
    <cellStyle name="Note 2 15 2 3" xfId="27172"/>
    <cellStyle name="Note 2 15 3" xfId="14338"/>
    <cellStyle name="Note 2 15 3 2" xfId="34406"/>
    <cellStyle name="Note 2 15 4" xfId="27171"/>
    <cellStyle name="Note 2 16" xfId="6978"/>
    <cellStyle name="Note 2 16 2" xfId="6979"/>
    <cellStyle name="Note 2 16 2 2" xfId="20505"/>
    <cellStyle name="Note 2 16 2 2 2" xfId="40573"/>
    <cellStyle name="Note 2 16 2 3" xfId="27174"/>
    <cellStyle name="Note 2 16 3" xfId="15294"/>
    <cellStyle name="Note 2 16 3 2" xfId="35362"/>
    <cellStyle name="Note 2 16 4" xfId="27173"/>
    <cellStyle name="Note 2 17" xfId="6980"/>
    <cellStyle name="Note 2 17 2" xfId="6981"/>
    <cellStyle name="Note 2 17 2 2" xfId="20506"/>
    <cellStyle name="Note 2 17 2 2 2" xfId="40574"/>
    <cellStyle name="Note 2 17 2 3" xfId="27176"/>
    <cellStyle name="Note 2 17 3" xfId="16437"/>
    <cellStyle name="Note 2 17 3 2" xfId="36505"/>
    <cellStyle name="Note 2 17 4" xfId="27175"/>
    <cellStyle name="Note 2 18" xfId="6982"/>
    <cellStyle name="Note 2 18 2" xfId="6983"/>
    <cellStyle name="Note 2 18 2 2" xfId="20507"/>
    <cellStyle name="Note 2 18 2 2 2" xfId="40575"/>
    <cellStyle name="Note 2 18 2 3" xfId="27178"/>
    <cellStyle name="Note 2 18 3" xfId="15794"/>
    <cellStyle name="Note 2 18 3 2" xfId="35862"/>
    <cellStyle name="Note 2 18 4" xfId="27177"/>
    <cellStyle name="Note 2 19" xfId="6984"/>
    <cellStyle name="Note 2 19 2" xfId="6985"/>
    <cellStyle name="Note 2 19 2 2" xfId="20508"/>
    <cellStyle name="Note 2 19 2 2 2" xfId="40576"/>
    <cellStyle name="Note 2 19 2 3" xfId="27180"/>
    <cellStyle name="Note 2 19 3" xfId="15995"/>
    <cellStyle name="Note 2 19 3 2" xfId="36063"/>
    <cellStyle name="Note 2 19 4" xfId="27179"/>
    <cellStyle name="Note 2 2" xfId="6986"/>
    <cellStyle name="Note 2 2 10" xfId="6987"/>
    <cellStyle name="Note 2 2 10 2" xfId="6988"/>
    <cellStyle name="Note 2 2 10 2 2" xfId="20510"/>
    <cellStyle name="Note 2 2 10 2 2 2" xfId="40578"/>
    <cellStyle name="Note 2 2 10 2 3" xfId="27183"/>
    <cellStyle name="Note 2 2 10 3" xfId="14401"/>
    <cellStyle name="Note 2 2 10 3 2" xfId="34469"/>
    <cellStyle name="Note 2 2 10 4" xfId="27182"/>
    <cellStyle name="Note 2 2 11" xfId="6989"/>
    <cellStyle name="Note 2 2 11 2" xfId="6990"/>
    <cellStyle name="Note 2 2 11 2 2" xfId="20511"/>
    <cellStyle name="Note 2 2 11 2 2 2" xfId="40579"/>
    <cellStyle name="Note 2 2 11 2 3" xfId="27185"/>
    <cellStyle name="Note 2 2 11 3" xfId="15295"/>
    <cellStyle name="Note 2 2 11 3 2" xfId="35363"/>
    <cellStyle name="Note 2 2 11 4" xfId="27184"/>
    <cellStyle name="Note 2 2 12" xfId="6991"/>
    <cellStyle name="Note 2 2 12 2" xfId="6992"/>
    <cellStyle name="Note 2 2 12 2 2" xfId="20512"/>
    <cellStyle name="Note 2 2 12 2 2 2" xfId="40580"/>
    <cellStyle name="Note 2 2 12 2 3" xfId="27187"/>
    <cellStyle name="Note 2 2 12 3" xfId="16438"/>
    <cellStyle name="Note 2 2 12 3 2" xfId="36506"/>
    <cellStyle name="Note 2 2 12 4" xfId="27186"/>
    <cellStyle name="Note 2 2 13" xfId="6993"/>
    <cellStyle name="Note 2 2 13 2" xfId="6994"/>
    <cellStyle name="Note 2 2 13 2 2" xfId="20513"/>
    <cellStyle name="Note 2 2 13 2 2 2" xfId="40581"/>
    <cellStyle name="Note 2 2 13 2 3" xfId="27189"/>
    <cellStyle name="Note 2 2 13 3" xfId="15388"/>
    <cellStyle name="Note 2 2 13 3 2" xfId="35456"/>
    <cellStyle name="Note 2 2 13 4" xfId="27188"/>
    <cellStyle name="Note 2 2 14" xfId="6995"/>
    <cellStyle name="Note 2 2 14 2" xfId="6996"/>
    <cellStyle name="Note 2 2 14 2 2" xfId="20514"/>
    <cellStyle name="Note 2 2 14 2 2 2" xfId="40582"/>
    <cellStyle name="Note 2 2 14 2 3" xfId="27191"/>
    <cellStyle name="Note 2 2 14 3" xfId="15996"/>
    <cellStyle name="Note 2 2 14 3 2" xfId="36064"/>
    <cellStyle name="Note 2 2 14 4" xfId="27190"/>
    <cellStyle name="Note 2 2 15" xfId="6997"/>
    <cellStyle name="Note 2 2 15 2" xfId="6998"/>
    <cellStyle name="Note 2 2 15 2 2" xfId="20515"/>
    <cellStyle name="Note 2 2 15 2 2 2" xfId="40583"/>
    <cellStyle name="Note 2 2 15 2 3" xfId="27193"/>
    <cellStyle name="Note 2 2 15 3" xfId="16299"/>
    <cellStyle name="Note 2 2 15 3 2" xfId="36367"/>
    <cellStyle name="Note 2 2 15 4" xfId="27192"/>
    <cellStyle name="Note 2 2 16" xfId="6999"/>
    <cellStyle name="Note 2 2 16 2" xfId="7000"/>
    <cellStyle name="Note 2 2 16 2 2" xfId="20516"/>
    <cellStyle name="Note 2 2 16 2 2 2" xfId="40584"/>
    <cellStyle name="Note 2 2 16 2 3" xfId="27195"/>
    <cellStyle name="Note 2 2 16 3" xfId="16114"/>
    <cellStyle name="Note 2 2 16 3 2" xfId="36182"/>
    <cellStyle name="Note 2 2 16 4" xfId="27194"/>
    <cellStyle name="Note 2 2 17" xfId="7001"/>
    <cellStyle name="Note 2 2 17 2" xfId="7002"/>
    <cellStyle name="Note 2 2 17 2 2" xfId="20517"/>
    <cellStyle name="Note 2 2 17 2 2 2" xfId="40585"/>
    <cellStyle name="Note 2 2 17 2 3" xfId="27197"/>
    <cellStyle name="Note 2 2 17 3" xfId="15513"/>
    <cellStyle name="Note 2 2 17 3 2" xfId="35581"/>
    <cellStyle name="Note 2 2 17 4" xfId="27196"/>
    <cellStyle name="Note 2 2 18" xfId="7003"/>
    <cellStyle name="Note 2 2 18 2" xfId="7004"/>
    <cellStyle name="Note 2 2 18 2 2" xfId="20518"/>
    <cellStyle name="Note 2 2 18 2 2 2" xfId="40586"/>
    <cellStyle name="Note 2 2 18 2 3" xfId="27199"/>
    <cellStyle name="Note 2 2 18 3" xfId="17181"/>
    <cellStyle name="Note 2 2 18 3 2" xfId="37249"/>
    <cellStyle name="Note 2 2 18 4" xfId="27198"/>
    <cellStyle name="Note 2 2 19" xfId="7005"/>
    <cellStyle name="Note 2 2 19 2" xfId="7006"/>
    <cellStyle name="Note 2 2 19 2 2" xfId="20519"/>
    <cellStyle name="Note 2 2 19 2 2 2" xfId="40587"/>
    <cellStyle name="Note 2 2 19 2 3" xfId="27201"/>
    <cellStyle name="Note 2 2 19 3" xfId="17681"/>
    <cellStyle name="Note 2 2 19 3 2" xfId="37749"/>
    <cellStyle name="Note 2 2 19 4" xfId="27200"/>
    <cellStyle name="Note 2 2 2" xfId="7007"/>
    <cellStyle name="Note 2 2 2 10" xfId="7008"/>
    <cellStyle name="Note 2 2 2 10 2" xfId="7009"/>
    <cellStyle name="Note 2 2 2 10 2 2" xfId="20521"/>
    <cellStyle name="Note 2 2 2 10 2 2 2" xfId="40589"/>
    <cellStyle name="Note 2 2 2 10 2 3" xfId="27204"/>
    <cellStyle name="Note 2 2 2 10 3" xfId="16439"/>
    <cellStyle name="Note 2 2 2 10 3 2" xfId="36507"/>
    <cellStyle name="Note 2 2 2 10 4" xfId="27203"/>
    <cellStyle name="Note 2 2 2 11" xfId="7010"/>
    <cellStyle name="Note 2 2 2 11 2" xfId="7011"/>
    <cellStyle name="Note 2 2 2 11 2 2" xfId="20522"/>
    <cellStyle name="Note 2 2 2 11 2 2 2" xfId="40590"/>
    <cellStyle name="Note 2 2 2 11 2 3" xfId="27206"/>
    <cellStyle name="Note 2 2 2 11 3" xfId="15793"/>
    <cellStyle name="Note 2 2 2 11 3 2" xfId="35861"/>
    <cellStyle name="Note 2 2 2 11 4" xfId="27205"/>
    <cellStyle name="Note 2 2 2 12" xfId="7012"/>
    <cellStyle name="Note 2 2 2 12 2" xfId="7013"/>
    <cellStyle name="Note 2 2 2 12 2 2" xfId="20523"/>
    <cellStyle name="Note 2 2 2 12 2 2 2" xfId="40591"/>
    <cellStyle name="Note 2 2 2 12 2 3" xfId="27208"/>
    <cellStyle name="Note 2 2 2 12 3" xfId="15997"/>
    <cellStyle name="Note 2 2 2 12 3 2" xfId="36065"/>
    <cellStyle name="Note 2 2 2 12 4" xfId="27207"/>
    <cellStyle name="Note 2 2 2 13" xfId="7014"/>
    <cellStyle name="Note 2 2 2 13 2" xfId="7015"/>
    <cellStyle name="Note 2 2 2 13 2 2" xfId="20524"/>
    <cellStyle name="Note 2 2 2 13 2 2 2" xfId="40592"/>
    <cellStyle name="Note 2 2 2 13 2 3" xfId="27210"/>
    <cellStyle name="Note 2 2 2 13 3" xfId="15717"/>
    <cellStyle name="Note 2 2 2 13 3 2" xfId="35785"/>
    <cellStyle name="Note 2 2 2 13 4" xfId="27209"/>
    <cellStyle name="Note 2 2 2 14" xfId="7016"/>
    <cellStyle name="Note 2 2 2 14 2" xfId="7017"/>
    <cellStyle name="Note 2 2 2 14 2 2" xfId="20525"/>
    <cellStyle name="Note 2 2 2 14 2 2 2" xfId="40593"/>
    <cellStyle name="Note 2 2 2 14 2 3" xfId="27212"/>
    <cellStyle name="Note 2 2 2 14 3" xfId="15954"/>
    <cellStyle name="Note 2 2 2 14 3 2" xfId="36022"/>
    <cellStyle name="Note 2 2 2 14 4" xfId="27211"/>
    <cellStyle name="Note 2 2 2 15" xfId="7018"/>
    <cellStyle name="Note 2 2 2 15 2" xfId="7019"/>
    <cellStyle name="Note 2 2 2 15 2 2" xfId="20526"/>
    <cellStyle name="Note 2 2 2 15 2 2 2" xfId="40594"/>
    <cellStyle name="Note 2 2 2 15 2 3" xfId="27214"/>
    <cellStyle name="Note 2 2 2 15 3" xfId="15512"/>
    <cellStyle name="Note 2 2 2 15 3 2" xfId="35580"/>
    <cellStyle name="Note 2 2 2 15 4" xfId="27213"/>
    <cellStyle name="Note 2 2 2 16" xfId="7020"/>
    <cellStyle name="Note 2 2 2 16 2" xfId="7021"/>
    <cellStyle name="Note 2 2 2 16 2 2" xfId="20527"/>
    <cellStyle name="Note 2 2 2 16 2 2 2" xfId="40595"/>
    <cellStyle name="Note 2 2 2 16 2 3" xfId="27216"/>
    <cellStyle name="Note 2 2 2 16 3" xfId="15526"/>
    <cellStyle name="Note 2 2 2 16 3 2" xfId="35594"/>
    <cellStyle name="Note 2 2 2 16 4" xfId="27215"/>
    <cellStyle name="Note 2 2 2 17" xfId="7022"/>
    <cellStyle name="Note 2 2 2 17 2" xfId="7023"/>
    <cellStyle name="Note 2 2 2 17 2 2" xfId="20528"/>
    <cellStyle name="Note 2 2 2 17 2 2 2" xfId="40596"/>
    <cellStyle name="Note 2 2 2 17 2 3" xfId="27218"/>
    <cellStyle name="Note 2 2 2 17 3" xfId="16896"/>
    <cellStyle name="Note 2 2 2 17 3 2" xfId="36964"/>
    <cellStyle name="Note 2 2 2 17 4" xfId="27217"/>
    <cellStyle name="Note 2 2 2 18" xfId="7024"/>
    <cellStyle name="Note 2 2 2 18 2" xfId="7025"/>
    <cellStyle name="Note 2 2 2 18 2 2" xfId="20529"/>
    <cellStyle name="Note 2 2 2 18 2 2 2" xfId="40597"/>
    <cellStyle name="Note 2 2 2 18 2 3" xfId="27220"/>
    <cellStyle name="Note 2 2 2 18 3" xfId="17608"/>
    <cellStyle name="Note 2 2 2 18 3 2" xfId="37676"/>
    <cellStyle name="Note 2 2 2 18 4" xfId="27219"/>
    <cellStyle name="Note 2 2 2 19" xfId="7026"/>
    <cellStyle name="Note 2 2 2 19 2" xfId="7027"/>
    <cellStyle name="Note 2 2 2 19 2 2" xfId="20530"/>
    <cellStyle name="Note 2 2 2 19 2 2 2" xfId="40598"/>
    <cellStyle name="Note 2 2 2 19 2 3" xfId="27222"/>
    <cellStyle name="Note 2 2 2 19 3" xfId="15588"/>
    <cellStyle name="Note 2 2 2 19 3 2" xfId="35656"/>
    <cellStyle name="Note 2 2 2 19 4" xfId="27221"/>
    <cellStyle name="Note 2 2 2 2" xfId="7028"/>
    <cellStyle name="Note 2 2 2 2 10" xfId="7029"/>
    <cellStyle name="Note 2 2 2 2 10 2" xfId="7030"/>
    <cellStyle name="Note 2 2 2 2 10 2 2" xfId="20532"/>
    <cellStyle name="Note 2 2 2 2 10 2 2 2" xfId="40600"/>
    <cellStyle name="Note 2 2 2 2 10 2 3" xfId="27225"/>
    <cellStyle name="Note 2 2 2 2 10 3" xfId="16939"/>
    <cellStyle name="Note 2 2 2 2 10 3 2" xfId="37007"/>
    <cellStyle name="Note 2 2 2 2 10 4" xfId="27224"/>
    <cellStyle name="Note 2 2 2 2 11" xfId="7031"/>
    <cellStyle name="Note 2 2 2 2 11 2" xfId="7032"/>
    <cellStyle name="Note 2 2 2 2 11 2 2" xfId="20533"/>
    <cellStyle name="Note 2 2 2 2 11 2 2 2" xfId="40601"/>
    <cellStyle name="Note 2 2 2 2 11 2 3" xfId="27227"/>
    <cellStyle name="Note 2 2 2 2 11 3" xfId="17084"/>
    <cellStyle name="Note 2 2 2 2 11 3 2" xfId="37152"/>
    <cellStyle name="Note 2 2 2 2 11 4" xfId="27226"/>
    <cellStyle name="Note 2 2 2 2 12" xfId="7033"/>
    <cellStyle name="Note 2 2 2 2 12 2" xfId="7034"/>
    <cellStyle name="Note 2 2 2 2 12 2 2" xfId="20534"/>
    <cellStyle name="Note 2 2 2 2 12 2 2 2" xfId="40602"/>
    <cellStyle name="Note 2 2 2 2 12 2 3" xfId="27229"/>
    <cellStyle name="Note 2 2 2 2 12 3" xfId="17256"/>
    <cellStyle name="Note 2 2 2 2 12 3 2" xfId="37324"/>
    <cellStyle name="Note 2 2 2 2 12 4" xfId="27228"/>
    <cellStyle name="Note 2 2 2 2 13" xfId="7035"/>
    <cellStyle name="Note 2 2 2 2 13 2" xfId="7036"/>
    <cellStyle name="Note 2 2 2 2 13 2 2" xfId="20535"/>
    <cellStyle name="Note 2 2 2 2 13 2 2 2" xfId="40603"/>
    <cellStyle name="Note 2 2 2 2 13 2 3" xfId="27231"/>
    <cellStyle name="Note 2 2 2 2 13 3" xfId="17420"/>
    <cellStyle name="Note 2 2 2 2 13 3 2" xfId="37488"/>
    <cellStyle name="Note 2 2 2 2 13 4" xfId="27230"/>
    <cellStyle name="Note 2 2 2 2 14" xfId="7037"/>
    <cellStyle name="Note 2 2 2 2 14 2" xfId="7038"/>
    <cellStyle name="Note 2 2 2 2 14 2 2" xfId="20536"/>
    <cellStyle name="Note 2 2 2 2 14 2 2 2" xfId="40604"/>
    <cellStyle name="Note 2 2 2 2 14 2 3" xfId="27233"/>
    <cellStyle name="Note 2 2 2 2 14 3" xfId="17546"/>
    <cellStyle name="Note 2 2 2 2 14 3 2" xfId="37614"/>
    <cellStyle name="Note 2 2 2 2 14 4" xfId="27232"/>
    <cellStyle name="Note 2 2 2 2 15" xfId="7039"/>
    <cellStyle name="Note 2 2 2 2 15 2" xfId="7040"/>
    <cellStyle name="Note 2 2 2 2 15 2 2" xfId="20537"/>
    <cellStyle name="Note 2 2 2 2 15 2 2 2" xfId="40605"/>
    <cellStyle name="Note 2 2 2 2 15 2 3" xfId="27235"/>
    <cellStyle name="Note 2 2 2 2 15 3" xfId="16242"/>
    <cellStyle name="Note 2 2 2 2 15 3 2" xfId="36310"/>
    <cellStyle name="Note 2 2 2 2 15 4" xfId="27234"/>
    <cellStyle name="Note 2 2 2 2 16" xfId="7041"/>
    <cellStyle name="Note 2 2 2 2 16 2" xfId="7042"/>
    <cellStyle name="Note 2 2 2 2 16 2 2" xfId="20538"/>
    <cellStyle name="Note 2 2 2 2 16 2 2 2" xfId="40606"/>
    <cellStyle name="Note 2 2 2 2 16 2 3" xfId="27237"/>
    <cellStyle name="Note 2 2 2 2 16 3" xfId="17796"/>
    <cellStyle name="Note 2 2 2 2 16 3 2" xfId="37864"/>
    <cellStyle name="Note 2 2 2 2 16 4" xfId="27236"/>
    <cellStyle name="Note 2 2 2 2 17" xfId="7043"/>
    <cellStyle name="Note 2 2 2 2 17 2" xfId="7044"/>
    <cellStyle name="Note 2 2 2 2 17 2 2" xfId="20539"/>
    <cellStyle name="Note 2 2 2 2 17 2 2 2" xfId="40607"/>
    <cellStyle name="Note 2 2 2 2 17 2 3" xfId="27239"/>
    <cellStyle name="Note 2 2 2 2 17 3" xfId="17934"/>
    <cellStyle name="Note 2 2 2 2 17 3 2" xfId="38002"/>
    <cellStyle name="Note 2 2 2 2 17 4" xfId="27238"/>
    <cellStyle name="Note 2 2 2 2 18" xfId="7045"/>
    <cellStyle name="Note 2 2 2 2 18 2" xfId="7046"/>
    <cellStyle name="Note 2 2 2 2 18 2 2" xfId="20540"/>
    <cellStyle name="Note 2 2 2 2 18 2 2 2" xfId="40608"/>
    <cellStyle name="Note 2 2 2 2 18 2 3" xfId="27241"/>
    <cellStyle name="Note 2 2 2 2 18 3" xfId="18073"/>
    <cellStyle name="Note 2 2 2 2 18 3 2" xfId="38141"/>
    <cellStyle name="Note 2 2 2 2 18 4" xfId="27240"/>
    <cellStyle name="Note 2 2 2 2 19" xfId="7047"/>
    <cellStyle name="Note 2 2 2 2 19 2" xfId="7048"/>
    <cellStyle name="Note 2 2 2 2 19 2 2" xfId="20541"/>
    <cellStyle name="Note 2 2 2 2 19 2 2 2" xfId="40609"/>
    <cellStyle name="Note 2 2 2 2 19 2 3" xfId="27243"/>
    <cellStyle name="Note 2 2 2 2 19 3" xfId="18191"/>
    <cellStyle name="Note 2 2 2 2 19 3 2" xfId="38259"/>
    <cellStyle name="Note 2 2 2 2 19 4" xfId="27242"/>
    <cellStyle name="Note 2 2 2 2 2" xfId="7049"/>
    <cellStyle name="Note 2 2 2 2 2 2" xfId="7050"/>
    <cellStyle name="Note 2 2 2 2 2 2 2" xfId="20542"/>
    <cellStyle name="Note 2 2 2 2 2 2 2 2" xfId="40610"/>
    <cellStyle name="Note 2 2 2 2 2 2 3" xfId="27245"/>
    <cellStyle name="Note 2 2 2 2 2 3" xfId="14659"/>
    <cellStyle name="Note 2 2 2 2 2 3 2" xfId="34727"/>
    <cellStyle name="Note 2 2 2 2 2 4" xfId="27244"/>
    <cellStyle name="Note 2 2 2 2 20" xfId="7051"/>
    <cellStyle name="Note 2 2 2 2 20 2" xfId="7052"/>
    <cellStyle name="Note 2 2 2 2 20 2 2" xfId="20543"/>
    <cellStyle name="Note 2 2 2 2 20 2 2 2" xfId="40611"/>
    <cellStyle name="Note 2 2 2 2 20 2 3" xfId="27247"/>
    <cellStyle name="Note 2 2 2 2 20 3" xfId="15598"/>
    <cellStyle name="Note 2 2 2 2 20 3 2" xfId="35666"/>
    <cellStyle name="Note 2 2 2 2 20 4" xfId="27246"/>
    <cellStyle name="Note 2 2 2 2 21" xfId="7053"/>
    <cellStyle name="Note 2 2 2 2 21 2" xfId="7054"/>
    <cellStyle name="Note 2 2 2 2 21 2 2" xfId="20544"/>
    <cellStyle name="Note 2 2 2 2 21 2 2 2" xfId="40612"/>
    <cellStyle name="Note 2 2 2 2 21 2 3" xfId="27249"/>
    <cellStyle name="Note 2 2 2 2 21 3" xfId="18396"/>
    <cellStyle name="Note 2 2 2 2 21 3 2" xfId="38464"/>
    <cellStyle name="Note 2 2 2 2 21 4" xfId="27248"/>
    <cellStyle name="Note 2 2 2 2 22" xfId="7055"/>
    <cellStyle name="Note 2 2 2 2 22 2" xfId="7056"/>
    <cellStyle name="Note 2 2 2 2 22 2 2" xfId="20545"/>
    <cellStyle name="Note 2 2 2 2 22 2 2 2" xfId="40613"/>
    <cellStyle name="Note 2 2 2 2 22 2 3" xfId="27251"/>
    <cellStyle name="Note 2 2 2 2 22 3" xfId="18529"/>
    <cellStyle name="Note 2 2 2 2 22 3 2" xfId="38597"/>
    <cellStyle name="Note 2 2 2 2 22 4" xfId="27250"/>
    <cellStyle name="Note 2 2 2 2 23" xfId="7057"/>
    <cellStyle name="Note 2 2 2 2 23 2" xfId="7058"/>
    <cellStyle name="Note 2 2 2 2 23 2 2" xfId="20546"/>
    <cellStyle name="Note 2 2 2 2 23 2 2 2" xfId="40614"/>
    <cellStyle name="Note 2 2 2 2 23 2 3" xfId="27253"/>
    <cellStyle name="Note 2 2 2 2 23 3" xfId="18640"/>
    <cellStyle name="Note 2 2 2 2 23 3 2" xfId="38708"/>
    <cellStyle name="Note 2 2 2 2 23 4" xfId="27252"/>
    <cellStyle name="Note 2 2 2 2 24" xfId="7059"/>
    <cellStyle name="Note 2 2 2 2 24 2" xfId="7060"/>
    <cellStyle name="Note 2 2 2 2 24 2 2" xfId="20547"/>
    <cellStyle name="Note 2 2 2 2 24 2 2 2" xfId="40615"/>
    <cellStyle name="Note 2 2 2 2 24 2 3" xfId="27255"/>
    <cellStyle name="Note 2 2 2 2 24 3" xfId="18740"/>
    <cellStyle name="Note 2 2 2 2 24 3 2" xfId="38808"/>
    <cellStyle name="Note 2 2 2 2 24 4" xfId="27254"/>
    <cellStyle name="Note 2 2 2 2 25" xfId="7061"/>
    <cellStyle name="Note 2 2 2 2 25 2" xfId="7062"/>
    <cellStyle name="Note 2 2 2 2 25 2 2" xfId="20548"/>
    <cellStyle name="Note 2 2 2 2 25 2 2 2" xfId="40616"/>
    <cellStyle name="Note 2 2 2 2 25 2 3" xfId="27257"/>
    <cellStyle name="Note 2 2 2 2 25 3" xfId="18840"/>
    <cellStyle name="Note 2 2 2 2 25 3 2" xfId="38908"/>
    <cellStyle name="Note 2 2 2 2 25 4" xfId="27256"/>
    <cellStyle name="Note 2 2 2 2 26" xfId="7063"/>
    <cellStyle name="Note 2 2 2 2 26 2" xfId="20531"/>
    <cellStyle name="Note 2 2 2 2 26 2 2" xfId="40599"/>
    <cellStyle name="Note 2 2 2 2 26 3" xfId="27258"/>
    <cellStyle name="Note 2 2 2 2 27" xfId="14136"/>
    <cellStyle name="Note 2 2 2 2 27 2" xfId="34204"/>
    <cellStyle name="Note 2 2 2 2 28" xfId="27223"/>
    <cellStyle name="Note 2 2 2 2 3" xfId="7064"/>
    <cellStyle name="Note 2 2 2 2 3 2" xfId="7065"/>
    <cellStyle name="Note 2 2 2 2 3 2 2" xfId="20549"/>
    <cellStyle name="Note 2 2 2 2 3 2 2 2" xfId="40617"/>
    <cellStyle name="Note 2 2 2 2 3 2 3" xfId="27260"/>
    <cellStyle name="Note 2 2 2 2 3 3" xfId="14783"/>
    <cellStyle name="Note 2 2 2 2 3 3 2" xfId="34851"/>
    <cellStyle name="Note 2 2 2 2 3 4" xfId="27259"/>
    <cellStyle name="Note 2 2 2 2 4" xfId="7066"/>
    <cellStyle name="Note 2 2 2 2 4 2" xfId="7067"/>
    <cellStyle name="Note 2 2 2 2 4 2 2" xfId="20550"/>
    <cellStyle name="Note 2 2 2 2 4 2 2 2" xfId="40618"/>
    <cellStyle name="Note 2 2 2 2 4 2 3" xfId="27262"/>
    <cellStyle name="Note 2 2 2 2 4 3" xfId="14908"/>
    <cellStyle name="Note 2 2 2 2 4 3 2" xfId="34976"/>
    <cellStyle name="Note 2 2 2 2 4 4" xfId="27261"/>
    <cellStyle name="Note 2 2 2 2 5" xfId="7068"/>
    <cellStyle name="Note 2 2 2 2 5 2" xfId="7069"/>
    <cellStyle name="Note 2 2 2 2 5 2 2" xfId="20551"/>
    <cellStyle name="Note 2 2 2 2 5 2 2 2" xfId="40619"/>
    <cellStyle name="Note 2 2 2 2 5 2 3" xfId="27264"/>
    <cellStyle name="Note 2 2 2 2 5 3" xfId="15077"/>
    <cellStyle name="Note 2 2 2 2 5 3 2" xfId="35145"/>
    <cellStyle name="Note 2 2 2 2 5 4" xfId="27263"/>
    <cellStyle name="Note 2 2 2 2 6" xfId="7070"/>
    <cellStyle name="Note 2 2 2 2 6 2" xfId="7071"/>
    <cellStyle name="Note 2 2 2 2 6 2 2" xfId="20552"/>
    <cellStyle name="Note 2 2 2 2 6 2 2 2" xfId="40620"/>
    <cellStyle name="Note 2 2 2 2 6 2 3" xfId="27266"/>
    <cellStyle name="Note 2 2 2 2 6 3" xfId="15010"/>
    <cellStyle name="Note 2 2 2 2 6 3 2" xfId="35078"/>
    <cellStyle name="Note 2 2 2 2 6 4" xfId="27265"/>
    <cellStyle name="Note 2 2 2 2 7" xfId="7072"/>
    <cellStyle name="Note 2 2 2 2 7 2" xfId="7073"/>
    <cellStyle name="Note 2 2 2 2 7 2 2" xfId="20553"/>
    <cellStyle name="Note 2 2 2 2 7 2 2 2" xfId="40621"/>
    <cellStyle name="Note 2 2 2 2 7 2 3" xfId="27268"/>
    <cellStyle name="Note 2 2 2 2 7 3" xfId="15209"/>
    <cellStyle name="Note 2 2 2 2 7 3 2" xfId="35277"/>
    <cellStyle name="Note 2 2 2 2 7 4" xfId="27267"/>
    <cellStyle name="Note 2 2 2 2 8" xfId="7074"/>
    <cellStyle name="Note 2 2 2 2 8 2" xfId="7075"/>
    <cellStyle name="Note 2 2 2 2 8 2 2" xfId="20554"/>
    <cellStyle name="Note 2 2 2 2 8 2 2 2" xfId="40622"/>
    <cellStyle name="Note 2 2 2 2 8 2 3" xfId="27270"/>
    <cellStyle name="Note 2 2 2 2 8 3" xfId="16574"/>
    <cellStyle name="Note 2 2 2 2 8 3 2" xfId="36642"/>
    <cellStyle name="Note 2 2 2 2 8 4" xfId="27269"/>
    <cellStyle name="Note 2 2 2 2 9" xfId="7076"/>
    <cellStyle name="Note 2 2 2 2 9 2" xfId="7077"/>
    <cellStyle name="Note 2 2 2 2 9 2 2" xfId="20555"/>
    <cellStyle name="Note 2 2 2 2 9 2 2 2" xfId="40623"/>
    <cellStyle name="Note 2 2 2 2 9 2 3" xfId="27272"/>
    <cellStyle name="Note 2 2 2 2 9 3" xfId="16778"/>
    <cellStyle name="Note 2 2 2 2 9 3 2" xfId="36846"/>
    <cellStyle name="Note 2 2 2 2 9 4" xfId="27271"/>
    <cellStyle name="Note 2 2 2 20" xfId="7078"/>
    <cellStyle name="Note 2 2 2 20 2" xfId="7079"/>
    <cellStyle name="Note 2 2 2 20 2 2" xfId="20556"/>
    <cellStyle name="Note 2 2 2 20 2 2 2" xfId="40624"/>
    <cellStyle name="Note 2 2 2 20 2 3" xfId="27274"/>
    <cellStyle name="Note 2 2 2 20 3" xfId="16108"/>
    <cellStyle name="Note 2 2 2 20 3 2" xfId="36176"/>
    <cellStyle name="Note 2 2 2 20 4" xfId="27273"/>
    <cellStyle name="Note 2 2 2 21" xfId="7080"/>
    <cellStyle name="Note 2 2 2 21 2" xfId="7081"/>
    <cellStyle name="Note 2 2 2 21 2 2" xfId="20557"/>
    <cellStyle name="Note 2 2 2 21 2 2 2" xfId="40625"/>
    <cellStyle name="Note 2 2 2 21 2 3" xfId="27276"/>
    <cellStyle name="Note 2 2 2 21 3" xfId="17207"/>
    <cellStyle name="Note 2 2 2 21 3 2" xfId="37275"/>
    <cellStyle name="Note 2 2 2 21 4" xfId="27275"/>
    <cellStyle name="Note 2 2 2 22" xfId="7082"/>
    <cellStyle name="Note 2 2 2 22 2" xfId="7083"/>
    <cellStyle name="Note 2 2 2 22 2 2" xfId="20558"/>
    <cellStyle name="Note 2 2 2 22 2 2 2" xfId="40626"/>
    <cellStyle name="Note 2 2 2 22 2 3" xfId="27278"/>
    <cellStyle name="Note 2 2 2 22 3" xfId="15620"/>
    <cellStyle name="Note 2 2 2 22 3 2" xfId="35688"/>
    <cellStyle name="Note 2 2 2 22 4" xfId="27277"/>
    <cellStyle name="Note 2 2 2 23" xfId="7084"/>
    <cellStyle name="Note 2 2 2 23 2" xfId="7085"/>
    <cellStyle name="Note 2 2 2 23 2 2" xfId="20559"/>
    <cellStyle name="Note 2 2 2 23 2 2 2" xfId="40627"/>
    <cellStyle name="Note 2 2 2 23 2 3" xfId="27280"/>
    <cellStyle name="Note 2 2 2 23 3" xfId="15967"/>
    <cellStyle name="Note 2 2 2 23 3 2" xfId="36035"/>
    <cellStyle name="Note 2 2 2 23 4" xfId="27279"/>
    <cellStyle name="Note 2 2 2 24" xfId="7086"/>
    <cellStyle name="Note 2 2 2 24 2" xfId="7087"/>
    <cellStyle name="Note 2 2 2 24 2 2" xfId="20560"/>
    <cellStyle name="Note 2 2 2 24 2 2 2" xfId="40628"/>
    <cellStyle name="Note 2 2 2 24 2 3" xfId="27282"/>
    <cellStyle name="Note 2 2 2 24 3" xfId="15901"/>
    <cellStyle name="Note 2 2 2 24 3 2" xfId="35969"/>
    <cellStyle name="Note 2 2 2 24 4" xfId="27281"/>
    <cellStyle name="Note 2 2 2 25" xfId="7088"/>
    <cellStyle name="Note 2 2 2 25 2" xfId="7089"/>
    <cellStyle name="Note 2 2 2 25 2 2" xfId="20561"/>
    <cellStyle name="Note 2 2 2 25 2 2 2" xfId="40629"/>
    <cellStyle name="Note 2 2 2 25 2 3" xfId="27284"/>
    <cellStyle name="Note 2 2 2 25 3" xfId="17203"/>
    <cellStyle name="Note 2 2 2 25 3 2" xfId="37271"/>
    <cellStyle name="Note 2 2 2 25 4" xfId="27283"/>
    <cellStyle name="Note 2 2 2 26" xfId="7090"/>
    <cellStyle name="Note 2 2 2 26 2" xfId="7091"/>
    <cellStyle name="Note 2 2 2 26 2 2" xfId="20562"/>
    <cellStyle name="Note 2 2 2 26 2 2 2" xfId="40630"/>
    <cellStyle name="Note 2 2 2 26 2 3" xfId="27286"/>
    <cellStyle name="Note 2 2 2 26 3" xfId="15693"/>
    <cellStyle name="Note 2 2 2 26 3 2" xfId="35761"/>
    <cellStyle name="Note 2 2 2 26 4" xfId="27285"/>
    <cellStyle name="Note 2 2 2 27" xfId="7092"/>
    <cellStyle name="Note 2 2 2 27 2" xfId="7093"/>
    <cellStyle name="Note 2 2 2 27 2 2" xfId="20563"/>
    <cellStyle name="Note 2 2 2 27 2 2 2" xfId="40631"/>
    <cellStyle name="Note 2 2 2 27 2 3" xfId="27288"/>
    <cellStyle name="Note 2 2 2 27 3" xfId="15470"/>
    <cellStyle name="Note 2 2 2 27 3 2" xfId="35538"/>
    <cellStyle name="Note 2 2 2 27 4" xfId="27287"/>
    <cellStyle name="Note 2 2 2 28" xfId="7094"/>
    <cellStyle name="Note 2 2 2 28 2" xfId="20520"/>
    <cellStyle name="Note 2 2 2 28 2 2" xfId="40588"/>
    <cellStyle name="Note 2 2 2 28 3" xfId="27289"/>
    <cellStyle name="Note 2 2 2 29" xfId="13890"/>
    <cellStyle name="Note 2 2 2 29 2" xfId="33958"/>
    <cellStyle name="Note 2 2 2 3" xfId="7095"/>
    <cellStyle name="Note 2 2 2 3 2" xfId="7096"/>
    <cellStyle name="Note 2 2 2 3 2 2" xfId="20564"/>
    <cellStyle name="Note 2 2 2 3 2 2 2" xfId="40632"/>
    <cellStyle name="Note 2 2 2 3 2 3" xfId="27291"/>
    <cellStyle name="Note 2 2 2 3 3" xfId="14609"/>
    <cellStyle name="Note 2 2 2 3 3 2" xfId="34677"/>
    <cellStyle name="Note 2 2 2 3 4" xfId="27290"/>
    <cellStyle name="Note 2 2 2 30" xfId="27202"/>
    <cellStyle name="Note 2 2 2 4" xfId="7097"/>
    <cellStyle name="Note 2 2 2 4 2" xfId="7098"/>
    <cellStyle name="Note 2 2 2 4 2 2" xfId="20565"/>
    <cellStyle name="Note 2 2 2 4 2 2 2" xfId="40633"/>
    <cellStyle name="Note 2 2 2 4 2 3" xfId="27293"/>
    <cellStyle name="Note 2 2 2 4 3" xfId="14089"/>
    <cellStyle name="Note 2 2 2 4 3 2" xfId="34157"/>
    <cellStyle name="Note 2 2 2 4 4" xfId="27292"/>
    <cellStyle name="Note 2 2 2 5" xfId="7099"/>
    <cellStyle name="Note 2 2 2 5 2" xfId="7100"/>
    <cellStyle name="Note 2 2 2 5 2 2" xfId="20566"/>
    <cellStyle name="Note 2 2 2 5 2 2 2" xfId="40634"/>
    <cellStyle name="Note 2 2 2 5 2 3" xfId="27295"/>
    <cellStyle name="Note 2 2 2 5 3" xfId="14339"/>
    <cellStyle name="Note 2 2 2 5 3 2" xfId="34407"/>
    <cellStyle name="Note 2 2 2 5 4" xfId="27294"/>
    <cellStyle name="Note 2 2 2 6" xfId="7101"/>
    <cellStyle name="Note 2 2 2 6 2" xfId="7102"/>
    <cellStyle name="Note 2 2 2 6 2 2" xfId="20567"/>
    <cellStyle name="Note 2 2 2 6 2 2 2" xfId="40635"/>
    <cellStyle name="Note 2 2 2 6 2 3" xfId="27297"/>
    <cellStyle name="Note 2 2 2 6 3" xfId="14732"/>
    <cellStyle name="Note 2 2 2 6 3 2" xfId="34800"/>
    <cellStyle name="Note 2 2 2 6 4" xfId="27296"/>
    <cellStyle name="Note 2 2 2 7" xfId="7103"/>
    <cellStyle name="Note 2 2 2 7 2" xfId="7104"/>
    <cellStyle name="Note 2 2 2 7 2 2" xfId="20568"/>
    <cellStyle name="Note 2 2 2 7 2 2 2" xfId="40636"/>
    <cellStyle name="Note 2 2 2 7 2 3" xfId="27299"/>
    <cellStyle name="Note 2 2 2 7 3" xfId="14019"/>
    <cellStyle name="Note 2 2 2 7 3 2" xfId="34087"/>
    <cellStyle name="Note 2 2 2 7 4" xfId="27298"/>
    <cellStyle name="Note 2 2 2 8" xfId="7105"/>
    <cellStyle name="Note 2 2 2 8 2" xfId="7106"/>
    <cellStyle name="Note 2 2 2 8 2 2" xfId="20569"/>
    <cellStyle name="Note 2 2 2 8 2 2 2" xfId="40637"/>
    <cellStyle name="Note 2 2 2 8 2 3" xfId="27301"/>
    <cellStyle name="Note 2 2 2 8 3" xfId="14501"/>
    <cellStyle name="Note 2 2 2 8 3 2" xfId="34569"/>
    <cellStyle name="Note 2 2 2 8 4" xfId="27300"/>
    <cellStyle name="Note 2 2 2 9" xfId="7107"/>
    <cellStyle name="Note 2 2 2 9 2" xfId="7108"/>
    <cellStyle name="Note 2 2 2 9 2 2" xfId="20570"/>
    <cellStyle name="Note 2 2 2 9 2 2 2" xfId="40638"/>
    <cellStyle name="Note 2 2 2 9 2 3" xfId="27303"/>
    <cellStyle name="Note 2 2 2 9 3" xfId="15296"/>
    <cellStyle name="Note 2 2 2 9 3 2" xfId="35364"/>
    <cellStyle name="Note 2 2 2 9 4" xfId="27302"/>
    <cellStyle name="Note 2 2 20" xfId="7109"/>
    <cellStyle name="Note 2 2 20 2" xfId="7110"/>
    <cellStyle name="Note 2 2 20 2 2" xfId="20571"/>
    <cellStyle name="Note 2 2 20 2 2 2" xfId="40639"/>
    <cellStyle name="Note 2 2 20 2 3" xfId="27305"/>
    <cellStyle name="Note 2 2 20 3" xfId="17656"/>
    <cellStyle name="Note 2 2 20 3 2" xfId="37724"/>
    <cellStyle name="Note 2 2 20 4" xfId="27304"/>
    <cellStyle name="Note 2 2 21" xfId="7111"/>
    <cellStyle name="Note 2 2 21 2" xfId="7112"/>
    <cellStyle name="Note 2 2 21 2 2" xfId="20572"/>
    <cellStyle name="Note 2 2 21 2 2 2" xfId="40640"/>
    <cellStyle name="Note 2 2 21 2 3" xfId="27307"/>
    <cellStyle name="Note 2 2 21 3" xfId="15433"/>
    <cellStyle name="Note 2 2 21 3 2" xfId="35501"/>
    <cellStyle name="Note 2 2 21 4" xfId="27306"/>
    <cellStyle name="Note 2 2 22" xfId="7113"/>
    <cellStyle name="Note 2 2 22 2" xfId="7114"/>
    <cellStyle name="Note 2 2 22 2 2" xfId="20573"/>
    <cellStyle name="Note 2 2 22 2 2 2" xfId="40641"/>
    <cellStyle name="Note 2 2 22 2 3" xfId="27309"/>
    <cellStyle name="Note 2 2 22 3" xfId="16402"/>
    <cellStyle name="Note 2 2 22 3 2" xfId="36470"/>
    <cellStyle name="Note 2 2 22 4" xfId="27308"/>
    <cellStyle name="Note 2 2 23" xfId="7115"/>
    <cellStyle name="Note 2 2 23 2" xfId="7116"/>
    <cellStyle name="Note 2 2 23 2 2" xfId="20574"/>
    <cellStyle name="Note 2 2 23 2 2 2" xfId="40642"/>
    <cellStyle name="Note 2 2 23 2 3" xfId="27311"/>
    <cellStyle name="Note 2 2 23 3" xfId="16388"/>
    <cellStyle name="Note 2 2 23 3 2" xfId="36456"/>
    <cellStyle name="Note 2 2 23 4" xfId="27310"/>
    <cellStyle name="Note 2 2 24" xfId="7117"/>
    <cellStyle name="Note 2 2 24 2" xfId="7118"/>
    <cellStyle name="Note 2 2 24 2 2" xfId="20575"/>
    <cellStyle name="Note 2 2 24 2 2 2" xfId="40643"/>
    <cellStyle name="Note 2 2 24 2 3" xfId="27313"/>
    <cellStyle name="Note 2 2 24 3" xfId="15880"/>
    <cellStyle name="Note 2 2 24 3 2" xfId="35948"/>
    <cellStyle name="Note 2 2 24 4" xfId="27312"/>
    <cellStyle name="Note 2 2 25" xfId="7119"/>
    <cellStyle name="Note 2 2 25 2" xfId="7120"/>
    <cellStyle name="Note 2 2 25 2 2" xfId="20576"/>
    <cellStyle name="Note 2 2 25 2 2 2" xfId="40644"/>
    <cellStyle name="Note 2 2 25 2 3" xfId="27315"/>
    <cellStyle name="Note 2 2 25 3" xfId="18307"/>
    <cellStyle name="Note 2 2 25 3 2" xfId="38375"/>
    <cellStyle name="Note 2 2 25 4" xfId="27314"/>
    <cellStyle name="Note 2 2 26" xfId="7121"/>
    <cellStyle name="Note 2 2 26 2" xfId="7122"/>
    <cellStyle name="Note 2 2 26 2 2" xfId="20577"/>
    <cellStyle name="Note 2 2 26 2 2 2" xfId="40645"/>
    <cellStyle name="Note 2 2 26 2 3" xfId="27317"/>
    <cellStyle name="Note 2 2 26 3" xfId="15898"/>
    <cellStyle name="Note 2 2 26 3 2" xfId="35966"/>
    <cellStyle name="Note 2 2 26 4" xfId="27316"/>
    <cellStyle name="Note 2 2 27" xfId="7123"/>
    <cellStyle name="Note 2 2 27 2" xfId="7124"/>
    <cellStyle name="Note 2 2 27 2 2" xfId="20578"/>
    <cellStyle name="Note 2 2 27 2 2 2" xfId="40646"/>
    <cellStyle name="Note 2 2 27 2 3" xfId="27319"/>
    <cellStyle name="Note 2 2 27 3" xfId="18330"/>
    <cellStyle name="Note 2 2 27 3 2" xfId="38398"/>
    <cellStyle name="Note 2 2 27 4" xfId="27318"/>
    <cellStyle name="Note 2 2 28" xfId="7125"/>
    <cellStyle name="Note 2 2 28 2" xfId="7126"/>
    <cellStyle name="Note 2 2 28 2 2" xfId="20579"/>
    <cellStyle name="Note 2 2 28 2 2 2" xfId="40647"/>
    <cellStyle name="Note 2 2 28 2 3" xfId="27321"/>
    <cellStyle name="Note 2 2 28 3" xfId="15599"/>
    <cellStyle name="Note 2 2 28 3 2" xfId="35667"/>
    <cellStyle name="Note 2 2 28 4" xfId="27320"/>
    <cellStyle name="Note 2 2 29" xfId="7127"/>
    <cellStyle name="Note 2 2 29 2" xfId="7128"/>
    <cellStyle name="Note 2 2 29 2 2" xfId="20580"/>
    <cellStyle name="Note 2 2 29 2 2 2" xfId="40648"/>
    <cellStyle name="Note 2 2 29 2 3" xfId="27323"/>
    <cellStyle name="Note 2 2 29 3" xfId="16232"/>
    <cellStyle name="Note 2 2 29 3 2" xfId="36300"/>
    <cellStyle name="Note 2 2 29 4" xfId="27322"/>
    <cellStyle name="Note 2 2 3" xfId="7129"/>
    <cellStyle name="Note 2 2 3 10" xfId="7130"/>
    <cellStyle name="Note 2 2 3 10 2" xfId="7131"/>
    <cellStyle name="Note 2 2 3 10 2 2" xfId="20582"/>
    <cellStyle name="Note 2 2 3 10 2 2 2" xfId="40650"/>
    <cellStyle name="Note 2 2 3 10 2 3" xfId="27326"/>
    <cellStyle name="Note 2 2 3 10 3" xfId="16440"/>
    <cellStyle name="Note 2 2 3 10 3 2" xfId="36508"/>
    <cellStyle name="Note 2 2 3 10 4" xfId="27325"/>
    <cellStyle name="Note 2 2 3 11" xfId="7132"/>
    <cellStyle name="Note 2 2 3 11 2" xfId="7133"/>
    <cellStyle name="Note 2 2 3 11 2 2" xfId="20583"/>
    <cellStyle name="Note 2 2 3 11 2 2 2" xfId="40651"/>
    <cellStyle name="Note 2 2 3 11 2 3" xfId="27328"/>
    <cellStyle name="Note 2 2 3 11 3" xfId="15792"/>
    <cellStyle name="Note 2 2 3 11 3 2" xfId="35860"/>
    <cellStyle name="Note 2 2 3 11 4" xfId="27327"/>
    <cellStyle name="Note 2 2 3 12" xfId="7134"/>
    <cellStyle name="Note 2 2 3 12 2" xfId="7135"/>
    <cellStyle name="Note 2 2 3 12 2 2" xfId="20584"/>
    <cellStyle name="Note 2 2 3 12 2 2 2" xfId="40652"/>
    <cellStyle name="Note 2 2 3 12 2 3" xfId="27330"/>
    <cellStyle name="Note 2 2 3 12 3" xfId="15998"/>
    <cellStyle name="Note 2 2 3 12 3 2" xfId="36066"/>
    <cellStyle name="Note 2 2 3 12 4" xfId="27329"/>
    <cellStyle name="Note 2 2 3 13" xfId="7136"/>
    <cellStyle name="Note 2 2 3 13 2" xfId="7137"/>
    <cellStyle name="Note 2 2 3 13 2 2" xfId="20585"/>
    <cellStyle name="Note 2 2 3 13 2 2 2" xfId="40653"/>
    <cellStyle name="Note 2 2 3 13 2 3" xfId="27332"/>
    <cellStyle name="Note 2 2 3 13 3" xfId="16298"/>
    <cellStyle name="Note 2 2 3 13 3 2" xfId="36366"/>
    <cellStyle name="Note 2 2 3 13 4" xfId="27331"/>
    <cellStyle name="Note 2 2 3 14" xfId="7138"/>
    <cellStyle name="Note 2 2 3 14 2" xfId="7139"/>
    <cellStyle name="Note 2 2 3 14 2 2" xfId="20586"/>
    <cellStyle name="Note 2 2 3 14 2 2 2" xfId="40654"/>
    <cellStyle name="Note 2 2 3 14 2 3" xfId="27334"/>
    <cellStyle name="Note 2 2 3 14 3" xfId="16115"/>
    <cellStyle name="Note 2 2 3 14 3 2" xfId="36183"/>
    <cellStyle name="Note 2 2 3 14 4" xfId="27333"/>
    <cellStyle name="Note 2 2 3 15" xfId="7140"/>
    <cellStyle name="Note 2 2 3 15 2" xfId="7141"/>
    <cellStyle name="Note 2 2 3 15 2 2" xfId="20587"/>
    <cellStyle name="Note 2 2 3 15 2 2 2" xfId="40655"/>
    <cellStyle name="Note 2 2 3 15 2 3" xfId="27336"/>
    <cellStyle name="Note 2 2 3 15 3" xfId="16430"/>
    <cellStyle name="Note 2 2 3 15 3 2" xfId="36498"/>
    <cellStyle name="Note 2 2 3 15 4" xfId="27335"/>
    <cellStyle name="Note 2 2 3 16" xfId="7142"/>
    <cellStyle name="Note 2 2 3 16 2" xfId="7143"/>
    <cellStyle name="Note 2 2 3 16 2 2" xfId="20588"/>
    <cellStyle name="Note 2 2 3 16 2 2 2" xfId="40656"/>
    <cellStyle name="Note 2 2 3 16 2 3" xfId="27338"/>
    <cellStyle name="Note 2 2 3 16 3" xfId="17182"/>
    <cellStyle name="Note 2 2 3 16 3 2" xfId="37250"/>
    <cellStyle name="Note 2 2 3 16 4" xfId="27337"/>
    <cellStyle name="Note 2 2 3 17" xfId="7144"/>
    <cellStyle name="Note 2 2 3 17 2" xfId="7145"/>
    <cellStyle name="Note 2 2 3 17 2 2" xfId="20589"/>
    <cellStyle name="Note 2 2 3 17 2 2 2" xfId="40657"/>
    <cellStyle name="Note 2 2 3 17 2 3" xfId="27340"/>
    <cellStyle name="Note 2 2 3 17 3" xfId="15872"/>
    <cellStyle name="Note 2 2 3 17 3 2" xfId="35940"/>
    <cellStyle name="Note 2 2 3 17 4" xfId="27339"/>
    <cellStyle name="Note 2 2 3 18" xfId="7146"/>
    <cellStyle name="Note 2 2 3 18 2" xfId="7147"/>
    <cellStyle name="Note 2 2 3 18 2 2" xfId="20590"/>
    <cellStyle name="Note 2 2 3 18 2 2 2" xfId="40658"/>
    <cellStyle name="Note 2 2 3 18 2 3" xfId="27342"/>
    <cellStyle name="Note 2 2 3 18 3" xfId="15854"/>
    <cellStyle name="Note 2 2 3 18 3 2" xfId="35922"/>
    <cellStyle name="Note 2 2 3 18 4" xfId="27341"/>
    <cellStyle name="Note 2 2 3 19" xfId="7148"/>
    <cellStyle name="Note 2 2 3 19 2" xfId="7149"/>
    <cellStyle name="Note 2 2 3 19 2 2" xfId="20591"/>
    <cellStyle name="Note 2 2 3 19 2 2 2" xfId="40659"/>
    <cellStyle name="Note 2 2 3 19 2 3" xfId="27344"/>
    <cellStyle name="Note 2 2 3 19 3" xfId="17148"/>
    <cellStyle name="Note 2 2 3 19 3 2" xfId="37216"/>
    <cellStyle name="Note 2 2 3 19 4" xfId="27343"/>
    <cellStyle name="Note 2 2 3 2" xfId="7150"/>
    <cellStyle name="Note 2 2 3 2 10" xfId="7151"/>
    <cellStyle name="Note 2 2 3 2 10 2" xfId="7152"/>
    <cellStyle name="Note 2 2 3 2 10 2 2" xfId="20593"/>
    <cellStyle name="Note 2 2 3 2 10 2 2 2" xfId="40661"/>
    <cellStyle name="Note 2 2 3 2 10 2 3" xfId="27347"/>
    <cellStyle name="Note 2 2 3 2 10 3" xfId="16940"/>
    <cellStyle name="Note 2 2 3 2 10 3 2" xfId="37008"/>
    <cellStyle name="Note 2 2 3 2 10 4" xfId="27346"/>
    <cellStyle name="Note 2 2 3 2 11" xfId="7153"/>
    <cellStyle name="Note 2 2 3 2 11 2" xfId="7154"/>
    <cellStyle name="Note 2 2 3 2 11 2 2" xfId="20594"/>
    <cellStyle name="Note 2 2 3 2 11 2 2 2" xfId="40662"/>
    <cellStyle name="Note 2 2 3 2 11 2 3" xfId="27349"/>
    <cellStyle name="Note 2 2 3 2 11 3" xfId="17085"/>
    <cellStyle name="Note 2 2 3 2 11 3 2" xfId="37153"/>
    <cellStyle name="Note 2 2 3 2 11 4" xfId="27348"/>
    <cellStyle name="Note 2 2 3 2 12" xfId="7155"/>
    <cellStyle name="Note 2 2 3 2 12 2" xfId="7156"/>
    <cellStyle name="Note 2 2 3 2 12 2 2" xfId="20595"/>
    <cellStyle name="Note 2 2 3 2 12 2 2 2" xfId="40663"/>
    <cellStyle name="Note 2 2 3 2 12 2 3" xfId="27351"/>
    <cellStyle name="Note 2 2 3 2 12 3" xfId="17257"/>
    <cellStyle name="Note 2 2 3 2 12 3 2" xfId="37325"/>
    <cellStyle name="Note 2 2 3 2 12 4" xfId="27350"/>
    <cellStyle name="Note 2 2 3 2 13" xfId="7157"/>
    <cellStyle name="Note 2 2 3 2 13 2" xfId="7158"/>
    <cellStyle name="Note 2 2 3 2 13 2 2" xfId="20596"/>
    <cellStyle name="Note 2 2 3 2 13 2 2 2" xfId="40664"/>
    <cellStyle name="Note 2 2 3 2 13 2 3" xfId="27353"/>
    <cellStyle name="Note 2 2 3 2 13 3" xfId="17421"/>
    <cellStyle name="Note 2 2 3 2 13 3 2" xfId="37489"/>
    <cellStyle name="Note 2 2 3 2 13 4" xfId="27352"/>
    <cellStyle name="Note 2 2 3 2 14" xfId="7159"/>
    <cellStyle name="Note 2 2 3 2 14 2" xfId="7160"/>
    <cellStyle name="Note 2 2 3 2 14 2 2" xfId="20597"/>
    <cellStyle name="Note 2 2 3 2 14 2 2 2" xfId="40665"/>
    <cellStyle name="Note 2 2 3 2 14 2 3" xfId="27355"/>
    <cellStyle name="Note 2 2 3 2 14 3" xfId="17547"/>
    <cellStyle name="Note 2 2 3 2 14 3 2" xfId="37615"/>
    <cellStyle name="Note 2 2 3 2 14 4" xfId="27354"/>
    <cellStyle name="Note 2 2 3 2 15" xfId="7161"/>
    <cellStyle name="Note 2 2 3 2 15 2" xfId="7162"/>
    <cellStyle name="Note 2 2 3 2 15 2 2" xfId="20598"/>
    <cellStyle name="Note 2 2 3 2 15 2 2 2" xfId="40666"/>
    <cellStyle name="Note 2 2 3 2 15 2 3" xfId="27357"/>
    <cellStyle name="Note 2 2 3 2 15 3" xfId="15818"/>
    <cellStyle name="Note 2 2 3 2 15 3 2" xfId="35886"/>
    <cellStyle name="Note 2 2 3 2 15 4" xfId="27356"/>
    <cellStyle name="Note 2 2 3 2 16" xfId="7163"/>
    <cellStyle name="Note 2 2 3 2 16 2" xfId="7164"/>
    <cellStyle name="Note 2 2 3 2 16 2 2" xfId="20599"/>
    <cellStyle name="Note 2 2 3 2 16 2 2 2" xfId="40667"/>
    <cellStyle name="Note 2 2 3 2 16 2 3" xfId="27359"/>
    <cellStyle name="Note 2 2 3 2 16 3" xfId="17797"/>
    <cellStyle name="Note 2 2 3 2 16 3 2" xfId="37865"/>
    <cellStyle name="Note 2 2 3 2 16 4" xfId="27358"/>
    <cellStyle name="Note 2 2 3 2 17" xfId="7165"/>
    <cellStyle name="Note 2 2 3 2 17 2" xfId="7166"/>
    <cellStyle name="Note 2 2 3 2 17 2 2" xfId="20600"/>
    <cellStyle name="Note 2 2 3 2 17 2 2 2" xfId="40668"/>
    <cellStyle name="Note 2 2 3 2 17 2 3" xfId="27361"/>
    <cellStyle name="Note 2 2 3 2 17 3" xfId="17935"/>
    <cellStyle name="Note 2 2 3 2 17 3 2" xfId="38003"/>
    <cellStyle name="Note 2 2 3 2 17 4" xfId="27360"/>
    <cellStyle name="Note 2 2 3 2 18" xfId="7167"/>
    <cellStyle name="Note 2 2 3 2 18 2" xfId="7168"/>
    <cellStyle name="Note 2 2 3 2 18 2 2" xfId="20601"/>
    <cellStyle name="Note 2 2 3 2 18 2 2 2" xfId="40669"/>
    <cellStyle name="Note 2 2 3 2 18 2 3" xfId="27363"/>
    <cellStyle name="Note 2 2 3 2 18 3" xfId="18074"/>
    <cellStyle name="Note 2 2 3 2 18 3 2" xfId="38142"/>
    <cellStyle name="Note 2 2 3 2 18 4" xfId="27362"/>
    <cellStyle name="Note 2 2 3 2 19" xfId="7169"/>
    <cellStyle name="Note 2 2 3 2 19 2" xfId="7170"/>
    <cellStyle name="Note 2 2 3 2 19 2 2" xfId="20602"/>
    <cellStyle name="Note 2 2 3 2 19 2 2 2" xfId="40670"/>
    <cellStyle name="Note 2 2 3 2 19 2 3" xfId="27365"/>
    <cellStyle name="Note 2 2 3 2 19 3" xfId="18192"/>
    <cellStyle name="Note 2 2 3 2 19 3 2" xfId="38260"/>
    <cellStyle name="Note 2 2 3 2 19 4" xfId="27364"/>
    <cellStyle name="Note 2 2 3 2 2" xfId="7171"/>
    <cellStyle name="Note 2 2 3 2 2 2" xfId="7172"/>
    <cellStyle name="Note 2 2 3 2 2 2 2" xfId="20603"/>
    <cellStyle name="Note 2 2 3 2 2 2 2 2" xfId="40671"/>
    <cellStyle name="Note 2 2 3 2 2 2 3" xfId="27367"/>
    <cellStyle name="Note 2 2 3 2 2 3" xfId="14660"/>
    <cellStyle name="Note 2 2 3 2 2 3 2" xfId="34728"/>
    <cellStyle name="Note 2 2 3 2 2 4" xfId="27366"/>
    <cellStyle name="Note 2 2 3 2 20" xfId="7173"/>
    <cellStyle name="Note 2 2 3 2 20 2" xfId="7174"/>
    <cellStyle name="Note 2 2 3 2 20 2 2" xfId="20604"/>
    <cellStyle name="Note 2 2 3 2 20 2 2 2" xfId="40672"/>
    <cellStyle name="Note 2 2 3 2 20 2 3" xfId="27369"/>
    <cellStyle name="Note 2 2 3 2 20 3" xfId="18136"/>
    <cellStyle name="Note 2 2 3 2 20 3 2" xfId="38204"/>
    <cellStyle name="Note 2 2 3 2 20 4" xfId="27368"/>
    <cellStyle name="Note 2 2 3 2 21" xfId="7175"/>
    <cellStyle name="Note 2 2 3 2 21 2" xfId="7176"/>
    <cellStyle name="Note 2 2 3 2 21 2 2" xfId="20605"/>
    <cellStyle name="Note 2 2 3 2 21 2 2 2" xfId="40673"/>
    <cellStyle name="Note 2 2 3 2 21 2 3" xfId="27371"/>
    <cellStyle name="Note 2 2 3 2 21 3" xfId="18397"/>
    <cellStyle name="Note 2 2 3 2 21 3 2" xfId="38465"/>
    <cellStyle name="Note 2 2 3 2 21 4" xfId="27370"/>
    <cellStyle name="Note 2 2 3 2 22" xfId="7177"/>
    <cellStyle name="Note 2 2 3 2 22 2" xfId="7178"/>
    <cellStyle name="Note 2 2 3 2 22 2 2" xfId="20606"/>
    <cellStyle name="Note 2 2 3 2 22 2 2 2" xfId="40674"/>
    <cellStyle name="Note 2 2 3 2 22 2 3" xfId="27373"/>
    <cellStyle name="Note 2 2 3 2 22 3" xfId="18530"/>
    <cellStyle name="Note 2 2 3 2 22 3 2" xfId="38598"/>
    <cellStyle name="Note 2 2 3 2 22 4" xfId="27372"/>
    <cellStyle name="Note 2 2 3 2 23" xfId="7179"/>
    <cellStyle name="Note 2 2 3 2 23 2" xfId="7180"/>
    <cellStyle name="Note 2 2 3 2 23 2 2" xfId="20607"/>
    <cellStyle name="Note 2 2 3 2 23 2 2 2" xfId="40675"/>
    <cellStyle name="Note 2 2 3 2 23 2 3" xfId="27375"/>
    <cellStyle name="Note 2 2 3 2 23 3" xfId="18641"/>
    <cellStyle name="Note 2 2 3 2 23 3 2" xfId="38709"/>
    <cellStyle name="Note 2 2 3 2 23 4" xfId="27374"/>
    <cellStyle name="Note 2 2 3 2 24" xfId="7181"/>
    <cellStyle name="Note 2 2 3 2 24 2" xfId="7182"/>
    <cellStyle name="Note 2 2 3 2 24 2 2" xfId="20608"/>
    <cellStyle name="Note 2 2 3 2 24 2 2 2" xfId="40676"/>
    <cellStyle name="Note 2 2 3 2 24 2 3" xfId="27377"/>
    <cellStyle name="Note 2 2 3 2 24 3" xfId="18741"/>
    <cellStyle name="Note 2 2 3 2 24 3 2" xfId="38809"/>
    <cellStyle name="Note 2 2 3 2 24 4" xfId="27376"/>
    <cellStyle name="Note 2 2 3 2 25" xfId="7183"/>
    <cellStyle name="Note 2 2 3 2 25 2" xfId="7184"/>
    <cellStyle name="Note 2 2 3 2 25 2 2" xfId="20609"/>
    <cellStyle name="Note 2 2 3 2 25 2 2 2" xfId="40677"/>
    <cellStyle name="Note 2 2 3 2 25 2 3" xfId="27379"/>
    <cellStyle name="Note 2 2 3 2 25 3" xfId="18841"/>
    <cellStyle name="Note 2 2 3 2 25 3 2" xfId="38909"/>
    <cellStyle name="Note 2 2 3 2 25 4" xfId="27378"/>
    <cellStyle name="Note 2 2 3 2 26" xfId="7185"/>
    <cellStyle name="Note 2 2 3 2 26 2" xfId="20592"/>
    <cellStyle name="Note 2 2 3 2 26 2 2" xfId="40660"/>
    <cellStyle name="Note 2 2 3 2 26 3" xfId="27380"/>
    <cellStyle name="Note 2 2 3 2 27" xfId="14305"/>
    <cellStyle name="Note 2 2 3 2 27 2" xfId="34373"/>
    <cellStyle name="Note 2 2 3 2 28" xfId="27345"/>
    <cellStyle name="Note 2 2 3 2 3" xfId="7186"/>
    <cellStyle name="Note 2 2 3 2 3 2" xfId="7187"/>
    <cellStyle name="Note 2 2 3 2 3 2 2" xfId="20610"/>
    <cellStyle name="Note 2 2 3 2 3 2 2 2" xfId="40678"/>
    <cellStyle name="Note 2 2 3 2 3 2 3" xfId="27382"/>
    <cellStyle name="Note 2 2 3 2 3 3" xfId="14784"/>
    <cellStyle name="Note 2 2 3 2 3 3 2" xfId="34852"/>
    <cellStyle name="Note 2 2 3 2 3 4" xfId="27381"/>
    <cellStyle name="Note 2 2 3 2 4" xfId="7188"/>
    <cellStyle name="Note 2 2 3 2 4 2" xfId="7189"/>
    <cellStyle name="Note 2 2 3 2 4 2 2" xfId="20611"/>
    <cellStyle name="Note 2 2 3 2 4 2 2 2" xfId="40679"/>
    <cellStyle name="Note 2 2 3 2 4 2 3" xfId="27384"/>
    <cellStyle name="Note 2 2 3 2 4 3" xfId="14909"/>
    <cellStyle name="Note 2 2 3 2 4 3 2" xfId="34977"/>
    <cellStyle name="Note 2 2 3 2 4 4" xfId="27383"/>
    <cellStyle name="Note 2 2 3 2 5" xfId="7190"/>
    <cellStyle name="Note 2 2 3 2 5 2" xfId="7191"/>
    <cellStyle name="Note 2 2 3 2 5 2 2" xfId="20612"/>
    <cellStyle name="Note 2 2 3 2 5 2 2 2" xfId="40680"/>
    <cellStyle name="Note 2 2 3 2 5 2 3" xfId="27386"/>
    <cellStyle name="Note 2 2 3 2 5 3" xfId="15078"/>
    <cellStyle name="Note 2 2 3 2 5 3 2" xfId="35146"/>
    <cellStyle name="Note 2 2 3 2 5 4" xfId="27385"/>
    <cellStyle name="Note 2 2 3 2 6" xfId="7192"/>
    <cellStyle name="Note 2 2 3 2 6 2" xfId="7193"/>
    <cellStyle name="Note 2 2 3 2 6 2 2" xfId="20613"/>
    <cellStyle name="Note 2 2 3 2 6 2 2 2" xfId="40681"/>
    <cellStyle name="Note 2 2 3 2 6 2 3" xfId="27388"/>
    <cellStyle name="Note 2 2 3 2 6 3" xfId="14004"/>
    <cellStyle name="Note 2 2 3 2 6 3 2" xfId="34072"/>
    <cellStyle name="Note 2 2 3 2 6 4" xfId="27387"/>
    <cellStyle name="Note 2 2 3 2 7" xfId="7194"/>
    <cellStyle name="Note 2 2 3 2 7 2" xfId="7195"/>
    <cellStyle name="Note 2 2 3 2 7 2 2" xfId="20614"/>
    <cellStyle name="Note 2 2 3 2 7 2 2 2" xfId="40682"/>
    <cellStyle name="Note 2 2 3 2 7 2 3" xfId="27390"/>
    <cellStyle name="Note 2 2 3 2 7 3" xfId="15210"/>
    <cellStyle name="Note 2 2 3 2 7 3 2" xfId="35278"/>
    <cellStyle name="Note 2 2 3 2 7 4" xfId="27389"/>
    <cellStyle name="Note 2 2 3 2 8" xfId="7196"/>
    <cellStyle name="Note 2 2 3 2 8 2" xfId="7197"/>
    <cellStyle name="Note 2 2 3 2 8 2 2" xfId="20615"/>
    <cellStyle name="Note 2 2 3 2 8 2 2 2" xfId="40683"/>
    <cellStyle name="Note 2 2 3 2 8 2 3" xfId="27392"/>
    <cellStyle name="Note 2 2 3 2 8 3" xfId="16575"/>
    <cellStyle name="Note 2 2 3 2 8 3 2" xfId="36643"/>
    <cellStyle name="Note 2 2 3 2 8 4" xfId="27391"/>
    <cellStyle name="Note 2 2 3 2 9" xfId="7198"/>
    <cellStyle name="Note 2 2 3 2 9 2" xfId="7199"/>
    <cellStyle name="Note 2 2 3 2 9 2 2" xfId="20616"/>
    <cellStyle name="Note 2 2 3 2 9 2 2 2" xfId="40684"/>
    <cellStyle name="Note 2 2 3 2 9 2 3" xfId="27394"/>
    <cellStyle name="Note 2 2 3 2 9 3" xfId="16779"/>
    <cellStyle name="Note 2 2 3 2 9 3 2" xfId="36847"/>
    <cellStyle name="Note 2 2 3 2 9 4" xfId="27393"/>
    <cellStyle name="Note 2 2 3 20" xfId="7200"/>
    <cellStyle name="Note 2 2 3 20 2" xfId="7201"/>
    <cellStyle name="Note 2 2 3 20 2 2" xfId="20617"/>
    <cellStyle name="Note 2 2 3 20 2 2 2" xfId="40685"/>
    <cellStyle name="Note 2 2 3 20 2 3" xfId="27396"/>
    <cellStyle name="Note 2 2 3 20 3" xfId="15775"/>
    <cellStyle name="Note 2 2 3 20 3 2" xfId="35843"/>
    <cellStyle name="Note 2 2 3 20 4" xfId="27395"/>
    <cellStyle name="Note 2 2 3 21" xfId="7202"/>
    <cellStyle name="Note 2 2 3 21 2" xfId="7203"/>
    <cellStyle name="Note 2 2 3 21 2 2" xfId="20618"/>
    <cellStyle name="Note 2 2 3 21 2 2 2" xfId="40686"/>
    <cellStyle name="Note 2 2 3 21 2 3" xfId="27398"/>
    <cellStyle name="Note 2 2 3 21 3" xfId="16259"/>
    <cellStyle name="Note 2 2 3 21 3 2" xfId="36327"/>
    <cellStyle name="Note 2 2 3 21 4" xfId="27397"/>
    <cellStyle name="Note 2 2 3 22" xfId="7204"/>
    <cellStyle name="Note 2 2 3 22 2" xfId="7205"/>
    <cellStyle name="Note 2 2 3 22 2 2" xfId="20619"/>
    <cellStyle name="Note 2 2 3 22 2 2 2" xfId="40687"/>
    <cellStyle name="Note 2 2 3 22 2 3" xfId="27400"/>
    <cellStyle name="Note 2 2 3 22 3" xfId="16427"/>
    <cellStyle name="Note 2 2 3 22 3 2" xfId="36495"/>
    <cellStyle name="Note 2 2 3 22 4" xfId="27399"/>
    <cellStyle name="Note 2 2 3 23" xfId="7206"/>
    <cellStyle name="Note 2 2 3 23 2" xfId="7207"/>
    <cellStyle name="Note 2 2 3 23 2 2" xfId="20620"/>
    <cellStyle name="Note 2 2 3 23 2 2 2" xfId="40688"/>
    <cellStyle name="Note 2 2 3 23 2 3" xfId="27402"/>
    <cellStyle name="Note 2 2 3 23 3" xfId="18277"/>
    <cellStyle name="Note 2 2 3 23 3 2" xfId="38345"/>
    <cellStyle name="Note 2 2 3 23 4" xfId="27401"/>
    <cellStyle name="Note 2 2 3 24" xfId="7208"/>
    <cellStyle name="Note 2 2 3 24 2" xfId="7209"/>
    <cellStyle name="Note 2 2 3 24 2 2" xfId="20621"/>
    <cellStyle name="Note 2 2 3 24 2 2 2" xfId="40689"/>
    <cellStyle name="Note 2 2 3 24 2 3" xfId="27404"/>
    <cellStyle name="Note 2 2 3 24 3" xfId="16074"/>
    <cellStyle name="Note 2 2 3 24 3 2" xfId="36142"/>
    <cellStyle name="Note 2 2 3 24 4" xfId="27403"/>
    <cellStyle name="Note 2 2 3 25" xfId="7210"/>
    <cellStyle name="Note 2 2 3 25 2" xfId="7211"/>
    <cellStyle name="Note 2 2 3 25 2 2" xfId="20622"/>
    <cellStyle name="Note 2 2 3 25 2 2 2" xfId="40690"/>
    <cellStyle name="Note 2 2 3 25 2 3" xfId="27406"/>
    <cellStyle name="Note 2 2 3 25 3" xfId="18331"/>
    <cellStyle name="Note 2 2 3 25 3 2" xfId="38399"/>
    <cellStyle name="Note 2 2 3 25 4" xfId="27405"/>
    <cellStyle name="Note 2 2 3 26" xfId="7212"/>
    <cellStyle name="Note 2 2 3 26 2" xfId="7213"/>
    <cellStyle name="Note 2 2 3 26 2 2" xfId="20623"/>
    <cellStyle name="Note 2 2 3 26 2 2 2" xfId="40691"/>
    <cellStyle name="Note 2 2 3 26 2 3" xfId="27408"/>
    <cellStyle name="Note 2 2 3 26 3" xfId="16251"/>
    <cellStyle name="Note 2 2 3 26 3 2" xfId="36319"/>
    <cellStyle name="Note 2 2 3 26 4" xfId="27407"/>
    <cellStyle name="Note 2 2 3 27" xfId="7214"/>
    <cellStyle name="Note 2 2 3 27 2" xfId="7215"/>
    <cellStyle name="Note 2 2 3 27 2 2" xfId="20624"/>
    <cellStyle name="Note 2 2 3 27 2 2 2" xfId="40692"/>
    <cellStyle name="Note 2 2 3 27 2 3" xfId="27410"/>
    <cellStyle name="Note 2 2 3 27 3" xfId="15853"/>
    <cellStyle name="Note 2 2 3 27 3 2" xfId="35921"/>
    <cellStyle name="Note 2 2 3 27 4" xfId="27409"/>
    <cellStyle name="Note 2 2 3 28" xfId="7216"/>
    <cellStyle name="Note 2 2 3 28 2" xfId="20581"/>
    <cellStyle name="Note 2 2 3 28 2 2" xfId="40649"/>
    <cellStyle name="Note 2 2 3 28 3" xfId="27411"/>
    <cellStyle name="Note 2 2 3 29" xfId="13891"/>
    <cellStyle name="Note 2 2 3 29 2" xfId="33959"/>
    <cellStyle name="Note 2 2 3 3" xfId="7217"/>
    <cellStyle name="Note 2 2 3 3 2" xfId="7218"/>
    <cellStyle name="Note 2 2 3 3 2 2" xfId="20625"/>
    <cellStyle name="Note 2 2 3 3 2 2 2" xfId="40693"/>
    <cellStyle name="Note 2 2 3 3 2 3" xfId="27413"/>
    <cellStyle name="Note 2 2 3 3 3" xfId="14142"/>
    <cellStyle name="Note 2 2 3 3 3 2" xfId="34210"/>
    <cellStyle name="Note 2 2 3 3 4" xfId="27412"/>
    <cellStyle name="Note 2 2 3 30" xfId="27324"/>
    <cellStyle name="Note 2 2 3 4" xfId="7219"/>
    <cellStyle name="Note 2 2 3 4 2" xfId="7220"/>
    <cellStyle name="Note 2 2 3 4 2 2" xfId="20626"/>
    <cellStyle name="Note 2 2 3 4 2 2 2" xfId="40694"/>
    <cellStyle name="Note 2 2 3 4 2 3" xfId="27415"/>
    <cellStyle name="Note 2 2 3 4 3" xfId="14359"/>
    <cellStyle name="Note 2 2 3 4 3 2" xfId="34427"/>
    <cellStyle name="Note 2 2 3 4 4" xfId="27414"/>
    <cellStyle name="Note 2 2 3 5" xfId="7221"/>
    <cellStyle name="Note 2 2 3 5 2" xfId="7222"/>
    <cellStyle name="Note 2 2 3 5 2 2" xfId="20627"/>
    <cellStyle name="Note 2 2 3 5 2 2 2" xfId="40695"/>
    <cellStyle name="Note 2 2 3 5 2 3" xfId="27417"/>
    <cellStyle name="Note 2 2 3 5 3" xfId="14307"/>
    <cellStyle name="Note 2 2 3 5 3 2" xfId="34375"/>
    <cellStyle name="Note 2 2 3 5 4" xfId="27416"/>
    <cellStyle name="Note 2 2 3 6" xfId="7223"/>
    <cellStyle name="Note 2 2 3 6 2" xfId="7224"/>
    <cellStyle name="Note 2 2 3 6 2 2" xfId="20628"/>
    <cellStyle name="Note 2 2 3 6 2 2 2" xfId="40696"/>
    <cellStyle name="Note 2 2 3 6 2 3" xfId="27419"/>
    <cellStyle name="Note 2 2 3 6 3" xfId="14302"/>
    <cellStyle name="Note 2 2 3 6 3 2" xfId="34370"/>
    <cellStyle name="Note 2 2 3 6 4" xfId="27418"/>
    <cellStyle name="Note 2 2 3 7" xfId="7225"/>
    <cellStyle name="Note 2 2 3 7 2" xfId="7226"/>
    <cellStyle name="Note 2 2 3 7 2 2" xfId="20629"/>
    <cellStyle name="Note 2 2 3 7 2 2 2" xfId="40697"/>
    <cellStyle name="Note 2 2 3 7 2 3" xfId="27421"/>
    <cellStyle name="Note 2 2 3 7 3" xfId="14542"/>
    <cellStyle name="Note 2 2 3 7 3 2" xfId="34610"/>
    <cellStyle name="Note 2 2 3 7 4" xfId="27420"/>
    <cellStyle name="Note 2 2 3 8" xfId="7227"/>
    <cellStyle name="Note 2 2 3 8 2" xfId="7228"/>
    <cellStyle name="Note 2 2 3 8 2 2" xfId="20630"/>
    <cellStyle name="Note 2 2 3 8 2 2 2" xfId="40698"/>
    <cellStyle name="Note 2 2 3 8 2 3" xfId="27423"/>
    <cellStyle name="Note 2 2 3 8 3" xfId="14303"/>
    <cellStyle name="Note 2 2 3 8 3 2" xfId="34371"/>
    <cellStyle name="Note 2 2 3 8 4" xfId="27422"/>
    <cellStyle name="Note 2 2 3 9" xfId="7229"/>
    <cellStyle name="Note 2 2 3 9 2" xfId="7230"/>
    <cellStyle name="Note 2 2 3 9 2 2" xfId="20631"/>
    <cellStyle name="Note 2 2 3 9 2 2 2" xfId="40699"/>
    <cellStyle name="Note 2 2 3 9 2 3" xfId="27425"/>
    <cellStyle name="Note 2 2 3 9 3" xfId="15297"/>
    <cellStyle name="Note 2 2 3 9 3 2" xfId="35365"/>
    <cellStyle name="Note 2 2 3 9 4" xfId="27424"/>
    <cellStyle name="Note 2 2 30" xfId="7231"/>
    <cellStyle name="Note 2 2 30 2" xfId="20509"/>
    <cellStyle name="Note 2 2 30 2 2" xfId="40577"/>
    <cellStyle name="Note 2 2 30 3" xfId="27426"/>
    <cellStyle name="Note 2 2 31" xfId="13889"/>
    <cellStyle name="Note 2 2 31 2" xfId="33957"/>
    <cellStyle name="Note 2 2 32" xfId="27181"/>
    <cellStyle name="Note 2 2 4" xfId="7232"/>
    <cellStyle name="Note 2 2 4 10" xfId="7233"/>
    <cellStyle name="Note 2 2 4 10 2" xfId="7234"/>
    <cellStyle name="Note 2 2 4 10 2 2" xfId="20633"/>
    <cellStyle name="Note 2 2 4 10 2 2 2" xfId="40701"/>
    <cellStyle name="Note 2 2 4 10 2 3" xfId="27429"/>
    <cellStyle name="Note 2 2 4 10 3" xfId="16938"/>
    <cellStyle name="Note 2 2 4 10 3 2" xfId="37006"/>
    <cellStyle name="Note 2 2 4 10 4" xfId="27428"/>
    <cellStyle name="Note 2 2 4 11" xfId="7235"/>
    <cellStyle name="Note 2 2 4 11 2" xfId="7236"/>
    <cellStyle name="Note 2 2 4 11 2 2" xfId="20634"/>
    <cellStyle name="Note 2 2 4 11 2 2 2" xfId="40702"/>
    <cellStyle name="Note 2 2 4 11 2 3" xfId="27431"/>
    <cellStyle name="Note 2 2 4 11 3" xfId="17083"/>
    <cellStyle name="Note 2 2 4 11 3 2" xfId="37151"/>
    <cellStyle name="Note 2 2 4 11 4" xfId="27430"/>
    <cellStyle name="Note 2 2 4 12" xfId="7237"/>
    <cellStyle name="Note 2 2 4 12 2" xfId="7238"/>
    <cellStyle name="Note 2 2 4 12 2 2" xfId="20635"/>
    <cellStyle name="Note 2 2 4 12 2 2 2" xfId="40703"/>
    <cellStyle name="Note 2 2 4 12 2 3" xfId="27433"/>
    <cellStyle name="Note 2 2 4 12 3" xfId="17255"/>
    <cellStyle name="Note 2 2 4 12 3 2" xfId="37323"/>
    <cellStyle name="Note 2 2 4 12 4" xfId="27432"/>
    <cellStyle name="Note 2 2 4 13" xfId="7239"/>
    <cellStyle name="Note 2 2 4 13 2" xfId="7240"/>
    <cellStyle name="Note 2 2 4 13 2 2" xfId="20636"/>
    <cellStyle name="Note 2 2 4 13 2 2 2" xfId="40704"/>
    <cellStyle name="Note 2 2 4 13 2 3" xfId="27435"/>
    <cellStyle name="Note 2 2 4 13 3" xfId="17419"/>
    <cellStyle name="Note 2 2 4 13 3 2" xfId="37487"/>
    <cellStyle name="Note 2 2 4 13 4" xfId="27434"/>
    <cellStyle name="Note 2 2 4 14" xfId="7241"/>
    <cellStyle name="Note 2 2 4 14 2" xfId="7242"/>
    <cellStyle name="Note 2 2 4 14 2 2" xfId="20637"/>
    <cellStyle name="Note 2 2 4 14 2 2 2" xfId="40705"/>
    <cellStyle name="Note 2 2 4 14 2 3" xfId="27437"/>
    <cellStyle name="Note 2 2 4 14 3" xfId="17545"/>
    <cellStyle name="Note 2 2 4 14 3 2" xfId="37613"/>
    <cellStyle name="Note 2 2 4 14 4" xfId="27436"/>
    <cellStyle name="Note 2 2 4 15" xfId="7243"/>
    <cellStyle name="Note 2 2 4 15 2" xfId="7244"/>
    <cellStyle name="Note 2 2 4 15 2 2" xfId="20638"/>
    <cellStyle name="Note 2 2 4 15 2 2 2" xfId="40706"/>
    <cellStyle name="Note 2 2 4 15 2 3" xfId="27439"/>
    <cellStyle name="Note 2 2 4 15 3" xfId="15819"/>
    <cellStyle name="Note 2 2 4 15 3 2" xfId="35887"/>
    <cellStyle name="Note 2 2 4 15 4" xfId="27438"/>
    <cellStyle name="Note 2 2 4 16" xfId="7245"/>
    <cellStyle name="Note 2 2 4 16 2" xfId="7246"/>
    <cellStyle name="Note 2 2 4 16 2 2" xfId="20639"/>
    <cellStyle name="Note 2 2 4 16 2 2 2" xfId="40707"/>
    <cellStyle name="Note 2 2 4 16 2 3" xfId="27441"/>
    <cellStyle name="Note 2 2 4 16 3" xfId="17795"/>
    <cellStyle name="Note 2 2 4 16 3 2" xfId="37863"/>
    <cellStyle name="Note 2 2 4 16 4" xfId="27440"/>
    <cellStyle name="Note 2 2 4 17" xfId="7247"/>
    <cellStyle name="Note 2 2 4 17 2" xfId="7248"/>
    <cellStyle name="Note 2 2 4 17 2 2" xfId="20640"/>
    <cellStyle name="Note 2 2 4 17 2 2 2" xfId="40708"/>
    <cellStyle name="Note 2 2 4 17 2 3" xfId="27443"/>
    <cellStyle name="Note 2 2 4 17 3" xfId="17933"/>
    <cellStyle name="Note 2 2 4 17 3 2" xfId="38001"/>
    <cellStyle name="Note 2 2 4 17 4" xfId="27442"/>
    <cellStyle name="Note 2 2 4 18" xfId="7249"/>
    <cellStyle name="Note 2 2 4 18 2" xfId="7250"/>
    <cellStyle name="Note 2 2 4 18 2 2" xfId="20641"/>
    <cellStyle name="Note 2 2 4 18 2 2 2" xfId="40709"/>
    <cellStyle name="Note 2 2 4 18 2 3" xfId="27445"/>
    <cellStyle name="Note 2 2 4 18 3" xfId="18072"/>
    <cellStyle name="Note 2 2 4 18 3 2" xfId="38140"/>
    <cellStyle name="Note 2 2 4 18 4" xfId="27444"/>
    <cellStyle name="Note 2 2 4 19" xfId="7251"/>
    <cellStyle name="Note 2 2 4 19 2" xfId="7252"/>
    <cellStyle name="Note 2 2 4 19 2 2" xfId="20642"/>
    <cellStyle name="Note 2 2 4 19 2 2 2" xfId="40710"/>
    <cellStyle name="Note 2 2 4 19 2 3" xfId="27447"/>
    <cellStyle name="Note 2 2 4 19 3" xfId="18190"/>
    <cellStyle name="Note 2 2 4 19 3 2" xfId="38258"/>
    <cellStyle name="Note 2 2 4 19 4" xfId="27446"/>
    <cellStyle name="Note 2 2 4 2" xfId="7253"/>
    <cellStyle name="Note 2 2 4 2 2" xfId="7254"/>
    <cellStyle name="Note 2 2 4 2 2 2" xfId="20643"/>
    <cellStyle name="Note 2 2 4 2 2 2 2" xfId="40711"/>
    <cellStyle name="Note 2 2 4 2 2 3" xfId="27449"/>
    <cellStyle name="Note 2 2 4 2 3" xfId="14658"/>
    <cellStyle name="Note 2 2 4 2 3 2" xfId="34726"/>
    <cellStyle name="Note 2 2 4 2 4" xfId="27448"/>
    <cellStyle name="Note 2 2 4 20" xfId="7255"/>
    <cellStyle name="Note 2 2 4 20 2" xfId="7256"/>
    <cellStyle name="Note 2 2 4 20 2 2" xfId="20644"/>
    <cellStyle name="Note 2 2 4 20 2 2 2" xfId="40712"/>
    <cellStyle name="Note 2 2 4 20 2 3" xfId="27451"/>
    <cellStyle name="Note 2 2 4 20 3" xfId="15670"/>
    <cellStyle name="Note 2 2 4 20 3 2" xfId="35738"/>
    <cellStyle name="Note 2 2 4 20 4" xfId="27450"/>
    <cellStyle name="Note 2 2 4 21" xfId="7257"/>
    <cellStyle name="Note 2 2 4 21 2" xfId="7258"/>
    <cellStyle name="Note 2 2 4 21 2 2" xfId="20645"/>
    <cellStyle name="Note 2 2 4 21 2 2 2" xfId="40713"/>
    <cellStyle name="Note 2 2 4 21 2 3" xfId="27453"/>
    <cellStyle name="Note 2 2 4 21 3" xfId="18395"/>
    <cellStyle name="Note 2 2 4 21 3 2" xfId="38463"/>
    <cellStyle name="Note 2 2 4 21 4" xfId="27452"/>
    <cellStyle name="Note 2 2 4 22" xfId="7259"/>
    <cellStyle name="Note 2 2 4 22 2" xfId="7260"/>
    <cellStyle name="Note 2 2 4 22 2 2" xfId="20646"/>
    <cellStyle name="Note 2 2 4 22 2 2 2" xfId="40714"/>
    <cellStyle name="Note 2 2 4 22 2 3" xfId="27455"/>
    <cellStyle name="Note 2 2 4 22 3" xfId="18528"/>
    <cellStyle name="Note 2 2 4 22 3 2" xfId="38596"/>
    <cellStyle name="Note 2 2 4 22 4" xfId="27454"/>
    <cellStyle name="Note 2 2 4 23" xfId="7261"/>
    <cellStyle name="Note 2 2 4 23 2" xfId="7262"/>
    <cellStyle name="Note 2 2 4 23 2 2" xfId="20647"/>
    <cellStyle name="Note 2 2 4 23 2 2 2" xfId="40715"/>
    <cellStyle name="Note 2 2 4 23 2 3" xfId="27457"/>
    <cellStyle name="Note 2 2 4 23 3" xfId="18639"/>
    <cellStyle name="Note 2 2 4 23 3 2" xfId="38707"/>
    <cellStyle name="Note 2 2 4 23 4" xfId="27456"/>
    <cellStyle name="Note 2 2 4 24" xfId="7263"/>
    <cellStyle name="Note 2 2 4 24 2" xfId="7264"/>
    <cellStyle name="Note 2 2 4 24 2 2" xfId="20648"/>
    <cellStyle name="Note 2 2 4 24 2 2 2" xfId="40716"/>
    <cellStyle name="Note 2 2 4 24 2 3" xfId="27459"/>
    <cellStyle name="Note 2 2 4 24 3" xfId="18739"/>
    <cellStyle name="Note 2 2 4 24 3 2" xfId="38807"/>
    <cellStyle name="Note 2 2 4 24 4" xfId="27458"/>
    <cellStyle name="Note 2 2 4 25" xfId="7265"/>
    <cellStyle name="Note 2 2 4 25 2" xfId="7266"/>
    <cellStyle name="Note 2 2 4 25 2 2" xfId="20649"/>
    <cellStyle name="Note 2 2 4 25 2 2 2" xfId="40717"/>
    <cellStyle name="Note 2 2 4 25 2 3" xfId="27461"/>
    <cellStyle name="Note 2 2 4 25 3" xfId="18839"/>
    <cellStyle name="Note 2 2 4 25 3 2" xfId="38907"/>
    <cellStyle name="Note 2 2 4 25 4" xfId="27460"/>
    <cellStyle name="Note 2 2 4 26" xfId="7267"/>
    <cellStyle name="Note 2 2 4 26 2" xfId="20632"/>
    <cellStyle name="Note 2 2 4 26 2 2" xfId="40700"/>
    <cellStyle name="Note 2 2 4 26 3" xfId="27462"/>
    <cellStyle name="Note 2 2 4 27" xfId="14137"/>
    <cellStyle name="Note 2 2 4 27 2" xfId="34205"/>
    <cellStyle name="Note 2 2 4 28" xfId="27427"/>
    <cellStyle name="Note 2 2 4 3" xfId="7268"/>
    <cellStyle name="Note 2 2 4 3 2" xfId="7269"/>
    <cellStyle name="Note 2 2 4 3 2 2" xfId="20650"/>
    <cellStyle name="Note 2 2 4 3 2 2 2" xfId="40718"/>
    <cellStyle name="Note 2 2 4 3 2 3" xfId="27464"/>
    <cellStyle name="Note 2 2 4 3 3" xfId="14782"/>
    <cellStyle name="Note 2 2 4 3 3 2" xfId="34850"/>
    <cellStyle name="Note 2 2 4 3 4" xfId="27463"/>
    <cellStyle name="Note 2 2 4 4" xfId="7270"/>
    <cellStyle name="Note 2 2 4 4 2" xfId="7271"/>
    <cellStyle name="Note 2 2 4 4 2 2" xfId="20651"/>
    <cellStyle name="Note 2 2 4 4 2 2 2" xfId="40719"/>
    <cellStyle name="Note 2 2 4 4 2 3" xfId="27466"/>
    <cellStyle name="Note 2 2 4 4 3" xfId="14907"/>
    <cellStyle name="Note 2 2 4 4 3 2" xfId="34975"/>
    <cellStyle name="Note 2 2 4 4 4" xfId="27465"/>
    <cellStyle name="Note 2 2 4 5" xfId="7272"/>
    <cellStyle name="Note 2 2 4 5 2" xfId="7273"/>
    <cellStyle name="Note 2 2 4 5 2 2" xfId="20652"/>
    <cellStyle name="Note 2 2 4 5 2 2 2" xfId="40720"/>
    <cellStyle name="Note 2 2 4 5 2 3" xfId="27468"/>
    <cellStyle name="Note 2 2 4 5 3" xfId="15076"/>
    <cellStyle name="Note 2 2 4 5 3 2" xfId="35144"/>
    <cellStyle name="Note 2 2 4 5 4" xfId="27467"/>
    <cellStyle name="Note 2 2 4 6" xfId="7274"/>
    <cellStyle name="Note 2 2 4 6 2" xfId="7275"/>
    <cellStyle name="Note 2 2 4 6 2 2" xfId="20653"/>
    <cellStyle name="Note 2 2 4 6 2 2 2" xfId="40721"/>
    <cellStyle name="Note 2 2 4 6 2 3" xfId="27470"/>
    <cellStyle name="Note 2 2 4 6 3" xfId="14593"/>
    <cellStyle name="Note 2 2 4 6 3 2" xfId="34661"/>
    <cellStyle name="Note 2 2 4 6 4" xfId="27469"/>
    <cellStyle name="Note 2 2 4 7" xfId="7276"/>
    <cellStyle name="Note 2 2 4 7 2" xfId="7277"/>
    <cellStyle name="Note 2 2 4 7 2 2" xfId="20654"/>
    <cellStyle name="Note 2 2 4 7 2 2 2" xfId="40722"/>
    <cellStyle name="Note 2 2 4 7 2 3" xfId="27472"/>
    <cellStyle name="Note 2 2 4 7 3" xfId="15208"/>
    <cellStyle name="Note 2 2 4 7 3 2" xfId="35276"/>
    <cellStyle name="Note 2 2 4 7 4" xfId="27471"/>
    <cellStyle name="Note 2 2 4 8" xfId="7278"/>
    <cellStyle name="Note 2 2 4 8 2" xfId="7279"/>
    <cellStyle name="Note 2 2 4 8 2 2" xfId="20655"/>
    <cellStyle name="Note 2 2 4 8 2 2 2" xfId="40723"/>
    <cellStyle name="Note 2 2 4 8 2 3" xfId="27474"/>
    <cellStyle name="Note 2 2 4 8 3" xfId="16573"/>
    <cellStyle name="Note 2 2 4 8 3 2" xfId="36641"/>
    <cellStyle name="Note 2 2 4 8 4" xfId="27473"/>
    <cellStyle name="Note 2 2 4 9" xfId="7280"/>
    <cellStyle name="Note 2 2 4 9 2" xfId="7281"/>
    <cellStyle name="Note 2 2 4 9 2 2" xfId="20656"/>
    <cellStyle name="Note 2 2 4 9 2 2 2" xfId="40724"/>
    <cellStyle name="Note 2 2 4 9 2 3" xfId="27476"/>
    <cellStyle name="Note 2 2 4 9 3" xfId="16777"/>
    <cellStyle name="Note 2 2 4 9 3 2" xfId="36845"/>
    <cellStyle name="Note 2 2 4 9 4" xfId="27475"/>
    <cellStyle name="Note 2 2 5" xfId="7282"/>
    <cellStyle name="Note 2 2 5 2" xfId="7283"/>
    <cellStyle name="Note 2 2 5 2 2" xfId="20657"/>
    <cellStyle name="Note 2 2 5 2 2 2" xfId="40725"/>
    <cellStyle name="Note 2 2 5 2 3" xfId="27478"/>
    <cellStyle name="Note 2 2 5 3" xfId="14585"/>
    <cellStyle name="Note 2 2 5 3 2" xfId="34653"/>
    <cellStyle name="Note 2 2 5 4" xfId="27477"/>
    <cellStyle name="Note 2 2 6" xfId="7284"/>
    <cellStyle name="Note 2 2 6 2" xfId="7285"/>
    <cellStyle name="Note 2 2 6 2 2" xfId="20658"/>
    <cellStyle name="Note 2 2 6 2 2 2" xfId="40726"/>
    <cellStyle name="Note 2 2 6 2 3" xfId="27480"/>
    <cellStyle name="Note 2 2 6 3" xfId="14397"/>
    <cellStyle name="Note 2 2 6 3 2" xfId="34465"/>
    <cellStyle name="Note 2 2 6 4" xfId="27479"/>
    <cellStyle name="Note 2 2 7" xfId="7286"/>
    <cellStyle name="Note 2 2 7 2" xfId="7287"/>
    <cellStyle name="Note 2 2 7 2 2" xfId="20659"/>
    <cellStyle name="Note 2 2 7 2 2 2" xfId="40727"/>
    <cellStyle name="Note 2 2 7 2 3" xfId="27482"/>
    <cellStyle name="Note 2 2 7 3" xfId="14150"/>
    <cellStyle name="Note 2 2 7 3 2" xfId="34218"/>
    <cellStyle name="Note 2 2 7 4" xfId="27481"/>
    <cellStyle name="Note 2 2 8" xfId="7288"/>
    <cellStyle name="Note 2 2 8 2" xfId="7289"/>
    <cellStyle name="Note 2 2 8 2 2" xfId="20660"/>
    <cellStyle name="Note 2 2 8 2 2 2" xfId="40728"/>
    <cellStyle name="Note 2 2 8 2 3" xfId="27484"/>
    <cellStyle name="Note 2 2 8 3" xfId="14329"/>
    <cellStyle name="Note 2 2 8 3 2" xfId="34397"/>
    <cellStyle name="Note 2 2 8 4" xfId="27483"/>
    <cellStyle name="Note 2 2 9" xfId="7290"/>
    <cellStyle name="Note 2 2 9 2" xfId="7291"/>
    <cellStyle name="Note 2 2 9 2 2" xfId="20661"/>
    <cellStyle name="Note 2 2 9 2 2 2" xfId="40729"/>
    <cellStyle name="Note 2 2 9 2 3" xfId="27486"/>
    <cellStyle name="Note 2 2 9 3" xfId="14388"/>
    <cellStyle name="Note 2 2 9 3 2" xfId="34456"/>
    <cellStyle name="Note 2 2 9 4" xfId="27485"/>
    <cellStyle name="Note 2 2_2011-2012" xfId="7292"/>
    <cellStyle name="Note 2 20" xfId="7293"/>
    <cellStyle name="Note 2 20 2" xfId="7294"/>
    <cellStyle name="Note 2 20 2 2" xfId="20662"/>
    <cellStyle name="Note 2 20 2 2 2" xfId="40730"/>
    <cellStyle name="Note 2 20 2 3" xfId="27488"/>
    <cellStyle name="Note 2 20 3" xfId="15718"/>
    <cellStyle name="Note 2 20 3 2" xfId="35786"/>
    <cellStyle name="Note 2 20 4" xfId="27487"/>
    <cellStyle name="Note 2 21" xfId="7295"/>
    <cellStyle name="Note 2 21 2" xfId="7296"/>
    <cellStyle name="Note 2 21 2 2" xfId="20663"/>
    <cellStyle name="Note 2 21 2 2 2" xfId="40731"/>
    <cellStyle name="Note 2 21 2 3" xfId="27490"/>
    <cellStyle name="Note 2 21 3" xfId="16113"/>
    <cellStyle name="Note 2 21 3 2" xfId="36181"/>
    <cellStyle name="Note 2 21 4" xfId="27489"/>
    <cellStyle name="Note 2 22" xfId="7297"/>
    <cellStyle name="Note 2 22 2" xfId="7298"/>
    <cellStyle name="Note 2 22 2 2" xfId="20664"/>
    <cellStyle name="Note 2 22 2 2 2" xfId="40732"/>
    <cellStyle name="Note 2 22 2 3" xfId="27492"/>
    <cellStyle name="Note 2 22 3" xfId="15514"/>
    <cellStyle name="Note 2 22 3 2" xfId="35582"/>
    <cellStyle name="Note 2 22 4" xfId="27491"/>
    <cellStyle name="Note 2 23" xfId="7299"/>
    <cellStyle name="Note 2 23 2" xfId="7300"/>
    <cellStyle name="Note 2 23 2 2" xfId="20665"/>
    <cellStyle name="Note 2 23 2 2 2" xfId="40733"/>
    <cellStyle name="Note 2 23 2 3" xfId="27494"/>
    <cellStyle name="Note 2 23 3" xfId="16075"/>
    <cellStyle name="Note 2 23 3 2" xfId="36143"/>
    <cellStyle name="Note 2 23 4" xfId="27493"/>
    <cellStyle name="Note 2 24" xfId="7301"/>
    <cellStyle name="Note 2 24 2" xfId="7302"/>
    <cellStyle name="Note 2 24 2 2" xfId="20666"/>
    <cellStyle name="Note 2 24 2 2 2" xfId="40734"/>
    <cellStyle name="Note 2 24 2 3" xfId="27496"/>
    <cellStyle name="Note 2 24 3" xfId="17682"/>
    <cellStyle name="Note 2 24 3 2" xfId="37750"/>
    <cellStyle name="Note 2 24 4" xfId="27495"/>
    <cellStyle name="Note 2 25" xfId="7303"/>
    <cellStyle name="Note 2 25 2" xfId="7304"/>
    <cellStyle name="Note 2 25 2 2" xfId="20667"/>
    <cellStyle name="Note 2 25 2 2 2" xfId="40735"/>
    <cellStyle name="Note 2 25 2 3" xfId="27498"/>
    <cellStyle name="Note 2 25 3" xfId="15981"/>
    <cellStyle name="Note 2 25 3 2" xfId="36049"/>
    <cellStyle name="Note 2 25 4" xfId="27497"/>
    <cellStyle name="Note 2 26" xfId="7305"/>
    <cellStyle name="Note 2 26 2" xfId="7306"/>
    <cellStyle name="Note 2 26 2 2" xfId="20668"/>
    <cellStyle name="Note 2 26 2 2 2" xfId="40736"/>
    <cellStyle name="Note 2 26 2 3" xfId="27500"/>
    <cellStyle name="Note 2 26 3" xfId="16530"/>
    <cellStyle name="Note 2 26 3 2" xfId="36598"/>
    <cellStyle name="Note 2 26 4" xfId="27499"/>
    <cellStyle name="Note 2 27" xfId="7307"/>
    <cellStyle name="Note 2 27 2" xfId="7308"/>
    <cellStyle name="Note 2 27 2 2" xfId="20669"/>
    <cellStyle name="Note 2 27 2 2 2" xfId="40737"/>
    <cellStyle name="Note 2 27 2 3" xfId="27502"/>
    <cellStyle name="Note 2 27 3" xfId="15428"/>
    <cellStyle name="Note 2 27 3 2" xfId="35496"/>
    <cellStyle name="Note 2 27 4" xfId="27501"/>
    <cellStyle name="Note 2 28" xfId="7309"/>
    <cellStyle name="Note 2 28 2" xfId="7310"/>
    <cellStyle name="Note 2 28 2 2" xfId="20670"/>
    <cellStyle name="Note 2 28 2 2 2" xfId="40738"/>
    <cellStyle name="Note 2 28 2 3" xfId="27504"/>
    <cellStyle name="Note 2 28 3" xfId="17674"/>
    <cellStyle name="Note 2 28 3 2" xfId="37742"/>
    <cellStyle name="Note 2 28 4" xfId="27503"/>
    <cellStyle name="Note 2 29" xfId="7311"/>
    <cellStyle name="Note 2 29 2" xfId="7312"/>
    <cellStyle name="Note 2 29 2 2" xfId="20671"/>
    <cellStyle name="Note 2 29 2 2 2" xfId="40739"/>
    <cellStyle name="Note 2 29 2 3" xfId="27506"/>
    <cellStyle name="Note 2 29 3" xfId="15847"/>
    <cellStyle name="Note 2 29 3 2" xfId="35915"/>
    <cellStyle name="Note 2 29 4" xfId="27505"/>
    <cellStyle name="Note 2 3" xfId="7313"/>
    <cellStyle name="Note 2 3 10" xfId="7314"/>
    <cellStyle name="Note 2 3 10 2" xfId="7315"/>
    <cellStyle name="Note 2 3 10 2 2" xfId="20673"/>
    <cellStyle name="Note 2 3 10 2 2 2" xfId="40741"/>
    <cellStyle name="Note 2 3 10 2 3" xfId="27509"/>
    <cellStyle name="Note 2 3 10 3" xfId="14132"/>
    <cellStyle name="Note 2 3 10 3 2" xfId="34200"/>
    <cellStyle name="Note 2 3 10 4" xfId="27508"/>
    <cellStyle name="Note 2 3 11" xfId="7316"/>
    <cellStyle name="Note 2 3 11 2" xfId="7317"/>
    <cellStyle name="Note 2 3 11 2 2" xfId="20674"/>
    <cellStyle name="Note 2 3 11 2 2 2" xfId="40742"/>
    <cellStyle name="Note 2 3 11 2 3" xfId="27511"/>
    <cellStyle name="Note 2 3 11 3" xfId="15298"/>
    <cellStyle name="Note 2 3 11 3 2" xfId="35366"/>
    <cellStyle name="Note 2 3 11 4" xfId="27510"/>
    <cellStyle name="Note 2 3 12" xfId="7318"/>
    <cellStyle name="Note 2 3 12 2" xfId="7319"/>
    <cellStyle name="Note 2 3 12 2 2" xfId="20675"/>
    <cellStyle name="Note 2 3 12 2 2 2" xfId="40743"/>
    <cellStyle name="Note 2 3 12 2 3" xfId="27513"/>
    <cellStyle name="Note 2 3 12 3" xfId="16441"/>
    <cellStyle name="Note 2 3 12 3 2" xfId="36509"/>
    <cellStyle name="Note 2 3 12 4" xfId="27512"/>
    <cellStyle name="Note 2 3 13" xfId="7320"/>
    <cellStyle name="Note 2 3 13 2" xfId="7321"/>
    <cellStyle name="Note 2 3 13 2 2" xfId="20676"/>
    <cellStyle name="Note 2 3 13 2 2 2" xfId="40744"/>
    <cellStyle name="Note 2 3 13 2 3" xfId="27515"/>
    <cellStyle name="Note 2 3 13 3" xfId="15791"/>
    <cellStyle name="Note 2 3 13 3 2" xfId="35859"/>
    <cellStyle name="Note 2 3 13 4" xfId="27514"/>
    <cellStyle name="Note 2 3 14" xfId="7322"/>
    <cellStyle name="Note 2 3 14 2" xfId="7323"/>
    <cellStyle name="Note 2 3 14 2 2" xfId="20677"/>
    <cellStyle name="Note 2 3 14 2 2 2" xfId="40745"/>
    <cellStyle name="Note 2 3 14 2 3" xfId="27517"/>
    <cellStyle name="Note 2 3 14 3" xfId="15999"/>
    <cellStyle name="Note 2 3 14 3 2" xfId="36067"/>
    <cellStyle name="Note 2 3 14 4" xfId="27516"/>
    <cellStyle name="Note 2 3 15" xfId="7324"/>
    <cellStyle name="Note 2 3 15 2" xfId="7325"/>
    <cellStyle name="Note 2 3 15 2 2" xfId="20678"/>
    <cellStyle name="Note 2 3 15 2 2 2" xfId="40746"/>
    <cellStyle name="Note 2 3 15 2 3" xfId="27519"/>
    <cellStyle name="Note 2 3 15 3" xfId="15716"/>
    <cellStyle name="Note 2 3 15 3 2" xfId="35784"/>
    <cellStyle name="Note 2 3 15 4" xfId="27518"/>
    <cellStyle name="Note 2 3 16" xfId="7326"/>
    <cellStyle name="Note 2 3 16 2" xfId="7327"/>
    <cellStyle name="Note 2 3 16 2 2" xfId="20679"/>
    <cellStyle name="Note 2 3 16 2 2 2" xfId="40747"/>
    <cellStyle name="Note 2 3 16 2 3" xfId="27521"/>
    <cellStyle name="Note 2 3 16 3" xfId="16116"/>
    <cellStyle name="Note 2 3 16 3 2" xfId="36184"/>
    <cellStyle name="Note 2 3 16 4" xfId="27520"/>
    <cellStyle name="Note 2 3 17" xfId="7328"/>
    <cellStyle name="Note 2 3 17 2" xfId="7329"/>
    <cellStyle name="Note 2 3 17 2 2" xfId="20680"/>
    <cellStyle name="Note 2 3 17 2 2 2" xfId="40748"/>
    <cellStyle name="Note 2 3 17 2 3" xfId="27523"/>
    <cellStyle name="Note 2 3 17 3" xfId="16903"/>
    <cellStyle name="Note 2 3 17 3 2" xfId="36971"/>
    <cellStyle name="Note 2 3 17 4" xfId="27522"/>
    <cellStyle name="Note 2 3 18" xfId="7330"/>
    <cellStyle name="Note 2 3 18 2" xfId="7331"/>
    <cellStyle name="Note 2 3 18 2 2" xfId="20681"/>
    <cellStyle name="Note 2 3 18 2 2 2" xfId="40749"/>
    <cellStyle name="Note 2 3 18 2 3" xfId="27525"/>
    <cellStyle name="Note 2 3 18 3" xfId="16287"/>
    <cellStyle name="Note 2 3 18 3 2" xfId="36355"/>
    <cellStyle name="Note 2 3 18 4" xfId="27524"/>
    <cellStyle name="Note 2 3 19" xfId="7332"/>
    <cellStyle name="Note 2 3 19 2" xfId="7333"/>
    <cellStyle name="Note 2 3 19 2 2" xfId="20682"/>
    <cellStyle name="Note 2 3 19 2 2 2" xfId="40750"/>
    <cellStyle name="Note 2 3 19 2 3" xfId="27527"/>
    <cellStyle name="Note 2 3 19 3" xfId="15687"/>
    <cellStyle name="Note 2 3 19 3 2" xfId="35755"/>
    <cellStyle name="Note 2 3 19 4" xfId="27526"/>
    <cellStyle name="Note 2 3 2" xfId="7334"/>
    <cellStyle name="Note 2 3 2 10" xfId="7335"/>
    <cellStyle name="Note 2 3 2 10 2" xfId="7336"/>
    <cellStyle name="Note 2 3 2 10 2 2" xfId="20684"/>
    <cellStyle name="Note 2 3 2 10 2 2 2" xfId="40752"/>
    <cellStyle name="Note 2 3 2 10 2 3" xfId="27530"/>
    <cellStyle name="Note 2 3 2 10 3" xfId="16442"/>
    <cellStyle name="Note 2 3 2 10 3 2" xfId="36510"/>
    <cellStyle name="Note 2 3 2 10 4" xfId="27529"/>
    <cellStyle name="Note 2 3 2 11" xfId="7337"/>
    <cellStyle name="Note 2 3 2 11 2" xfId="7338"/>
    <cellStyle name="Note 2 3 2 11 2 2" xfId="20685"/>
    <cellStyle name="Note 2 3 2 11 2 2 2" xfId="40753"/>
    <cellStyle name="Note 2 3 2 11 2 3" xfId="27532"/>
    <cellStyle name="Note 2 3 2 11 3" xfId="15790"/>
    <cellStyle name="Note 2 3 2 11 3 2" xfId="35858"/>
    <cellStyle name="Note 2 3 2 11 4" xfId="27531"/>
    <cellStyle name="Note 2 3 2 12" xfId="7339"/>
    <cellStyle name="Note 2 3 2 12 2" xfId="7340"/>
    <cellStyle name="Note 2 3 2 12 2 2" xfId="20686"/>
    <cellStyle name="Note 2 3 2 12 2 2 2" xfId="40754"/>
    <cellStyle name="Note 2 3 2 12 2 3" xfId="27534"/>
    <cellStyle name="Note 2 3 2 12 3" xfId="16000"/>
    <cellStyle name="Note 2 3 2 12 3 2" xfId="36068"/>
    <cellStyle name="Note 2 3 2 12 4" xfId="27533"/>
    <cellStyle name="Note 2 3 2 13" xfId="7341"/>
    <cellStyle name="Note 2 3 2 13 2" xfId="7342"/>
    <cellStyle name="Note 2 3 2 13 2 2" xfId="20687"/>
    <cellStyle name="Note 2 3 2 13 2 2 2" xfId="40755"/>
    <cellStyle name="Note 2 3 2 13 2 3" xfId="27536"/>
    <cellStyle name="Note 2 3 2 13 3" xfId="15715"/>
    <cellStyle name="Note 2 3 2 13 3 2" xfId="35783"/>
    <cellStyle name="Note 2 3 2 13 4" xfId="27535"/>
    <cellStyle name="Note 2 3 2 14" xfId="7343"/>
    <cellStyle name="Note 2 3 2 14 2" xfId="7344"/>
    <cellStyle name="Note 2 3 2 14 2 2" xfId="20688"/>
    <cellStyle name="Note 2 3 2 14 2 2 2" xfId="40756"/>
    <cellStyle name="Note 2 3 2 14 2 3" xfId="27538"/>
    <cellStyle name="Note 2 3 2 14 3" xfId="16117"/>
    <cellStyle name="Note 2 3 2 14 3 2" xfId="36185"/>
    <cellStyle name="Note 2 3 2 14 4" xfId="27537"/>
    <cellStyle name="Note 2 3 2 15" xfId="7345"/>
    <cellStyle name="Note 2 3 2 15 2" xfId="7346"/>
    <cellStyle name="Note 2 3 2 15 2 2" xfId="20689"/>
    <cellStyle name="Note 2 3 2 15 2 2 2" xfId="40757"/>
    <cellStyle name="Note 2 3 2 15 2 3" xfId="27540"/>
    <cellStyle name="Note 2 3 2 15 3" xfId="15689"/>
    <cellStyle name="Note 2 3 2 15 3 2" xfId="35757"/>
    <cellStyle name="Note 2 3 2 15 4" xfId="27539"/>
    <cellStyle name="Note 2 3 2 16" xfId="7347"/>
    <cellStyle name="Note 2 3 2 16 2" xfId="7348"/>
    <cellStyle name="Note 2 3 2 16 2 2" xfId="20690"/>
    <cellStyle name="Note 2 3 2 16 2 2 2" xfId="40758"/>
    <cellStyle name="Note 2 3 2 16 2 3" xfId="27542"/>
    <cellStyle name="Note 2 3 2 16 3" xfId="16288"/>
    <cellStyle name="Note 2 3 2 16 3 2" xfId="36356"/>
    <cellStyle name="Note 2 3 2 16 4" xfId="27541"/>
    <cellStyle name="Note 2 3 2 17" xfId="7349"/>
    <cellStyle name="Note 2 3 2 17 2" xfId="7350"/>
    <cellStyle name="Note 2 3 2 17 2 2" xfId="20691"/>
    <cellStyle name="Note 2 3 2 17 2 2 2" xfId="40759"/>
    <cellStyle name="Note 2 3 2 17 2 3" xfId="27544"/>
    <cellStyle name="Note 2 3 2 17 3" xfId="17683"/>
    <cellStyle name="Note 2 3 2 17 3 2" xfId="37751"/>
    <cellStyle name="Note 2 3 2 17 4" xfId="27543"/>
    <cellStyle name="Note 2 3 2 18" xfId="7351"/>
    <cellStyle name="Note 2 3 2 18 2" xfId="7352"/>
    <cellStyle name="Note 2 3 2 18 2 2" xfId="20692"/>
    <cellStyle name="Note 2 3 2 18 2 2 2" xfId="40760"/>
    <cellStyle name="Note 2 3 2 18 2 3" xfId="27546"/>
    <cellStyle name="Note 2 3 2 18 3" xfId="17490"/>
    <cellStyle name="Note 2 3 2 18 3 2" xfId="37558"/>
    <cellStyle name="Note 2 3 2 18 4" xfId="27545"/>
    <cellStyle name="Note 2 3 2 19" xfId="7353"/>
    <cellStyle name="Note 2 3 2 19 2" xfId="7354"/>
    <cellStyle name="Note 2 3 2 19 2 2" xfId="20693"/>
    <cellStyle name="Note 2 3 2 19 2 2 2" xfId="40761"/>
    <cellStyle name="Note 2 3 2 19 2 3" xfId="27548"/>
    <cellStyle name="Note 2 3 2 19 3" xfId="16691"/>
    <cellStyle name="Note 2 3 2 19 3 2" xfId="36759"/>
    <cellStyle name="Note 2 3 2 19 4" xfId="27547"/>
    <cellStyle name="Note 2 3 2 2" xfId="7355"/>
    <cellStyle name="Note 2 3 2 2 10" xfId="7356"/>
    <cellStyle name="Note 2 3 2 2 10 2" xfId="7357"/>
    <cellStyle name="Note 2 3 2 2 10 2 2" xfId="20695"/>
    <cellStyle name="Note 2 3 2 2 10 2 2 2" xfId="40763"/>
    <cellStyle name="Note 2 3 2 2 10 2 3" xfId="27551"/>
    <cellStyle name="Note 2 3 2 2 10 3" xfId="16942"/>
    <cellStyle name="Note 2 3 2 2 10 3 2" xfId="37010"/>
    <cellStyle name="Note 2 3 2 2 10 4" xfId="27550"/>
    <cellStyle name="Note 2 3 2 2 11" xfId="7358"/>
    <cellStyle name="Note 2 3 2 2 11 2" xfId="7359"/>
    <cellStyle name="Note 2 3 2 2 11 2 2" xfId="20696"/>
    <cellStyle name="Note 2 3 2 2 11 2 2 2" xfId="40764"/>
    <cellStyle name="Note 2 3 2 2 11 2 3" xfId="27553"/>
    <cellStyle name="Note 2 3 2 2 11 3" xfId="17087"/>
    <cellStyle name="Note 2 3 2 2 11 3 2" xfId="37155"/>
    <cellStyle name="Note 2 3 2 2 11 4" xfId="27552"/>
    <cellStyle name="Note 2 3 2 2 12" xfId="7360"/>
    <cellStyle name="Note 2 3 2 2 12 2" xfId="7361"/>
    <cellStyle name="Note 2 3 2 2 12 2 2" xfId="20697"/>
    <cellStyle name="Note 2 3 2 2 12 2 2 2" xfId="40765"/>
    <cellStyle name="Note 2 3 2 2 12 2 3" xfId="27555"/>
    <cellStyle name="Note 2 3 2 2 12 3" xfId="17259"/>
    <cellStyle name="Note 2 3 2 2 12 3 2" xfId="37327"/>
    <cellStyle name="Note 2 3 2 2 12 4" xfId="27554"/>
    <cellStyle name="Note 2 3 2 2 13" xfId="7362"/>
    <cellStyle name="Note 2 3 2 2 13 2" xfId="7363"/>
    <cellStyle name="Note 2 3 2 2 13 2 2" xfId="20698"/>
    <cellStyle name="Note 2 3 2 2 13 2 2 2" xfId="40766"/>
    <cellStyle name="Note 2 3 2 2 13 2 3" xfId="27557"/>
    <cellStyle name="Note 2 3 2 2 13 3" xfId="17423"/>
    <cellStyle name="Note 2 3 2 2 13 3 2" xfId="37491"/>
    <cellStyle name="Note 2 3 2 2 13 4" xfId="27556"/>
    <cellStyle name="Note 2 3 2 2 14" xfId="7364"/>
    <cellStyle name="Note 2 3 2 2 14 2" xfId="7365"/>
    <cellStyle name="Note 2 3 2 2 14 2 2" xfId="20699"/>
    <cellStyle name="Note 2 3 2 2 14 2 2 2" xfId="40767"/>
    <cellStyle name="Note 2 3 2 2 14 2 3" xfId="27559"/>
    <cellStyle name="Note 2 3 2 2 14 3" xfId="17549"/>
    <cellStyle name="Note 2 3 2 2 14 3 2" xfId="37617"/>
    <cellStyle name="Note 2 3 2 2 14 4" xfId="27558"/>
    <cellStyle name="Note 2 3 2 2 15" xfId="7366"/>
    <cellStyle name="Note 2 3 2 2 15 2" xfId="7367"/>
    <cellStyle name="Note 2 3 2 2 15 2 2" xfId="20700"/>
    <cellStyle name="Note 2 3 2 2 15 2 2 2" xfId="40768"/>
    <cellStyle name="Note 2 3 2 2 15 2 3" xfId="27561"/>
    <cellStyle name="Note 2 3 2 2 15 3" xfId="17684"/>
    <cellStyle name="Note 2 3 2 2 15 3 2" xfId="37752"/>
    <cellStyle name="Note 2 3 2 2 15 4" xfId="27560"/>
    <cellStyle name="Note 2 3 2 2 16" xfId="7368"/>
    <cellStyle name="Note 2 3 2 2 16 2" xfId="7369"/>
    <cellStyle name="Note 2 3 2 2 16 2 2" xfId="20701"/>
    <cellStyle name="Note 2 3 2 2 16 2 2 2" xfId="40769"/>
    <cellStyle name="Note 2 3 2 2 16 2 3" xfId="27563"/>
    <cellStyle name="Note 2 3 2 2 16 3" xfId="17799"/>
    <cellStyle name="Note 2 3 2 2 16 3 2" xfId="37867"/>
    <cellStyle name="Note 2 3 2 2 16 4" xfId="27562"/>
    <cellStyle name="Note 2 3 2 2 17" xfId="7370"/>
    <cellStyle name="Note 2 3 2 2 17 2" xfId="7371"/>
    <cellStyle name="Note 2 3 2 2 17 2 2" xfId="20702"/>
    <cellStyle name="Note 2 3 2 2 17 2 2 2" xfId="40770"/>
    <cellStyle name="Note 2 3 2 2 17 2 3" xfId="27565"/>
    <cellStyle name="Note 2 3 2 2 17 3" xfId="17937"/>
    <cellStyle name="Note 2 3 2 2 17 3 2" xfId="38005"/>
    <cellStyle name="Note 2 3 2 2 17 4" xfId="27564"/>
    <cellStyle name="Note 2 3 2 2 18" xfId="7372"/>
    <cellStyle name="Note 2 3 2 2 18 2" xfId="7373"/>
    <cellStyle name="Note 2 3 2 2 18 2 2" xfId="20703"/>
    <cellStyle name="Note 2 3 2 2 18 2 2 2" xfId="40771"/>
    <cellStyle name="Note 2 3 2 2 18 2 3" xfId="27567"/>
    <cellStyle name="Note 2 3 2 2 18 3" xfId="18076"/>
    <cellStyle name="Note 2 3 2 2 18 3 2" xfId="38144"/>
    <cellStyle name="Note 2 3 2 2 18 4" xfId="27566"/>
    <cellStyle name="Note 2 3 2 2 19" xfId="7374"/>
    <cellStyle name="Note 2 3 2 2 19 2" xfId="7375"/>
    <cellStyle name="Note 2 3 2 2 19 2 2" xfId="20704"/>
    <cellStyle name="Note 2 3 2 2 19 2 2 2" xfId="40772"/>
    <cellStyle name="Note 2 3 2 2 19 2 3" xfId="27569"/>
    <cellStyle name="Note 2 3 2 2 19 3" xfId="18194"/>
    <cellStyle name="Note 2 3 2 2 19 3 2" xfId="38262"/>
    <cellStyle name="Note 2 3 2 2 19 4" xfId="27568"/>
    <cellStyle name="Note 2 3 2 2 2" xfId="7376"/>
    <cellStyle name="Note 2 3 2 2 2 2" xfId="7377"/>
    <cellStyle name="Note 2 3 2 2 2 2 2" xfId="20705"/>
    <cellStyle name="Note 2 3 2 2 2 2 2 2" xfId="40773"/>
    <cellStyle name="Note 2 3 2 2 2 2 3" xfId="27571"/>
    <cellStyle name="Note 2 3 2 2 2 3" xfId="14662"/>
    <cellStyle name="Note 2 3 2 2 2 3 2" xfId="34730"/>
    <cellStyle name="Note 2 3 2 2 2 4" xfId="27570"/>
    <cellStyle name="Note 2 3 2 2 20" xfId="7378"/>
    <cellStyle name="Note 2 3 2 2 20 2" xfId="7379"/>
    <cellStyle name="Note 2 3 2 2 20 2 2" xfId="20706"/>
    <cellStyle name="Note 2 3 2 2 20 2 2 2" xfId="40774"/>
    <cellStyle name="Note 2 3 2 2 20 2 3" xfId="27573"/>
    <cellStyle name="Note 2 3 2 2 20 3" xfId="18137"/>
    <cellStyle name="Note 2 3 2 2 20 3 2" xfId="38205"/>
    <cellStyle name="Note 2 3 2 2 20 4" xfId="27572"/>
    <cellStyle name="Note 2 3 2 2 21" xfId="7380"/>
    <cellStyle name="Note 2 3 2 2 21 2" xfId="7381"/>
    <cellStyle name="Note 2 3 2 2 21 2 2" xfId="20707"/>
    <cellStyle name="Note 2 3 2 2 21 2 2 2" xfId="40775"/>
    <cellStyle name="Note 2 3 2 2 21 2 3" xfId="27575"/>
    <cellStyle name="Note 2 3 2 2 21 3" xfId="18399"/>
    <cellStyle name="Note 2 3 2 2 21 3 2" xfId="38467"/>
    <cellStyle name="Note 2 3 2 2 21 4" xfId="27574"/>
    <cellStyle name="Note 2 3 2 2 22" xfId="7382"/>
    <cellStyle name="Note 2 3 2 2 22 2" xfId="7383"/>
    <cellStyle name="Note 2 3 2 2 22 2 2" xfId="20708"/>
    <cellStyle name="Note 2 3 2 2 22 2 2 2" xfId="40776"/>
    <cellStyle name="Note 2 3 2 2 22 2 3" xfId="27577"/>
    <cellStyle name="Note 2 3 2 2 22 3" xfId="18532"/>
    <cellStyle name="Note 2 3 2 2 22 3 2" xfId="38600"/>
    <cellStyle name="Note 2 3 2 2 22 4" xfId="27576"/>
    <cellStyle name="Note 2 3 2 2 23" xfId="7384"/>
    <cellStyle name="Note 2 3 2 2 23 2" xfId="7385"/>
    <cellStyle name="Note 2 3 2 2 23 2 2" xfId="20709"/>
    <cellStyle name="Note 2 3 2 2 23 2 2 2" xfId="40777"/>
    <cellStyle name="Note 2 3 2 2 23 2 3" xfId="27579"/>
    <cellStyle name="Note 2 3 2 2 23 3" xfId="18643"/>
    <cellStyle name="Note 2 3 2 2 23 3 2" xfId="38711"/>
    <cellStyle name="Note 2 3 2 2 23 4" xfId="27578"/>
    <cellStyle name="Note 2 3 2 2 24" xfId="7386"/>
    <cellStyle name="Note 2 3 2 2 24 2" xfId="7387"/>
    <cellStyle name="Note 2 3 2 2 24 2 2" xfId="20710"/>
    <cellStyle name="Note 2 3 2 2 24 2 2 2" xfId="40778"/>
    <cellStyle name="Note 2 3 2 2 24 2 3" xfId="27581"/>
    <cellStyle name="Note 2 3 2 2 24 3" xfId="18743"/>
    <cellStyle name="Note 2 3 2 2 24 3 2" xfId="38811"/>
    <cellStyle name="Note 2 3 2 2 24 4" xfId="27580"/>
    <cellStyle name="Note 2 3 2 2 25" xfId="7388"/>
    <cellStyle name="Note 2 3 2 2 25 2" xfId="7389"/>
    <cellStyle name="Note 2 3 2 2 25 2 2" xfId="20711"/>
    <cellStyle name="Note 2 3 2 2 25 2 2 2" xfId="40779"/>
    <cellStyle name="Note 2 3 2 2 25 2 3" xfId="27583"/>
    <cellStyle name="Note 2 3 2 2 25 3" xfId="18843"/>
    <cellStyle name="Note 2 3 2 2 25 3 2" xfId="38911"/>
    <cellStyle name="Note 2 3 2 2 25 4" xfId="27582"/>
    <cellStyle name="Note 2 3 2 2 26" xfId="7390"/>
    <cellStyle name="Note 2 3 2 2 26 2" xfId="20694"/>
    <cellStyle name="Note 2 3 2 2 26 2 2" xfId="40762"/>
    <cellStyle name="Note 2 3 2 2 26 3" xfId="27584"/>
    <cellStyle name="Note 2 3 2 2 27" xfId="14350"/>
    <cellStyle name="Note 2 3 2 2 27 2" xfId="34418"/>
    <cellStyle name="Note 2 3 2 2 28" xfId="27549"/>
    <cellStyle name="Note 2 3 2 2 3" xfId="7391"/>
    <cellStyle name="Note 2 3 2 2 3 2" xfId="7392"/>
    <cellStyle name="Note 2 3 2 2 3 2 2" xfId="20712"/>
    <cellStyle name="Note 2 3 2 2 3 2 2 2" xfId="40780"/>
    <cellStyle name="Note 2 3 2 2 3 2 3" xfId="27586"/>
    <cellStyle name="Note 2 3 2 2 3 3" xfId="14786"/>
    <cellStyle name="Note 2 3 2 2 3 3 2" xfId="34854"/>
    <cellStyle name="Note 2 3 2 2 3 4" xfId="27585"/>
    <cellStyle name="Note 2 3 2 2 4" xfId="7393"/>
    <cellStyle name="Note 2 3 2 2 4 2" xfId="7394"/>
    <cellStyle name="Note 2 3 2 2 4 2 2" xfId="20713"/>
    <cellStyle name="Note 2 3 2 2 4 2 2 2" xfId="40781"/>
    <cellStyle name="Note 2 3 2 2 4 2 3" xfId="27588"/>
    <cellStyle name="Note 2 3 2 2 4 3" xfId="14911"/>
    <cellStyle name="Note 2 3 2 2 4 3 2" xfId="34979"/>
    <cellStyle name="Note 2 3 2 2 4 4" xfId="27587"/>
    <cellStyle name="Note 2 3 2 2 5" xfId="7395"/>
    <cellStyle name="Note 2 3 2 2 5 2" xfId="7396"/>
    <cellStyle name="Note 2 3 2 2 5 2 2" xfId="20714"/>
    <cellStyle name="Note 2 3 2 2 5 2 2 2" xfId="40782"/>
    <cellStyle name="Note 2 3 2 2 5 2 3" xfId="27590"/>
    <cellStyle name="Note 2 3 2 2 5 3" xfId="15080"/>
    <cellStyle name="Note 2 3 2 2 5 3 2" xfId="35148"/>
    <cellStyle name="Note 2 3 2 2 5 4" xfId="27589"/>
    <cellStyle name="Note 2 3 2 2 6" xfId="7397"/>
    <cellStyle name="Note 2 3 2 2 6 2" xfId="7398"/>
    <cellStyle name="Note 2 3 2 2 6 2 2" xfId="20715"/>
    <cellStyle name="Note 2 3 2 2 6 2 2 2" xfId="40783"/>
    <cellStyle name="Note 2 3 2 2 6 2 3" xfId="27592"/>
    <cellStyle name="Note 2 3 2 2 6 3" xfId="14029"/>
    <cellStyle name="Note 2 3 2 2 6 3 2" xfId="34097"/>
    <cellStyle name="Note 2 3 2 2 6 4" xfId="27591"/>
    <cellStyle name="Note 2 3 2 2 7" xfId="7399"/>
    <cellStyle name="Note 2 3 2 2 7 2" xfId="7400"/>
    <cellStyle name="Note 2 3 2 2 7 2 2" xfId="20716"/>
    <cellStyle name="Note 2 3 2 2 7 2 2 2" xfId="40784"/>
    <cellStyle name="Note 2 3 2 2 7 2 3" xfId="27594"/>
    <cellStyle name="Note 2 3 2 2 7 3" xfId="15212"/>
    <cellStyle name="Note 2 3 2 2 7 3 2" xfId="35280"/>
    <cellStyle name="Note 2 3 2 2 7 4" xfId="27593"/>
    <cellStyle name="Note 2 3 2 2 8" xfId="7401"/>
    <cellStyle name="Note 2 3 2 2 8 2" xfId="7402"/>
    <cellStyle name="Note 2 3 2 2 8 2 2" xfId="20717"/>
    <cellStyle name="Note 2 3 2 2 8 2 2 2" xfId="40785"/>
    <cellStyle name="Note 2 3 2 2 8 2 3" xfId="27596"/>
    <cellStyle name="Note 2 3 2 2 8 3" xfId="16577"/>
    <cellStyle name="Note 2 3 2 2 8 3 2" xfId="36645"/>
    <cellStyle name="Note 2 3 2 2 8 4" xfId="27595"/>
    <cellStyle name="Note 2 3 2 2 9" xfId="7403"/>
    <cellStyle name="Note 2 3 2 2 9 2" xfId="7404"/>
    <cellStyle name="Note 2 3 2 2 9 2 2" xfId="20718"/>
    <cellStyle name="Note 2 3 2 2 9 2 2 2" xfId="40786"/>
    <cellStyle name="Note 2 3 2 2 9 2 3" xfId="27598"/>
    <cellStyle name="Note 2 3 2 2 9 3" xfId="16781"/>
    <cellStyle name="Note 2 3 2 2 9 3 2" xfId="36849"/>
    <cellStyle name="Note 2 3 2 2 9 4" xfId="27597"/>
    <cellStyle name="Note 2 3 2 20" xfId="7405"/>
    <cellStyle name="Note 2 3 2 20 2" xfId="7406"/>
    <cellStyle name="Note 2 3 2 20 2 2" xfId="20719"/>
    <cellStyle name="Note 2 3 2 20 2 2 2" xfId="40787"/>
    <cellStyle name="Note 2 3 2 20 2 3" xfId="27600"/>
    <cellStyle name="Note 2 3 2 20 3" xfId="15777"/>
    <cellStyle name="Note 2 3 2 20 3 2" xfId="35845"/>
    <cellStyle name="Note 2 3 2 20 4" xfId="27599"/>
    <cellStyle name="Note 2 3 2 21" xfId="7407"/>
    <cellStyle name="Note 2 3 2 21 2" xfId="7408"/>
    <cellStyle name="Note 2 3 2 21 2 2" xfId="20720"/>
    <cellStyle name="Note 2 3 2 21 2 2 2" xfId="40788"/>
    <cellStyle name="Note 2 3 2 21 2 3" xfId="27602"/>
    <cellStyle name="Note 2 3 2 21 3" xfId="15735"/>
    <cellStyle name="Note 2 3 2 21 3 2" xfId="35803"/>
    <cellStyle name="Note 2 3 2 21 4" xfId="27601"/>
    <cellStyle name="Note 2 3 2 22" xfId="7409"/>
    <cellStyle name="Note 2 3 2 22 2" xfId="7410"/>
    <cellStyle name="Note 2 3 2 22 2 2" xfId="20721"/>
    <cellStyle name="Note 2 3 2 22 2 2 2" xfId="40789"/>
    <cellStyle name="Note 2 3 2 22 2 3" xfId="27604"/>
    <cellStyle name="Note 2 3 2 22 3" xfId="17864"/>
    <cellStyle name="Note 2 3 2 22 3 2" xfId="37932"/>
    <cellStyle name="Note 2 3 2 22 4" xfId="27603"/>
    <cellStyle name="Note 2 3 2 23" xfId="7411"/>
    <cellStyle name="Note 2 3 2 23 2" xfId="7412"/>
    <cellStyle name="Note 2 3 2 23 2 2" xfId="20722"/>
    <cellStyle name="Note 2 3 2 23 2 2 2" xfId="40790"/>
    <cellStyle name="Note 2 3 2 23 2 3" xfId="27606"/>
    <cellStyle name="Note 2 3 2 23 3" xfId="15934"/>
    <cellStyle name="Note 2 3 2 23 3 2" xfId="36002"/>
    <cellStyle name="Note 2 3 2 23 4" xfId="27605"/>
    <cellStyle name="Note 2 3 2 24" xfId="7413"/>
    <cellStyle name="Note 2 3 2 24 2" xfId="7414"/>
    <cellStyle name="Note 2 3 2 24 2 2" xfId="20723"/>
    <cellStyle name="Note 2 3 2 24 2 2 2" xfId="40791"/>
    <cellStyle name="Note 2 3 2 24 2 3" xfId="27608"/>
    <cellStyle name="Note 2 3 2 24 3" xfId="15966"/>
    <cellStyle name="Note 2 3 2 24 3 2" xfId="36034"/>
    <cellStyle name="Note 2 3 2 24 4" xfId="27607"/>
    <cellStyle name="Note 2 3 2 25" xfId="7415"/>
    <cellStyle name="Note 2 3 2 25 2" xfId="7416"/>
    <cellStyle name="Note 2 3 2 25 2 2" xfId="20724"/>
    <cellStyle name="Note 2 3 2 25 2 2 2" xfId="40792"/>
    <cellStyle name="Note 2 3 2 25 2 3" xfId="27610"/>
    <cellStyle name="Note 2 3 2 25 3" xfId="18023"/>
    <cellStyle name="Note 2 3 2 25 3 2" xfId="38091"/>
    <cellStyle name="Note 2 3 2 25 4" xfId="27609"/>
    <cellStyle name="Note 2 3 2 26" xfId="7417"/>
    <cellStyle name="Note 2 3 2 26 2" xfId="7418"/>
    <cellStyle name="Note 2 3 2 26 2 2" xfId="20725"/>
    <cellStyle name="Note 2 3 2 26 2 2 2" xfId="40793"/>
    <cellStyle name="Note 2 3 2 26 2 3" xfId="27612"/>
    <cellStyle name="Note 2 3 2 26 3" xfId="16270"/>
    <cellStyle name="Note 2 3 2 26 3 2" xfId="36338"/>
    <cellStyle name="Note 2 3 2 26 4" xfId="27611"/>
    <cellStyle name="Note 2 3 2 27" xfId="7419"/>
    <cellStyle name="Note 2 3 2 27 2" xfId="7420"/>
    <cellStyle name="Note 2 3 2 27 2 2" xfId="20726"/>
    <cellStyle name="Note 2 3 2 27 2 2 2" xfId="40794"/>
    <cellStyle name="Note 2 3 2 27 2 3" xfId="27614"/>
    <cellStyle name="Note 2 3 2 27 3" xfId="18272"/>
    <cellStyle name="Note 2 3 2 27 3 2" xfId="38340"/>
    <cellStyle name="Note 2 3 2 27 4" xfId="27613"/>
    <cellStyle name="Note 2 3 2 28" xfId="7421"/>
    <cellStyle name="Note 2 3 2 28 2" xfId="20683"/>
    <cellStyle name="Note 2 3 2 28 2 2" xfId="40751"/>
    <cellStyle name="Note 2 3 2 28 3" xfId="27615"/>
    <cellStyle name="Note 2 3 2 29" xfId="13893"/>
    <cellStyle name="Note 2 3 2 29 2" xfId="33961"/>
    <cellStyle name="Note 2 3 2 3" xfId="7422"/>
    <cellStyle name="Note 2 3 2 3 2" xfId="7423"/>
    <cellStyle name="Note 2 3 2 3 2 2" xfId="20727"/>
    <cellStyle name="Note 2 3 2 3 2 2 2" xfId="40795"/>
    <cellStyle name="Note 2 3 2 3 2 3" xfId="27617"/>
    <cellStyle name="Note 2 3 2 3 3" xfId="14366"/>
    <cellStyle name="Note 2 3 2 3 3 2" xfId="34434"/>
    <cellStyle name="Note 2 3 2 3 4" xfId="27616"/>
    <cellStyle name="Note 2 3 2 30" xfId="27528"/>
    <cellStyle name="Note 2 3 2 4" xfId="7424"/>
    <cellStyle name="Note 2 3 2 4 2" xfId="7425"/>
    <cellStyle name="Note 2 3 2 4 2 2" xfId="20728"/>
    <cellStyle name="Note 2 3 2 4 2 2 2" xfId="40796"/>
    <cellStyle name="Note 2 3 2 4 2 3" xfId="27619"/>
    <cellStyle name="Note 2 3 2 4 3" xfId="14034"/>
    <cellStyle name="Note 2 3 2 4 3 2" xfId="34102"/>
    <cellStyle name="Note 2 3 2 4 4" xfId="27618"/>
    <cellStyle name="Note 2 3 2 5" xfId="7426"/>
    <cellStyle name="Note 2 3 2 5 2" xfId="7427"/>
    <cellStyle name="Note 2 3 2 5 2 2" xfId="20729"/>
    <cellStyle name="Note 2 3 2 5 2 2 2" xfId="40797"/>
    <cellStyle name="Note 2 3 2 5 2 3" xfId="27621"/>
    <cellStyle name="Note 2 3 2 5 3" xfId="14451"/>
    <cellStyle name="Note 2 3 2 5 3 2" xfId="34519"/>
    <cellStyle name="Note 2 3 2 5 4" xfId="27620"/>
    <cellStyle name="Note 2 3 2 6" xfId="7428"/>
    <cellStyle name="Note 2 3 2 6 2" xfId="7429"/>
    <cellStyle name="Note 2 3 2 6 2 2" xfId="20730"/>
    <cellStyle name="Note 2 3 2 6 2 2 2" xfId="40798"/>
    <cellStyle name="Note 2 3 2 6 2 3" xfId="27623"/>
    <cellStyle name="Note 2 3 2 6 3" xfId="14283"/>
    <cellStyle name="Note 2 3 2 6 3 2" xfId="34351"/>
    <cellStyle name="Note 2 3 2 6 4" xfId="27622"/>
    <cellStyle name="Note 2 3 2 7" xfId="7430"/>
    <cellStyle name="Note 2 3 2 7 2" xfId="7431"/>
    <cellStyle name="Note 2 3 2 7 2 2" xfId="20731"/>
    <cellStyle name="Note 2 3 2 7 2 2 2" xfId="40799"/>
    <cellStyle name="Note 2 3 2 7 2 3" xfId="27625"/>
    <cellStyle name="Note 2 3 2 7 3" xfId="14274"/>
    <cellStyle name="Note 2 3 2 7 3 2" xfId="34342"/>
    <cellStyle name="Note 2 3 2 7 4" xfId="27624"/>
    <cellStyle name="Note 2 3 2 8" xfId="7432"/>
    <cellStyle name="Note 2 3 2 8 2" xfId="7433"/>
    <cellStyle name="Note 2 3 2 8 2 2" xfId="20732"/>
    <cellStyle name="Note 2 3 2 8 2 2 2" xfId="40800"/>
    <cellStyle name="Note 2 3 2 8 2 3" xfId="27627"/>
    <cellStyle name="Note 2 3 2 8 3" xfId="14309"/>
    <cellStyle name="Note 2 3 2 8 3 2" xfId="34377"/>
    <cellStyle name="Note 2 3 2 8 4" xfId="27626"/>
    <cellStyle name="Note 2 3 2 9" xfId="7434"/>
    <cellStyle name="Note 2 3 2 9 2" xfId="7435"/>
    <cellStyle name="Note 2 3 2 9 2 2" xfId="20733"/>
    <cellStyle name="Note 2 3 2 9 2 2 2" xfId="40801"/>
    <cellStyle name="Note 2 3 2 9 2 3" xfId="27629"/>
    <cellStyle name="Note 2 3 2 9 3" xfId="15299"/>
    <cellStyle name="Note 2 3 2 9 3 2" xfId="35367"/>
    <cellStyle name="Note 2 3 2 9 4" xfId="27628"/>
    <cellStyle name="Note 2 3 20" xfId="7436"/>
    <cellStyle name="Note 2 3 20 2" xfId="7437"/>
    <cellStyle name="Note 2 3 20 2 2" xfId="20734"/>
    <cellStyle name="Note 2 3 20 2 2 2" xfId="40802"/>
    <cellStyle name="Note 2 3 20 2 3" xfId="27631"/>
    <cellStyle name="Note 2 3 20 3" xfId="15728"/>
    <cellStyle name="Note 2 3 20 3 2" xfId="35796"/>
    <cellStyle name="Note 2 3 20 4" xfId="27630"/>
    <cellStyle name="Note 2 3 21" xfId="7438"/>
    <cellStyle name="Note 2 3 21 2" xfId="7439"/>
    <cellStyle name="Note 2 3 21 2 2" xfId="20735"/>
    <cellStyle name="Note 2 3 21 2 2 2" xfId="40803"/>
    <cellStyle name="Note 2 3 21 2 3" xfId="27633"/>
    <cellStyle name="Note 2 3 21 3" xfId="15429"/>
    <cellStyle name="Note 2 3 21 3 2" xfId="35497"/>
    <cellStyle name="Note 2 3 21 4" xfId="27632"/>
    <cellStyle name="Note 2 3 22" xfId="7440"/>
    <cellStyle name="Note 2 3 22 2" xfId="7441"/>
    <cellStyle name="Note 2 3 22 2 2" xfId="20736"/>
    <cellStyle name="Note 2 3 22 2 2 2" xfId="40804"/>
    <cellStyle name="Note 2 3 22 2 3" xfId="27635"/>
    <cellStyle name="Note 2 3 22 3" xfId="15776"/>
    <cellStyle name="Note 2 3 22 3 2" xfId="35844"/>
    <cellStyle name="Note 2 3 22 4" xfId="27634"/>
    <cellStyle name="Note 2 3 23" xfId="7442"/>
    <cellStyle name="Note 2 3 23 2" xfId="7443"/>
    <cellStyle name="Note 2 3 23 2 2" xfId="20737"/>
    <cellStyle name="Note 2 3 23 2 2 2" xfId="40805"/>
    <cellStyle name="Note 2 3 23 2 3" xfId="27637"/>
    <cellStyle name="Note 2 3 23 3" xfId="17506"/>
    <cellStyle name="Note 2 3 23 3 2" xfId="37574"/>
    <cellStyle name="Note 2 3 23 4" xfId="27636"/>
    <cellStyle name="Note 2 3 24" xfId="7444"/>
    <cellStyle name="Note 2 3 24 2" xfId="7445"/>
    <cellStyle name="Note 2 3 24 2 2" xfId="20738"/>
    <cellStyle name="Note 2 3 24 2 2 2" xfId="40806"/>
    <cellStyle name="Note 2 3 24 2 3" xfId="27639"/>
    <cellStyle name="Note 2 3 24 3" xfId="15675"/>
    <cellStyle name="Note 2 3 24 3 2" xfId="35743"/>
    <cellStyle name="Note 2 3 24 4" xfId="27638"/>
    <cellStyle name="Note 2 3 25" xfId="7446"/>
    <cellStyle name="Note 2 3 25 2" xfId="7447"/>
    <cellStyle name="Note 2 3 25 2 2" xfId="20739"/>
    <cellStyle name="Note 2 3 25 2 2 2" xfId="40807"/>
    <cellStyle name="Note 2 3 25 2 3" xfId="27641"/>
    <cellStyle name="Note 2 3 25 3" xfId="17735"/>
    <cellStyle name="Note 2 3 25 3 2" xfId="37803"/>
    <cellStyle name="Note 2 3 25 4" xfId="27640"/>
    <cellStyle name="Note 2 3 26" xfId="7448"/>
    <cellStyle name="Note 2 3 26 2" xfId="7449"/>
    <cellStyle name="Note 2 3 26 2 2" xfId="20740"/>
    <cellStyle name="Note 2 3 26 2 2 2" xfId="40808"/>
    <cellStyle name="Note 2 3 26 2 3" xfId="27643"/>
    <cellStyle name="Note 2 3 26 3" xfId="17039"/>
    <cellStyle name="Note 2 3 26 3 2" xfId="37107"/>
    <cellStyle name="Note 2 3 26 4" xfId="27642"/>
    <cellStyle name="Note 2 3 27" xfId="7450"/>
    <cellStyle name="Note 2 3 27 2" xfId="7451"/>
    <cellStyle name="Note 2 3 27 2 2" xfId="20741"/>
    <cellStyle name="Note 2 3 27 2 2 2" xfId="40809"/>
    <cellStyle name="Note 2 3 27 2 3" xfId="27645"/>
    <cellStyle name="Note 2 3 27 3" xfId="18022"/>
    <cellStyle name="Note 2 3 27 3 2" xfId="38090"/>
    <cellStyle name="Note 2 3 27 4" xfId="27644"/>
    <cellStyle name="Note 2 3 28" xfId="7452"/>
    <cellStyle name="Note 2 3 28 2" xfId="7453"/>
    <cellStyle name="Note 2 3 28 2 2" xfId="20742"/>
    <cellStyle name="Note 2 3 28 2 2 2" xfId="40810"/>
    <cellStyle name="Note 2 3 28 2 3" xfId="27647"/>
    <cellStyle name="Note 2 3 28 3" xfId="15895"/>
    <cellStyle name="Note 2 3 28 3 2" xfId="35963"/>
    <cellStyle name="Note 2 3 28 4" xfId="27646"/>
    <cellStyle name="Note 2 3 29" xfId="7454"/>
    <cellStyle name="Note 2 3 29 2" xfId="7455"/>
    <cellStyle name="Note 2 3 29 2 2" xfId="20743"/>
    <cellStyle name="Note 2 3 29 2 2 2" xfId="40811"/>
    <cellStyle name="Note 2 3 29 2 3" xfId="27649"/>
    <cellStyle name="Note 2 3 29 3" xfId="16387"/>
    <cellStyle name="Note 2 3 29 3 2" xfId="36455"/>
    <cellStyle name="Note 2 3 29 4" xfId="27648"/>
    <cellStyle name="Note 2 3 3" xfId="7456"/>
    <cellStyle name="Note 2 3 3 10" xfId="7457"/>
    <cellStyle name="Note 2 3 3 10 2" xfId="7458"/>
    <cellStyle name="Note 2 3 3 10 2 2" xfId="20745"/>
    <cellStyle name="Note 2 3 3 10 2 2 2" xfId="40813"/>
    <cellStyle name="Note 2 3 3 10 2 3" xfId="27652"/>
    <cellStyle name="Note 2 3 3 10 3" xfId="16443"/>
    <cellStyle name="Note 2 3 3 10 3 2" xfId="36511"/>
    <cellStyle name="Note 2 3 3 10 4" xfId="27651"/>
    <cellStyle name="Note 2 3 3 11" xfId="7459"/>
    <cellStyle name="Note 2 3 3 11 2" xfId="7460"/>
    <cellStyle name="Note 2 3 3 11 2 2" xfId="20746"/>
    <cellStyle name="Note 2 3 3 11 2 2 2" xfId="40814"/>
    <cellStyle name="Note 2 3 3 11 2 3" xfId="27654"/>
    <cellStyle name="Note 2 3 3 11 3" xfId="15789"/>
    <cellStyle name="Note 2 3 3 11 3 2" xfId="35857"/>
    <cellStyle name="Note 2 3 3 11 4" xfId="27653"/>
    <cellStyle name="Note 2 3 3 12" xfId="7461"/>
    <cellStyle name="Note 2 3 3 12 2" xfId="7462"/>
    <cellStyle name="Note 2 3 3 12 2 2" xfId="20747"/>
    <cellStyle name="Note 2 3 3 12 2 2 2" xfId="40815"/>
    <cellStyle name="Note 2 3 3 12 2 3" xfId="27656"/>
    <cellStyle name="Note 2 3 3 12 3" xfId="16001"/>
    <cellStyle name="Note 2 3 3 12 3 2" xfId="36069"/>
    <cellStyle name="Note 2 3 3 12 4" xfId="27655"/>
    <cellStyle name="Note 2 3 3 13" xfId="7463"/>
    <cellStyle name="Note 2 3 3 13 2" xfId="7464"/>
    <cellStyle name="Note 2 3 3 13 2 2" xfId="20748"/>
    <cellStyle name="Note 2 3 3 13 2 2 2" xfId="40816"/>
    <cellStyle name="Note 2 3 3 13 2 3" xfId="27658"/>
    <cellStyle name="Note 2 3 3 13 3" xfId="15714"/>
    <cellStyle name="Note 2 3 3 13 3 2" xfId="35782"/>
    <cellStyle name="Note 2 3 3 13 4" xfId="27657"/>
    <cellStyle name="Note 2 3 3 14" xfId="7465"/>
    <cellStyle name="Note 2 3 3 14 2" xfId="7466"/>
    <cellStyle name="Note 2 3 3 14 2 2" xfId="20749"/>
    <cellStyle name="Note 2 3 3 14 2 2 2" xfId="40817"/>
    <cellStyle name="Note 2 3 3 14 2 3" xfId="27660"/>
    <cellStyle name="Note 2 3 3 14 3" xfId="15758"/>
    <cellStyle name="Note 2 3 3 14 3 2" xfId="35826"/>
    <cellStyle name="Note 2 3 3 14 4" xfId="27659"/>
    <cellStyle name="Note 2 3 3 15" xfId="7467"/>
    <cellStyle name="Note 2 3 3 15 2" xfId="7468"/>
    <cellStyle name="Note 2 3 3 15 2 2" xfId="20750"/>
    <cellStyle name="Note 2 3 3 15 2 2 2" xfId="40818"/>
    <cellStyle name="Note 2 3 3 15 2 3" xfId="27662"/>
    <cellStyle name="Note 2 3 3 15 3" xfId="16359"/>
    <cellStyle name="Note 2 3 3 15 3 2" xfId="36427"/>
    <cellStyle name="Note 2 3 3 15 4" xfId="27661"/>
    <cellStyle name="Note 2 3 3 16" xfId="7469"/>
    <cellStyle name="Note 2 3 3 16 2" xfId="7470"/>
    <cellStyle name="Note 2 3 3 16 2 2" xfId="20751"/>
    <cellStyle name="Note 2 3 3 16 2 2 2" xfId="40819"/>
    <cellStyle name="Note 2 3 3 16 2 3" xfId="27664"/>
    <cellStyle name="Note 2 3 3 16 3" xfId="16289"/>
    <cellStyle name="Note 2 3 3 16 3 2" xfId="36357"/>
    <cellStyle name="Note 2 3 3 16 4" xfId="27663"/>
    <cellStyle name="Note 2 3 3 17" xfId="7471"/>
    <cellStyle name="Note 2 3 3 17 2" xfId="7472"/>
    <cellStyle name="Note 2 3 3 17 2 2" xfId="20752"/>
    <cellStyle name="Note 2 3 3 17 2 2 2" xfId="40820"/>
    <cellStyle name="Note 2 3 3 17 2 3" xfId="27666"/>
    <cellStyle name="Note 2 3 3 17 3" xfId="15604"/>
    <cellStyle name="Note 2 3 3 17 3 2" xfId="35672"/>
    <cellStyle name="Note 2 3 3 17 4" xfId="27665"/>
    <cellStyle name="Note 2 3 3 18" xfId="7473"/>
    <cellStyle name="Note 2 3 3 18 2" xfId="7474"/>
    <cellStyle name="Note 2 3 3 18 2 2" xfId="20753"/>
    <cellStyle name="Note 2 3 3 18 2 2 2" xfId="40821"/>
    <cellStyle name="Note 2 3 3 18 2 3" xfId="27668"/>
    <cellStyle name="Note 2 3 3 18 3" xfId="15982"/>
    <cellStyle name="Note 2 3 3 18 3 2" xfId="36050"/>
    <cellStyle name="Note 2 3 3 18 4" xfId="27667"/>
    <cellStyle name="Note 2 3 3 19" xfId="7475"/>
    <cellStyle name="Note 2 3 3 19 2" xfId="7476"/>
    <cellStyle name="Note 2 3 3 19 2 2" xfId="20754"/>
    <cellStyle name="Note 2 3 3 19 2 2 2" xfId="40822"/>
    <cellStyle name="Note 2 3 3 19 2 3" xfId="27670"/>
    <cellStyle name="Note 2 3 3 19 3" xfId="15454"/>
    <cellStyle name="Note 2 3 3 19 3 2" xfId="35522"/>
    <cellStyle name="Note 2 3 3 19 4" xfId="27669"/>
    <cellStyle name="Note 2 3 3 2" xfId="7477"/>
    <cellStyle name="Note 2 3 3 2 10" xfId="7478"/>
    <cellStyle name="Note 2 3 3 2 10 2" xfId="7479"/>
    <cellStyle name="Note 2 3 3 2 10 2 2" xfId="20756"/>
    <cellStyle name="Note 2 3 3 2 10 2 2 2" xfId="40824"/>
    <cellStyle name="Note 2 3 3 2 10 2 3" xfId="27673"/>
    <cellStyle name="Note 2 3 3 2 10 3" xfId="16943"/>
    <cellStyle name="Note 2 3 3 2 10 3 2" xfId="37011"/>
    <cellStyle name="Note 2 3 3 2 10 4" xfId="27672"/>
    <cellStyle name="Note 2 3 3 2 11" xfId="7480"/>
    <cellStyle name="Note 2 3 3 2 11 2" xfId="7481"/>
    <cellStyle name="Note 2 3 3 2 11 2 2" xfId="20757"/>
    <cellStyle name="Note 2 3 3 2 11 2 2 2" xfId="40825"/>
    <cellStyle name="Note 2 3 3 2 11 2 3" xfId="27675"/>
    <cellStyle name="Note 2 3 3 2 11 3" xfId="17088"/>
    <cellStyle name="Note 2 3 3 2 11 3 2" xfId="37156"/>
    <cellStyle name="Note 2 3 3 2 11 4" xfId="27674"/>
    <cellStyle name="Note 2 3 3 2 12" xfId="7482"/>
    <cellStyle name="Note 2 3 3 2 12 2" xfId="7483"/>
    <cellStyle name="Note 2 3 3 2 12 2 2" xfId="20758"/>
    <cellStyle name="Note 2 3 3 2 12 2 2 2" xfId="40826"/>
    <cellStyle name="Note 2 3 3 2 12 2 3" xfId="27677"/>
    <cellStyle name="Note 2 3 3 2 12 3" xfId="17260"/>
    <cellStyle name="Note 2 3 3 2 12 3 2" xfId="37328"/>
    <cellStyle name="Note 2 3 3 2 12 4" xfId="27676"/>
    <cellStyle name="Note 2 3 3 2 13" xfId="7484"/>
    <cellStyle name="Note 2 3 3 2 13 2" xfId="7485"/>
    <cellStyle name="Note 2 3 3 2 13 2 2" xfId="20759"/>
    <cellStyle name="Note 2 3 3 2 13 2 2 2" xfId="40827"/>
    <cellStyle name="Note 2 3 3 2 13 2 3" xfId="27679"/>
    <cellStyle name="Note 2 3 3 2 13 3" xfId="17424"/>
    <cellStyle name="Note 2 3 3 2 13 3 2" xfId="37492"/>
    <cellStyle name="Note 2 3 3 2 13 4" xfId="27678"/>
    <cellStyle name="Note 2 3 3 2 14" xfId="7486"/>
    <cellStyle name="Note 2 3 3 2 14 2" xfId="7487"/>
    <cellStyle name="Note 2 3 3 2 14 2 2" xfId="20760"/>
    <cellStyle name="Note 2 3 3 2 14 2 2 2" xfId="40828"/>
    <cellStyle name="Note 2 3 3 2 14 2 3" xfId="27681"/>
    <cellStyle name="Note 2 3 3 2 14 3" xfId="17550"/>
    <cellStyle name="Note 2 3 3 2 14 3 2" xfId="37618"/>
    <cellStyle name="Note 2 3 3 2 14 4" xfId="27680"/>
    <cellStyle name="Note 2 3 3 2 15" xfId="7488"/>
    <cellStyle name="Note 2 3 3 2 15 2" xfId="7489"/>
    <cellStyle name="Note 2 3 3 2 15 2 2" xfId="20761"/>
    <cellStyle name="Note 2 3 3 2 15 2 2 2" xfId="40829"/>
    <cellStyle name="Note 2 3 3 2 15 2 3" xfId="27683"/>
    <cellStyle name="Note 2 3 3 2 15 3" xfId="16158"/>
    <cellStyle name="Note 2 3 3 2 15 3 2" xfId="36226"/>
    <cellStyle name="Note 2 3 3 2 15 4" xfId="27682"/>
    <cellStyle name="Note 2 3 3 2 16" xfId="7490"/>
    <cellStyle name="Note 2 3 3 2 16 2" xfId="7491"/>
    <cellStyle name="Note 2 3 3 2 16 2 2" xfId="20762"/>
    <cellStyle name="Note 2 3 3 2 16 2 2 2" xfId="40830"/>
    <cellStyle name="Note 2 3 3 2 16 2 3" xfId="27685"/>
    <cellStyle name="Note 2 3 3 2 16 3" xfId="17800"/>
    <cellStyle name="Note 2 3 3 2 16 3 2" xfId="37868"/>
    <cellStyle name="Note 2 3 3 2 16 4" xfId="27684"/>
    <cellStyle name="Note 2 3 3 2 17" xfId="7492"/>
    <cellStyle name="Note 2 3 3 2 17 2" xfId="7493"/>
    <cellStyle name="Note 2 3 3 2 17 2 2" xfId="20763"/>
    <cellStyle name="Note 2 3 3 2 17 2 2 2" xfId="40831"/>
    <cellStyle name="Note 2 3 3 2 17 2 3" xfId="27687"/>
    <cellStyle name="Note 2 3 3 2 17 3" xfId="17938"/>
    <cellStyle name="Note 2 3 3 2 17 3 2" xfId="38006"/>
    <cellStyle name="Note 2 3 3 2 17 4" xfId="27686"/>
    <cellStyle name="Note 2 3 3 2 18" xfId="7494"/>
    <cellStyle name="Note 2 3 3 2 18 2" xfId="7495"/>
    <cellStyle name="Note 2 3 3 2 18 2 2" xfId="20764"/>
    <cellStyle name="Note 2 3 3 2 18 2 2 2" xfId="40832"/>
    <cellStyle name="Note 2 3 3 2 18 2 3" xfId="27689"/>
    <cellStyle name="Note 2 3 3 2 18 3" xfId="18077"/>
    <cellStyle name="Note 2 3 3 2 18 3 2" xfId="38145"/>
    <cellStyle name="Note 2 3 3 2 18 4" xfId="27688"/>
    <cellStyle name="Note 2 3 3 2 19" xfId="7496"/>
    <cellStyle name="Note 2 3 3 2 19 2" xfId="7497"/>
    <cellStyle name="Note 2 3 3 2 19 2 2" xfId="20765"/>
    <cellStyle name="Note 2 3 3 2 19 2 2 2" xfId="40833"/>
    <cellStyle name="Note 2 3 3 2 19 2 3" xfId="27691"/>
    <cellStyle name="Note 2 3 3 2 19 3" xfId="18195"/>
    <cellStyle name="Note 2 3 3 2 19 3 2" xfId="38263"/>
    <cellStyle name="Note 2 3 3 2 19 4" xfId="27690"/>
    <cellStyle name="Note 2 3 3 2 2" xfId="7498"/>
    <cellStyle name="Note 2 3 3 2 2 2" xfId="7499"/>
    <cellStyle name="Note 2 3 3 2 2 2 2" xfId="20766"/>
    <cellStyle name="Note 2 3 3 2 2 2 2 2" xfId="40834"/>
    <cellStyle name="Note 2 3 3 2 2 2 3" xfId="27693"/>
    <cellStyle name="Note 2 3 3 2 2 3" xfId="14663"/>
    <cellStyle name="Note 2 3 3 2 2 3 2" xfId="34731"/>
    <cellStyle name="Note 2 3 3 2 2 4" xfId="27692"/>
    <cellStyle name="Note 2 3 3 2 20" xfId="7500"/>
    <cellStyle name="Note 2 3 3 2 20 2" xfId="7501"/>
    <cellStyle name="Note 2 3 3 2 20 2 2" xfId="20767"/>
    <cellStyle name="Note 2 3 3 2 20 2 2 2" xfId="40835"/>
    <cellStyle name="Note 2 3 3 2 20 2 3" xfId="27695"/>
    <cellStyle name="Note 2 3 3 2 20 3" xfId="18138"/>
    <cellStyle name="Note 2 3 3 2 20 3 2" xfId="38206"/>
    <cellStyle name="Note 2 3 3 2 20 4" xfId="27694"/>
    <cellStyle name="Note 2 3 3 2 21" xfId="7502"/>
    <cellStyle name="Note 2 3 3 2 21 2" xfId="7503"/>
    <cellStyle name="Note 2 3 3 2 21 2 2" xfId="20768"/>
    <cellStyle name="Note 2 3 3 2 21 2 2 2" xfId="40836"/>
    <cellStyle name="Note 2 3 3 2 21 2 3" xfId="27697"/>
    <cellStyle name="Note 2 3 3 2 21 3" xfId="18400"/>
    <cellStyle name="Note 2 3 3 2 21 3 2" xfId="38468"/>
    <cellStyle name="Note 2 3 3 2 21 4" xfId="27696"/>
    <cellStyle name="Note 2 3 3 2 22" xfId="7504"/>
    <cellStyle name="Note 2 3 3 2 22 2" xfId="7505"/>
    <cellStyle name="Note 2 3 3 2 22 2 2" xfId="20769"/>
    <cellStyle name="Note 2 3 3 2 22 2 2 2" xfId="40837"/>
    <cellStyle name="Note 2 3 3 2 22 2 3" xfId="27699"/>
    <cellStyle name="Note 2 3 3 2 22 3" xfId="18533"/>
    <cellStyle name="Note 2 3 3 2 22 3 2" xfId="38601"/>
    <cellStyle name="Note 2 3 3 2 22 4" xfId="27698"/>
    <cellStyle name="Note 2 3 3 2 23" xfId="7506"/>
    <cellStyle name="Note 2 3 3 2 23 2" xfId="7507"/>
    <cellStyle name="Note 2 3 3 2 23 2 2" xfId="20770"/>
    <cellStyle name="Note 2 3 3 2 23 2 2 2" xfId="40838"/>
    <cellStyle name="Note 2 3 3 2 23 2 3" xfId="27701"/>
    <cellStyle name="Note 2 3 3 2 23 3" xfId="18644"/>
    <cellStyle name="Note 2 3 3 2 23 3 2" xfId="38712"/>
    <cellStyle name="Note 2 3 3 2 23 4" xfId="27700"/>
    <cellStyle name="Note 2 3 3 2 24" xfId="7508"/>
    <cellStyle name="Note 2 3 3 2 24 2" xfId="7509"/>
    <cellStyle name="Note 2 3 3 2 24 2 2" xfId="20771"/>
    <cellStyle name="Note 2 3 3 2 24 2 2 2" xfId="40839"/>
    <cellStyle name="Note 2 3 3 2 24 2 3" xfId="27703"/>
    <cellStyle name="Note 2 3 3 2 24 3" xfId="18744"/>
    <cellStyle name="Note 2 3 3 2 24 3 2" xfId="38812"/>
    <cellStyle name="Note 2 3 3 2 24 4" xfId="27702"/>
    <cellStyle name="Note 2 3 3 2 25" xfId="7510"/>
    <cellStyle name="Note 2 3 3 2 25 2" xfId="7511"/>
    <cellStyle name="Note 2 3 3 2 25 2 2" xfId="20772"/>
    <cellStyle name="Note 2 3 3 2 25 2 2 2" xfId="40840"/>
    <cellStyle name="Note 2 3 3 2 25 2 3" xfId="27705"/>
    <cellStyle name="Note 2 3 3 2 25 3" xfId="18844"/>
    <cellStyle name="Note 2 3 3 2 25 3 2" xfId="38912"/>
    <cellStyle name="Note 2 3 3 2 25 4" xfId="27704"/>
    <cellStyle name="Note 2 3 3 2 26" xfId="7512"/>
    <cellStyle name="Note 2 3 3 2 26 2" xfId="20755"/>
    <cellStyle name="Note 2 3 3 2 26 2 2" xfId="40823"/>
    <cellStyle name="Note 2 3 3 2 26 3" xfId="27706"/>
    <cellStyle name="Note 2 3 3 2 27" xfId="14231"/>
    <cellStyle name="Note 2 3 3 2 27 2" xfId="34299"/>
    <cellStyle name="Note 2 3 3 2 28" xfId="27671"/>
    <cellStyle name="Note 2 3 3 2 3" xfId="7513"/>
    <cellStyle name="Note 2 3 3 2 3 2" xfId="7514"/>
    <cellStyle name="Note 2 3 3 2 3 2 2" xfId="20773"/>
    <cellStyle name="Note 2 3 3 2 3 2 2 2" xfId="40841"/>
    <cellStyle name="Note 2 3 3 2 3 2 3" xfId="27708"/>
    <cellStyle name="Note 2 3 3 2 3 3" xfId="14787"/>
    <cellStyle name="Note 2 3 3 2 3 3 2" xfId="34855"/>
    <cellStyle name="Note 2 3 3 2 3 4" xfId="27707"/>
    <cellStyle name="Note 2 3 3 2 4" xfId="7515"/>
    <cellStyle name="Note 2 3 3 2 4 2" xfId="7516"/>
    <cellStyle name="Note 2 3 3 2 4 2 2" xfId="20774"/>
    <cellStyle name="Note 2 3 3 2 4 2 2 2" xfId="40842"/>
    <cellStyle name="Note 2 3 3 2 4 2 3" xfId="27710"/>
    <cellStyle name="Note 2 3 3 2 4 3" xfId="14912"/>
    <cellStyle name="Note 2 3 3 2 4 3 2" xfId="34980"/>
    <cellStyle name="Note 2 3 3 2 4 4" xfId="27709"/>
    <cellStyle name="Note 2 3 3 2 5" xfId="7517"/>
    <cellStyle name="Note 2 3 3 2 5 2" xfId="7518"/>
    <cellStyle name="Note 2 3 3 2 5 2 2" xfId="20775"/>
    <cellStyle name="Note 2 3 3 2 5 2 2 2" xfId="40843"/>
    <cellStyle name="Note 2 3 3 2 5 2 3" xfId="27712"/>
    <cellStyle name="Note 2 3 3 2 5 3" xfId="15081"/>
    <cellStyle name="Note 2 3 3 2 5 3 2" xfId="35149"/>
    <cellStyle name="Note 2 3 3 2 5 4" xfId="27711"/>
    <cellStyle name="Note 2 3 3 2 6" xfId="7519"/>
    <cellStyle name="Note 2 3 3 2 6 2" xfId="7520"/>
    <cellStyle name="Note 2 3 3 2 6 2 2" xfId="20776"/>
    <cellStyle name="Note 2 3 3 2 6 2 2 2" xfId="40844"/>
    <cellStyle name="Note 2 3 3 2 6 2 3" xfId="27714"/>
    <cellStyle name="Note 2 3 3 2 6 3" xfId="14225"/>
    <cellStyle name="Note 2 3 3 2 6 3 2" xfId="34293"/>
    <cellStyle name="Note 2 3 3 2 6 4" xfId="27713"/>
    <cellStyle name="Note 2 3 3 2 7" xfId="7521"/>
    <cellStyle name="Note 2 3 3 2 7 2" xfId="7522"/>
    <cellStyle name="Note 2 3 3 2 7 2 2" xfId="20777"/>
    <cellStyle name="Note 2 3 3 2 7 2 2 2" xfId="40845"/>
    <cellStyle name="Note 2 3 3 2 7 2 3" xfId="27716"/>
    <cellStyle name="Note 2 3 3 2 7 3" xfId="15213"/>
    <cellStyle name="Note 2 3 3 2 7 3 2" xfId="35281"/>
    <cellStyle name="Note 2 3 3 2 7 4" xfId="27715"/>
    <cellStyle name="Note 2 3 3 2 8" xfId="7523"/>
    <cellStyle name="Note 2 3 3 2 8 2" xfId="7524"/>
    <cellStyle name="Note 2 3 3 2 8 2 2" xfId="20778"/>
    <cellStyle name="Note 2 3 3 2 8 2 2 2" xfId="40846"/>
    <cellStyle name="Note 2 3 3 2 8 2 3" xfId="27718"/>
    <cellStyle name="Note 2 3 3 2 8 3" xfId="16578"/>
    <cellStyle name="Note 2 3 3 2 8 3 2" xfId="36646"/>
    <cellStyle name="Note 2 3 3 2 8 4" xfId="27717"/>
    <cellStyle name="Note 2 3 3 2 9" xfId="7525"/>
    <cellStyle name="Note 2 3 3 2 9 2" xfId="7526"/>
    <cellStyle name="Note 2 3 3 2 9 2 2" xfId="20779"/>
    <cellStyle name="Note 2 3 3 2 9 2 2 2" xfId="40847"/>
    <cellStyle name="Note 2 3 3 2 9 2 3" xfId="27720"/>
    <cellStyle name="Note 2 3 3 2 9 3" xfId="16782"/>
    <cellStyle name="Note 2 3 3 2 9 3 2" xfId="36850"/>
    <cellStyle name="Note 2 3 3 2 9 4" xfId="27719"/>
    <cellStyle name="Note 2 3 3 20" xfId="7527"/>
    <cellStyle name="Note 2 3 3 20 2" xfId="7528"/>
    <cellStyle name="Note 2 3 3 20 2 2" xfId="20780"/>
    <cellStyle name="Note 2 3 3 20 2 2 2" xfId="40848"/>
    <cellStyle name="Note 2 3 3 20 2 3" xfId="27722"/>
    <cellStyle name="Note 2 3 3 20 3" xfId="15883"/>
    <cellStyle name="Note 2 3 3 20 3 2" xfId="35951"/>
    <cellStyle name="Note 2 3 3 20 4" xfId="27721"/>
    <cellStyle name="Note 2 3 3 21" xfId="7529"/>
    <cellStyle name="Note 2 3 3 21 2" xfId="7530"/>
    <cellStyle name="Note 2 3 3 21 2 2" xfId="20781"/>
    <cellStyle name="Note 2 3 3 21 2 2 2" xfId="40849"/>
    <cellStyle name="Note 2 3 3 21 2 3" xfId="27724"/>
    <cellStyle name="Note 2 3 3 21 3" xfId="15627"/>
    <cellStyle name="Note 2 3 3 21 3 2" xfId="35695"/>
    <cellStyle name="Note 2 3 3 21 4" xfId="27723"/>
    <cellStyle name="Note 2 3 3 22" xfId="7531"/>
    <cellStyle name="Note 2 3 3 22 2" xfId="7532"/>
    <cellStyle name="Note 2 3 3 22 2 2" xfId="20782"/>
    <cellStyle name="Note 2 3 3 22 2 2 2" xfId="40850"/>
    <cellStyle name="Note 2 3 3 22 2 3" xfId="27726"/>
    <cellStyle name="Note 2 3 3 22 3" xfId="17379"/>
    <cellStyle name="Note 2 3 3 22 3 2" xfId="37447"/>
    <cellStyle name="Note 2 3 3 22 4" xfId="27725"/>
    <cellStyle name="Note 2 3 3 23" xfId="7533"/>
    <cellStyle name="Note 2 3 3 23 2" xfId="7534"/>
    <cellStyle name="Note 2 3 3 23 2 2" xfId="20783"/>
    <cellStyle name="Note 2 3 3 23 2 2 2" xfId="40851"/>
    <cellStyle name="Note 2 3 3 23 2 3" xfId="27728"/>
    <cellStyle name="Note 2 3 3 23 3" xfId="17352"/>
    <cellStyle name="Note 2 3 3 23 3 2" xfId="37420"/>
    <cellStyle name="Note 2 3 3 23 4" xfId="27727"/>
    <cellStyle name="Note 2 3 3 24" xfId="7535"/>
    <cellStyle name="Note 2 3 3 24 2" xfId="7536"/>
    <cellStyle name="Note 2 3 3 24 2 2" xfId="20784"/>
    <cellStyle name="Note 2 3 3 24 2 2 2" xfId="40852"/>
    <cellStyle name="Note 2 3 3 24 2 3" xfId="27730"/>
    <cellStyle name="Note 2 3 3 24 3" xfId="16844"/>
    <cellStyle name="Note 2 3 3 24 3 2" xfId="36912"/>
    <cellStyle name="Note 2 3 3 24 4" xfId="27729"/>
    <cellStyle name="Note 2 3 3 25" xfId="7537"/>
    <cellStyle name="Note 2 3 3 25 2" xfId="7538"/>
    <cellStyle name="Note 2 3 3 25 2 2" xfId="20785"/>
    <cellStyle name="Note 2 3 3 25 2 2 2" xfId="40853"/>
    <cellStyle name="Note 2 3 3 25 2 3" xfId="27732"/>
    <cellStyle name="Note 2 3 3 25 3" xfId="17651"/>
    <cellStyle name="Note 2 3 3 25 3 2" xfId="37719"/>
    <cellStyle name="Note 2 3 3 25 4" xfId="27731"/>
    <cellStyle name="Note 2 3 3 26" xfId="7539"/>
    <cellStyle name="Note 2 3 3 26 2" xfId="7540"/>
    <cellStyle name="Note 2 3 3 26 2 2" xfId="20786"/>
    <cellStyle name="Note 2 3 3 26 2 2 2" xfId="40854"/>
    <cellStyle name="Note 2 3 3 26 2 3" xfId="27734"/>
    <cellStyle name="Note 2 3 3 26 3" xfId="17375"/>
    <cellStyle name="Note 2 3 3 26 3 2" xfId="37443"/>
    <cellStyle name="Note 2 3 3 26 4" xfId="27733"/>
    <cellStyle name="Note 2 3 3 27" xfId="7541"/>
    <cellStyle name="Note 2 3 3 27 2" xfId="7542"/>
    <cellStyle name="Note 2 3 3 27 2 2" xfId="20787"/>
    <cellStyle name="Note 2 3 3 27 2 2 2" xfId="40855"/>
    <cellStyle name="Note 2 3 3 27 2 3" xfId="27736"/>
    <cellStyle name="Note 2 3 3 27 3" xfId="16407"/>
    <cellStyle name="Note 2 3 3 27 3 2" xfId="36475"/>
    <cellStyle name="Note 2 3 3 27 4" xfId="27735"/>
    <cellStyle name="Note 2 3 3 28" xfId="7543"/>
    <cellStyle name="Note 2 3 3 28 2" xfId="20744"/>
    <cellStyle name="Note 2 3 3 28 2 2" xfId="40812"/>
    <cellStyle name="Note 2 3 3 28 3" xfId="27737"/>
    <cellStyle name="Note 2 3 3 29" xfId="13894"/>
    <cellStyle name="Note 2 3 3 29 2" xfId="33962"/>
    <cellStyle name="Note 2 3 3 3" xfId="7544"/>
    <cellStyle name="Note 2 3 3 3 2" xfId="7545"/>
    <cellStyle name="Note 2 3 3 3 2 2" xfId="20788"/>
    <cellStyle name="Note 2 3 3 3 2 2 2" xfId="40856"/>
    <cellStyle name="Note 2 3 3 3 2 3" xfId="27739"/>
    <cellStyle name="Note 2 3 3 3 3" xfId="14148"/>
    <cellStyle name="Note 2 3 3 3 3 2" xfId="34216"/>
    <cellStyle name="Note 2 3 3 3 4" xfId="27738"/>
    <cellStyle name="Note 2 3 3 30" xfId="27650"/>
    <cellStyle name="Note 2 3 3 4" xfId="7546"/>
    <cellStyle name="Note 2 3 3 4 2" xfId="7547"/>
    <cellStyle name="Note 2 3 3 4 2 2" xfId="20789"/>
    <cellStyle name="Note 2 3 3 4 2 2 2" xfId="40857"/>
    <cellStyle name="Note 2 3 3 4 2 3" xfId="27741"/>
    <cellStyle name="Note 2 3 3 4 3" xfId="14039"/>
    <cellStyle name="Note 2 3 3 4 3 2" xfId="34107"/>
    <cellStyle name="Note 2 3 3 4 4" xfId="27740"/>
    <cellStyle name="Note 2 3 3 5" xfId="7548"/>
    <cellStyle name="Note 2 3 3 5 2" xfId="7549"/>
    <cellStyle name="Note 2 3 3 5 2 2" xfId="20790"/>
    <cellStyle name="Note 2 3 3 5 2 2 2" xfId="40858"/>
    <cellStyle name="Note 2 3 3 5 2 3" xfId="27743"/>
    <cellStyle name="Note 2 3 3 5 3" xfId="14377"/>
    <cellStyle name="Note 2 3 3 5 3 2" xfId="34445"/>
    <cellStyle name="Note 2 3 3 5 4" xfId="27742"/>
    <cellStyle name="Note 2 3 3 6" xfId="7550"/>
    <cellStyle name="Note 2 3 3 6 2" xfId="7551"/>
    <cellStyle name="Note 2 3 3 6 2 2" xfId="20791"/>
    <cellStyle name="Note 2 3 3 6 2 2 2" xfId="40859"/>
    <cellStyle name="Note 2 3 3 6 2 3" xfId="27745"/>
    <cellStyle name="Note 2 3 3 6 3" xfId="14389"/>
    <cellStyle name="Note 2 3 3 6 3 2" xfId="34457"/>
    <cellStyle name="Note 2 3 3 6 4" xfId="27744"/>
    <cellStyle name="Note 2 3 3 7" xfId="7552"/>
    <cellStyle name="Note 2 3 3 7 2" xfId="7553"/>
    <cellStyle name="Note 2 3 3 7 2 2" xfId="20792"/>
    <cellStyle name="Note 2 3 3 7 2 2 2" xfId="40860"/>
    <cellStyle name="Note 2 3 3 7 2 3" xfId="27747"/>
    <cellStyle name="Note 2 3 3 7 3" xfId="14187"/>
    <cellStyle name="Note 2 3 3 7 3 2" xfId="34255"/>
    <cellStyle name="Note 2 3 3 7 4" xfId="27746"/>
    <cellStyle name="Note 2 3 3 8" xfId="7554"/>
    <cellStyle name="Note 2 3 3 8 2" xfId="7555"/>
    <cellStyle name="Note 2 3 3 8 2 2" xfId="20793"/>
    <cellStyle name="Note 2 3 3 8 2 2 2" xfId="40861"/>
    <cellStyle name="Note 2 3 3 8 2 3" xfId="27749"/>
    <cellStyle name="Note 2 3 3 8 3" xfId="14158"/>
    <cellStyle name="Note 2 3 3 8 3 2" xfId="34226"/>
    <cellStyle name="Note 2 3 3 8 4" xfId="27748"/>
    <cellStyle name="Note 2 3 3 9" xfId="7556"/>
    <cellStyle name="Note 2 3 3 9 2" xfId="7557"/>
    <cellStyle name="Note 2 3 3 9 2 2" xfId="20794"/>
    <cellStyle name="Note 2 3 3 9 2 2 2" xfId="40862"/>
    <cellStyle name="Note 2 3 3 9 2 3" xfId="27751"/>
    <cellStyle name="Note 2 3 3 9 3" xfId="15300"/>
    <cellStyle name="Note 2 3 3 9 3 2" xfId="35368"/>
    <cellStyle name="Note 2 3 3 9 4" xfId="27750"/>
    <cellStyle name="Note 2 3 30" xfId="7558"/>
    <cellStyle name="Note 2 3 30 2" xfId="20672"/>
    <cellStyle name="Note 2 3 30 2 2" xfId="40740"/>
    <cellStyle name="Note 2 3 30 3" xfId="27752"/>
    <cellStyle name="Note 2 3 31" xfId="13892"/>
    <cellStyle name="Note 2 3 31 2" xfId="33960"/>
    <cellStyle name="Note 2 3 32" xfId="27507"/>
    <cellStyle name="Note 2 3 4" xfId="7559"/>
    <cellStyle name="Note 2 3 4 10" xfId="7560"/>
    <cellStyle name="Note 2 3 4 10 2" xfId="7561"/>
    <cellStyle name="Note 2 3 4 10 2 2" xfId="20796"/>
    <cellStyle name="Note 2 3 4 10 2 2 2" xfId="40864"/>
    <cellStyle name="Note 2 3 4 10 2 3" xfId="27755"/>
    <cellStyle name="Note 2 3 4 10 3" xfId="16941"/>
    <cellStyle name="Note 2 3 4 10 3 2" xfId="37009"/>
    <cellStyle name="Note 2 3 4 10 4" xfId="27754"/>
    <cellStyle name="Note 2 3 4 11" xfId="7562"/>
    <cellStyle name="Note 2 3 4 11 2" xfId="7563"/>
    <cellStyle name="Note 2 3 4 11 2 2" xfId="20797"/>
    <cellStyle name="Note 2 3 4 11 2 2 2" xfId="40865"/>
    <cellStyle name="Note 2 3 4 11 2 3" xfId="27757"/>
    <cellStyle name="Note 2 3 4 11 3" xfId="17086"/>
    <cellStyle name="Note 2 3 4 11 3 2" xfId="37154"/>
    <cellStyle name="Note 2 3 4 11 4" xfId="27756"/>
    <cellStyle name="Note 2 3 4 12" xfId="7564"/>
    <cellStyle name="Note 2 3 4 12 2" xfId="7565"/>
    <cellStyle name="Note 2 3 4 12 2 2" xfId="20798"/>
    <cellStyle name="Note 2 3 4 12 2 2 2" xfId="40866"/>
    <cellStyle name="Note 2 3 4 12 2 3" xfId="27759"/>
    <cellStyle name="Note 2 3 4 12 3" xfId="17258"/>
    <cellStyle name="Note 2 3 4 12 3 2" xfId="37326"/>
    <cellStyle name="Note 2 3 4 12 4" xfId="27758"/>
    <cellStyle name="Note 2 3 4 13" xfId="7566"/>
    <cellStyle name="Note 2 3 4 13 2" xfId="7567"/>
    <cellStyle name="Note 2 3 4 13 2 2" xfId="20799"/>
    <cellStyle name="Note 2 3 4 13 2 2 2" xfId="40867"/>
    <cellStyle name="Note 2 3 4 13 2 3" xfId="27761"/>
    <cellStyle name="Note 2 3 4 13 3" xfId="17422"/>
    <cellStyle name="Note 2 3 4 13 3 2" xfId="37490"/>
    <cellStyle name="Note 2 3 4 13 4" xfId="27760"/>
    <cellStyle name="Note 2 3 4 14" xfId="7568"/>
    <cellStyle name="Note 2 3 4 14 2" xfId="7569"/>
    <cellStyle name="Note 2 3 4 14 2 2" xfId="20800"/>
    <cellStyle name="Note 2 3 4 14 2 2 2" xfId="40868"/>
    <cellStyle name="Note 2 3 4 14 2 3" xfId="27763"/>
    <cellStyle name="Note 2 3 4 14 3" xfId="17548"/>
    <cellStyle name="Note 2 3 4 14 3 2" xfId="37616"/>
    <cellStyle name="Note 2 3 4 14 4" xfId="27762"/>
    <cellStyle name="Note 2 3 4 15" xfId="7570"/>
    <cellStyle name="Note 2 3 4 15 2" xfId="7571"/>
    <cellStyle name="Note 2 3 4 15 2 2" xfId="20801"/>
    <cellStyle name="Note 2 3 4 15 2 2 2" xfId="40869"/>
    <cellStyle name="Note 2 3 4 15 2 3" xfId="27765"/>
    <cellStyle name="Note 2 3 4 15 3" xfId="16039"/>
    <cellStyle name="Note 2 3 4 15 3 2" xfId="36107"/>
    <cellStyle name="Note 2 3 4 15 4" xfId="27764"/>
    <cellStyle name="Note 2 3 4 16" xfId="7572"/>
    <cellStyle name="Note 2 3 4 16 2" xfId="7573"/>
    <cellStyle name="Note 2 3 4 16 2 2" xfId="20802"/>
    <cellStyle name="Note 2 3 4 16 2 2 2" xfId="40870"/>
    <cellStyle name="Note 2 3 4 16 2 3" xfId="27767"/>
    <cellStyle name="Note 2 3 4 16 3" xfId="17798"/>
    <cellStyle name="Note 2 3 4 16 3 2" xfId="37866"/>
    <cellStyle name="Note 2 3 4 16 4" xfId="27766"/>
    <cellStyle name="Note 2 3 4 17" xfId="7574"/>
    <cellStyle name="Note 2 3 4 17 2" xfId="7575"/>
    <cellStyle name="Note 2 3 4 17 2 2" xfId="20803"/>
    <cellStyle name="Note 2 3 4 17 2 2 2" xfId="40871"/>
    <cellStyle name="Note 2 3 4 17 2 3" xfId="27769"/>
    <cellStyle name="Note 2 3 4 17 3" xfId="17936"/>
    <cellStyle name="Note 2 3 4 17 3 2" xfId="38004"/>
    <cellStyle name="Note 2 3 4 17 4" xfId="27768"/>
    <cellStyle name="Note 2 3 4 18" xfId="7576"/>
    <cellStyle name="Note 2 3 4 18 2" xfId="7577"/>
    <cellStyle name="Note 2 3 4 18 2 2" xfId="20804"/>
    <cellStyle name="Note 2 3 4 18 2 2 2" xfId="40872"/>
    <cellStyle name="Note 2 3 4 18 2 3" xfId="27771"/>
    <cellStyle name="Note 2 3 4 18 3" xfId="18075"/>
    <cellStyle name="Note 2 3 4 18 3 2" xfId="38143"/>
    <cellStyle name="Note 2 3 4 18 4" xfId="27770"/>
    <cellStyle name="Note 2 3 4 19" xfId="7578"/>
    <cellStyle name="Note 2 3 4 19 2" xfId="7579"/>
    <cellStyle name="Note 2 3 4 19 2 2" xfId="20805"/>
    <cellStyle name="Note 2 3 4 19 2 2 2" xfId="40873"/>
    <cellStyle name="Note 2 3 4 19 2 3" xfId="27773"/>
    <cellStyle name="Note 2 3 4 19 3" xfId="18193"/>
    <cellStyle name="Note 2 3 4 19 3 2" xfId="38261"/>
    <cellStyle name="Note 2 3 4 19 4" xfId="27772"/>
    <cellStyle name="Note 2 3 4 2" xfId="7580"/>
    <cellStyle name="Note 2 3 4 2 2" xfId="7581"/>
    <cellStyle name="Note 2 3 4 2 2 2" xfId="20806"/>
    <cellStyle name="Note 2 3 4 2 2 2 2" xfId="40874"/>
    <cellStyle name="Note 2 3 4 2 2 3" xfId="27775"/>
    <cellStyle name="Note 2 3 4 2 3" xfId="14661"/>
    <cellStyle name="Note 2 3 4 2 3 2" xfId="34729"/>
    <cellStyle name="Note 2 3 4 2 4" xfId="27774"/>
    <cellStyle name="Note 2 3 4 20" xfId="7582"/>
    <cellStyle name="Note 2 3 4 20 2" xfId="7583"/>
    <cellStyle name="Note 2 3 4 20 2 2" xfId="20807"/>
    <cellStyle name="Note 2 3 4 20 2 2 2" xfId="40875"/>
    <cellStyle name="Note 2 3 4 20 2 3" xfId="27777"/>
    <cellStyle name="Note 2 3 4 20 3" xfId="15467"/>
    <cellStyle name="Note 2 3 4 20 3 2" xfId="35535"/>
    <cellStyle name="Note 2 3 4 20 4" xfId="27776"/>
    <cellStyle name="Note 2 3 4 21" xfId="7584"/>
    <cellStyle name="Note 2 3 4 21 2" xfId="7585"/>
    <cellStyle name="Note 2 3 4 21 2 2" xfId="20808"/>
    <cellStyle name="Note 2 3 4 21 2 2 2" xfId="40876"/>
    <cellStyle name="Note 2 3 4 21 2 3" xfId="27779"/>
    <cellStyle name="Note 2 3 4 21 3" xfId="18398"/>
    <cellStyle name="Note 2 3 4 21 3 2" xfId="38466"/>
    <cellStyle name="Note 2 3 4 21 4" xfId="27778"/>
    <cellStyle name="Note 2 3 4 22" xfId="7586"/>
    <cellStyle name="Note 2 3 4 22 2" xfId="7587"/>
    <cellStyle name="Note 2 3 4 22 2 2" xfId="20809"/>
    <cellStyle name="Note 2 3 4 22 2 2 2" xfId="40877"/>
    <cellStyle name="Note 2 3 4 22 2 3" xfId="27781"/>
    <cellStyle name="Note 2 3 4 22 3" xfId="18531"/>
    <cellStyle name="Note 2 3 4 22 3 2" xfId="38599"/>
    <cellStyle name="Note 2 3 4 22 4" xfId="27780"/>
    <cellStyle name="Note 2 3 4 23" xfId="7588"/>
    <cellStyle name="Note 2 3 4 23 2" xfId="7589"/>
    <cellStyle name="Note 2 3 4 23 2 2" xfId="20810"/>
    <cellStyle name="Note 2 3 4 23 2 2 2" xfId="40878"/>
    <cellStyle name="Note 2 3 4 23 2 3" xfId="27783"/>
    <cellStyle name="Note 2 3 4 23 3" xfId="18642"/>
    <cellStyle name="Note 2 3 4 23 3 2" xfId="38710"/>
    <cellStyle name="Note 2 3 4 23 4" xfId="27782"/>
    <cellStyle name="Note 2 3 4 24" xfId="7590"/>
    <cellStyle name="Note 2 3 4 24 2" xfId="7591"/>
    <cellStyle name="Note 2 3 4 24 2 2" xfId="20811"/>
    <cellStyle name="Note 2 3 4 24 2 2 2" xfId="40879"/>
    <cellStyle name="Note 2 3 4 24 2 3" xfId="27785"/>
    <cellStyle name="Note 2 3 4 24 3" xfId="18742"/>
    <cellStyle name="Note 2 3 4 24 3 2" xfId="38810"/>
    <cellStyle name="Note 2 3 4 24 4" xfId="27784"/>
    <cellStyle name="Note 2 3 4 25" xfId="7592"/>
    <cellStyle name="Note 2 3 4 25 2" xfId="7593"/>
    <cellStyle name="Note 2 3 4 25 2 2" xfId="20812"/>
    <cellStyle name="Note 2 3 4 25 2 2 2" xfId="40880"/>
    <cellStyle name="Note 2 3 4 25 2 3" xfId="27787"/>
    <cellStyle name="Note 2 3 4 25 3" xfId="18842"/>
    <cellStyle name="Note 2 3 4 25 3 2" xfId="38910"/>
    <cellStyle name="Note 2 3 4 25 4" xfId="27786"/>
    <cellStyle name="Note 2 3 4 26" xfId="7594"/>
    <cellStyle name="Note 2 3 4 26 2" xfId="20795"/>
    <cellStyle name="Note 2 3 4 26 2 2" xfId="40863"/>
    <cellStyle name="Note 2 3 4 26 3" xfId="27788"/>
    <cellStyle name="Note 2 3 4 27" xfId="14496"/>
    <cellStyle name="Note 2 3 4 27 2" xfId="34564"/>
    <cellStyle name="Note 2 3 4 28" xfId="27753"/>
    <cellStyle name="Note 2 3 4 3" xfId="7595"/>
    <cellStyle name="Note 2 3 4 3 2" xfId="7596"/>
    <cellStyle name="Note 2 3 4 3 2 2" xfId="20813"/>
    <cellStyle name="Note 2 3 4 3 2 2 2" xfId="40881"/>
    <cellStyle name="Note 2 3 4 3 2 3" xfId="27790"/>
    <cellStyle name="Note 2 3 4 3 3" xfId="14785"/>
    <cellStyle name="Note 2 3 4 3 3 2" xfId="34853"/>
    <cellStyle name="Note 2 3 4 3 4" xfId="27789"/>
    <cellStyle name="Note 2 3 4 4" xfId="7597"/>
    <cellStyle name="Note 2 3 4 4 2" xfId="7598"/>
    <cellStyle name="Note 2 3 4 4 2 2" xfId="20814"/>
    <cellStyle name="Note 2 3 4 4 2 2 2" xfId="40882"/>
    <cellStyle name="Note 2 3 4 4 2 3" xfId="27792"/>
    <cellStyle name="Note 2 3 4 4 3" xfId="14910"/>
    <cellStyle name="Note 2 3 4 4 3 2" xfId="34978"/>
    <cellStyle name="Note 2 3 4 4 4" xfId="27791"/>
    <cellStyle name="Note 2 3 4 5" xfId="7599"/>
    <cellStyle name="Note 2 3 4 5 2" xfId="7600"/>
    <cellStyle name="Note 2 3 4 5 2 2" xfId="20815"/>
    <cellStyle name="Note 2 3 4 5 2 2 2" xfId="40883"/>
    <cellStyle name="Note 2 3 4 5 2 3" xfId="27794"/>
    <cellStyle name="Note 2 3 4 5 3" xfId="15079"/>
    <cellStyle name="Note 2 3 4 5 3 2" xfId="35147"/>
    <cellStyle name="Note 2 3 4 5 4" xfId="27793"/>
    <cellStyle name="Note 2 3 4 6" xfId="7601"/>
    <cellStyle name="Note 2 3 4 6 2" xfId="7602"/>
    <cellStyle name="Note 2 3 4 6 2 2" xfId="20816"/>
    <cellStyle name="Note 2 3 4 6 2 2 2" xfId="40884"/>
    <cellStyle name="Note 2 3 4 6 2 3" xfId="27796"/>
    <cellStyle name="Note 2 3 4 6 3" xfId="15011"/>
    <cellStyle name="Note 2 3 4 6 3 2" xfId="35079"/>
    <cellStyle name="Note 2 3 4 6 4" xfId="27795"/>
    <cellStyle name="Note 2 3 4 7" xfId="7603"/>
    <cellStyle name="Note 2 3 4 7 2" xfId="7604"/>
    <cellStyle name="Note 2 3 4 7 2 2" xfId="20817"/>
    <cellStyle name="Note 2 3 4 7 2 2 2" xfId="40885"/>
    <cellStyle name="Note 2 3 4 7 2 3" xfId="27798"/>
    <cellStyle name="Note 2 3 4 7 3" xfId="15211"/>
    <cellStyle name="Note 2 3 4 7 3 2" xfId="35279"/>
    <cellStyle name="Note 2 3 4 7 4" xfId="27797"/>
    <cellStyle name="Note 2 3 4 8" xfId="7605"/>
    <cellStyle name="Note 2 3 4 8 2" xfId="7606"/>
    <cellStyle name="Note 2 3 4 8 2 2" xfId="20818"/>
    <cellStyle name="Note 2 3 4 8 2 2 2" xfId="40886"/>
    <cellStyle name="Note 2 3 4 8 2 3" xfId="27800"/>
    <cellStyle name="Note 2 3 4 8 3" xfId="16576"/>
    <cellStyle name="Note 2 3 4 8 3 2" xfId="36644"/>
    <cellStyle name="Note 2 3 4 8 4" xfId="27799"/>
    <cellStyle name="Note 2 3 4 9" xfId="7607"/>
    <cellStyle name="Note 2 3 4 9 2" xfId="7608"/>
    <cellStyle name="Note 2 3 4 9 2 2" xfId="20819"/>
    <cellStyle name="Note 2 3 4 9 2 2 2" xfId="40887"/>
    <cellStyle name="Note 2 3 4 9 2 3" xfId="27802"/>
    <cellStyle name="Note 2 3 4 9 3" xfId="16780"/>
    <cellStyle name="Note 2 3 4 9 3 2" xfId="36848"/>
    <cellStyle name="Note 2 3 4 9 4" xfId="27801"/>
    <cellStyle name="Note 2 3 5" xfId="7609"/>
    <cellStyle name="Note 2 3 5 2" xfId="7610"/>
    <cellStyle name="Note 2 3 5 2 2" xfId="20820"/>
    <cellStyle name="Note 2 3 5 2 2 2" xfId="40888"/>
    <cellStyle name="Note 2 3 5 2 3" xfId="27804"/>
    <cellStyle name="Note 2 3 5 3" xfId="14094"/>
    <cellStyle name="Note 2 3 5 3 2" xfId="34162"/>
    <cellStyle name="Note 2 3 5 4" xfId="27803"/>
    <cellStyle name="Note 2 3 6" xfId="7611"/>
    <cellStyle name="Note 2 3 6 2" xfId="7612"/>
    <cellStyle name="Note 2 3 6 2 2" xfId="20821"/>
    <cellStyle name="Note 2 3 6 2 2 2" xfId="40889"/>
    <cellStyle name="Note 2 3 6 2 3" xfId="27806"/>
    <cellStyle name="Note 2 3 6 3" xfId="14122"/>
    <cellStyle name="Note 2 3 6 3 2" xfId="34190"/>
    <cellStyle name="Note 2 3 6 4" xfId="27805"/>
    <cellStyle name="Note 2 3 7" xfId="7613"/>
    <cellStyle name="Note 2 3 7 2" xfId="7614"/>
    <cellStyle name="Note 2 3 7 2 2" xfId="20822"/>
    <cellStyle name="Note 2 3 7 2 2 2" xfId="40890"/>
    <cellStyle name="Note 2 3 7 2 3" xfId="27808"/>
    <cellStyle name="Note 2 3 7 3" xfId="14217"/>
    <cellStyle name="Note 2 3 7 3 2" xfId="34285"/>
    <cellStyle name="Note 2 3 7 4" xfId="27807"/>
    <cellStyle name="Note 2 3 8" xfId="7615"/>
    <cellStyle name="Note 2 3 8 2" xfId="7616"/>
    <cellStyle name="Note 2 3 8 2 2" xfId="20823"/>
    <cellStyle name="Note 2 3 8 2 2 2" xfId="40891"/>
    <cellStyle name="Note 2 3 8 2 3" xfId="27810"/>
    <cellStyle name="Note 2 3 8 3" xfId="14733"/>
    <cellStyle name="Note 2 3 8 3 2" xfId="34801"/>
    <cellStyle name="Note 2 3 8 4" xfId="27809"/>
    <cellStyle name="Note 2 3 9" xfId="7617"/>
    <cellStyle name="Note 2 3 9 2" xfId="7618"/>
    <cellStyle name="Note 2 3 9 2 2" xfId="20824"/>
    <cellStyle name="Note 2 3 9 2 2 2" xfId="40892"/>
    <cellStyle name="Note 2 3 9 2 3" xfId="27812"/>
    <cellStyle name="Note 2 3 9 3" xfId="14112"/>
    <cellStyle name="Note 2 3 9 3 2" xfId="34180"/>
    <cellStyle name="Note 2 3 9 4" xfId="27811"/>
    <cellStyle name="Note 2 3_2011-2012" xfId="7619"/>
    <cellStyle name="Note 2 30" xfId="7620"/>
    <cellStyle name="Note 2 30 2" xfId="7621"/>
    <cellStyle name="Note 2 30 2 2" xfId="20825"/>
    <cellStyle name="Note 2 30 2 2 2" xfId="40893"/>
    <cellStyle name="Note 2 30 2 3" xfId="27814"/>
    <cellStyle name="Note 2 30 3" xfId="15762"/>
    <cellStyle name="Note 2 30 3 2" xfId="35830"/>
    <cellStyle name="Note 2 30 4" xfId="27813"/>
    <cellStyle name="Note 2 31" xfId="7622"/>
    <cellStyle name="Note 2 31 2" xfId="7623"/>
    <cellStyle name="Note 2 31 2 2" xfId="20826"/>
    <cellStyle name="Note 2 31 2 2 2" xfId="40894"/>
    <cellStyle name="Note 2 31 2 3" xfId="27816"/>
    <cellStyle name="Note 2 31 3" xfId="15610"/>
    <cellStyle name="Note 2 31 3 2" xfId="35678"/>
    <cellStyle name="Note 2 31 4" xfId="27815"/>
    <cellStyle name="Note 2 32" xfId="7624"/>
    <cellStyle name="Note 2 32 2" xfId="7625"/>
    <cellStyle name="Note 2 32 2 2" xfId="20827"/>
    <cellStyle name="Note 2 32 2 2 2" xfId="40895"/>
    <cellStyle name="Note 2 32 2 3" xfId="27818"/>
    <cellStyle name="Note 2 32 3" xfId="15915"/>
    <cellStyle name="Note 2 32 3 2" xfId="35983"/>
    <cellStyle name="Note 2 32 4" xfId="27817"/>
    <cellStyle name="Note 2 33" xfId="7626"/>
    <cellStyle name="Note 2 33 2" xfId="7627"/>
    <cellStyle name="Note 2 33 2 2" xfId="20828"/>
    <cellStyle name="Note 2 33 2 2 2" xfId="40896"/>
    <cellStyle name="Note 2 33 2 3" xfId="27820"/>
    <cellStyle name="Note 2 33 3" xfId="18158"/>
    <cellStyle name="Note 2 33 3 2" xfId="38226"/>
    <cellStyle name="Note 2 33 4" xfId="27819"/>
    <cellStyle name="Note 2 34" xfId="7628"/>
    <cellStyle name="Note 2 34 2" xfId="7629"/>
    <cellStyle name="Note 2 34 2 2" xfId="20829"/>
    <cellStyle name="Note 2 34 2 2 2" xfId="40897"/>
    <cellStyle name="Note 2 34 2 3" xfId="27822"/>
    <cellStyle name="Note 2 34 3" xfId="16172"/>
    <cellStyle name="Note 2 34 3 2" xfId="36240"/>
    <cellStyle name="Note 2 34 4" xfId="27821"/>
    <cellStyle name="Note 2 35" xfId="7630"/>
    <cellStyle name="Note 2 35 2" xfId="20498"/>
    <cellStyle name="Note 2 35 2 2" xfId="40566"/>
    <cellStyle name="Note 2 35 3" xfId="27823"/>
    <cellStyle name="Note 2 36" xfId="13888"/>
    <cellStyle name="Note 2 36 2" xfId="33956"/>
    <cellStyle name="Note 2 37" xfId="27160"/>
    <cellStyle name="Note 2 38" xfId="43981"/>
    <cellStyle name="Note 2 39" xfId="43987"/>
    <cellStyle name="Note 2 4" xfId="7631"/>
    <cellStyle name="Note 2 4 10" xfId="7632"/>
    <cellStyle name="Note 2 4 10 2" xfId="7633"/>
    <cellStyle name="Note 2 4 10 2 2" xfId="20831"/>
    <cellStyle name="Note 2 4 10 2 2 2" xfId="40899"/>
    <cellStyle name="Note 2 4 10 2 3" xfId="27826"/>
    <cellStyle name="Note 2 4 10 3" xfId="14087"/>
    <cellStyle name="Note 2 4 10 3 2" xfId="34155"/>
    <cellStyle name="Note 2 4 10 4" xfId="27825"/>
    <cellStyle name="Note 2 4 11" xfId="7634"/>
    <cellStyle name="Note 2 4 11 2" xfId="7635"/>
    <cellStyle name="Note 2 4 11 2 2" xfId="20832"/>
    <cellStyle name="Note 2 4 11 2 2 2" xfId="40900"/>
    <cellStyle name="Note 2 4 11 2 3" xfId="27828"/>
    <cellStyle name="Note 2 4 11 3" xfId="15301"/>
    <cellStyle name="Note 2 4 11 3 2" xfId="35369"/>
    <cellStyle name="Note 2 4 11 4" xfId="27827"/>
    <cellStyle name="Note 2 4 12" xfId="7636"/>
    <cellStyle name="Note 2 4 12 2" xfId="7637"/>
    <cellStyle name="Note 2 4 12 2 2" xfId="20833"/>
    <cellStyle name="Note 2 4 12 2 2 2" xfId="40901"/>
    <cellStyle name="Note 2 4 12 2 3" xfId="27830"/>
    <cellStyle name="Note 2 4 12 3" xfId="16444"/>
    <cellStyle name="Note 2 4 12 3 2" xfId="36512"/>
    <cellStyle name="Note 2 4 12 4" xfId="27829"/>
    <cellStyle name="Note 2 4 13" xfId="7638"/>
    <cellStyle name="Note 2 4 13 2" xfId="7639"/>
    <cellStyle name="Note 2 4 13 2 2" xfId="20834"/>
    <cellStyle name="Note 2 4 13 2 2 2" xfId="40902"/>
    <cellStyle name="Note 2 4 13 2 3" xfId="27832"/>
    <cellStyle name="Note 2 4 13 3" xfId="15386"/>
    <cellStyle name="Note 2 4 13 3 2" xfId="35454"/>
    <cellStyle name="Note 2 4 13 4" xfId="27831"/>
    <cellStyle name="Note 2 4 14" xfId="7640"/>
    <cellStyle name="Note 2 4 14 2" xfId="7641"/>
    <cellStyle name="Note 2 4 14 2 2" xfId="20835"/>
    <cellStyle name="Note 2 4 14 2 2 2" xfId="40903"/>
    <cellStyle name="Note 2 4 14 2 3" xfId="27834"/>
    <cellStyle name="Note 2 4 14 3" xfId="16002"/>
    <cellStyle name="Note 2 4 14 3 2" xfId="36070"/>
    <cellStyle name="Note 2 4 14 4" xfId="27833"/>
    <cellStyle name="Note 2 4 15" xfId="7642"/>
    <cellStyle name="Note 2 4 15 2" xfId="7643"/>
    <cellStyle name="Note 2 4 15 2 2" xfId="20836"/>
    <cellStyle name="Note 2 4 15 2 2 2" xfId="40904"/>
    <cellStyle name="Note 2 4 15 2 3" xfId="27836"/>
    <cellStyle name="Note 2 4 15 3" xfId="15933"/>
    <cellStyle name="Note 2 4 15 3 2" xfId="36001"/>
    <cellStyle name="Note 2 4 15 4" xfId="27835"/>
    <cellStyle name="Note 2 4 16" xfId="7644"/>
    <cellStyle name="Note 2 4 16 2" xfId="7645"/>
    <cellStyle name="Note 2 4 16 2 2" xfId="20837"/>
    <cellStyle name="Note 2 4 16 2 2 2" xfId="40905"/>
    <cellStyle name="Note 2 4 16 2 3" xfId="27838"/>
    <cellStyle name="Note 2 4 16 3" xfId="16118"/>
    <cellStyle name="Note 2 4 16 3 2" xfId="36186"/>
    <cellStyle name="Note 2 4 16 4" xfId="27837"/>
    <cellStyle name="Note 2 4 17" xfId="7646"/>
    <cellStyle name="Note 2 4 17 2" xfId="7647"/>
    <cellStyle name="Note 2 4 17 2 2" xfId="20838"/>
    <cellStyle name="Note 2 4 17 2 2 2" xfId="40906"/>
    <cellStyle name="Note 2 4 17 2 3" xfId="27840"/>
    <cellStyle name="Note 2 4 17 3" xfId="17019"/>
    <cellStyle name="Note 2 4 17 3 2" xfId="37087"/>
    <cellStyle name="Note 2 4 17 4" xfId="27839"/>
    <cellStyle name="Note 2 4 18" xfId="7648"/>
    <cellStyle name="Note 2 4 18 2" xfId="7649"/>
    <cellStyle name="Note 2 4 18 2 2" xfId="20839"/>
    <cellStyle name="Note 2 4 18 2 2 2" xfId="40907"/>
    <cellStyle name="Note 2 4 18 2 3" xfId="27842"/>
    <cellStyle name="Note 2 4 18 3" xfId="16194"/>
    <cellStyle name="Note 2 4 18 3 2" xfId="36262"/>
    <cellStyle name="Note 2 4 18 4" xfId="27841"/>
    <cellStyle name="Note 2 4 19" xfId="7650"/>
    <cellStyle name="Note 2 4 19 2" xfId="7651"/>
    <cellStyle name="Note 2 4 19 2 2" xfId="20840"/>
    <cellStyle name="Note 2 4 19 2 2 2" xfId="40908"/>
    <cellStyle name="Note 2 4 19 2 3" xfId="27844"/>
    <cellStyle name="Note 2 4 19 3" xfId="15740"/>
    <cellStyle name="Note 2 4 19 3 2" xfId="35808"/>
    <cellStyle name="Note 2 4 19 4" xfId="27843"/>
    <cellStyle name="Note 2 4 2" xfId="7652"/>
    <cellStyle name="Note 2 4 2 10" xfId="7653"/>
    <cellStyle name="Note 2 4 2 10 2" xfId="7654"/>
    <cellStyle name="Note 2 4 2 10 2 2" xfId="20842"/>
    <cellStyle name="Note 2 4 2 10 2 2 2" xfId="40910"/>
    <cellStyle name="Note 2 4 2 10 2 3" xfId="27847"/>
    <cellStyle name="Note 2 4 2 10 3" xfId="16445"/>
    <cellStyle name="Note 2 4 2 10 3 2" xfId="36513"/>
    <cellStyle name="Note 2 4 2 10 4" xfId="27846"/>
    <cellStyle name="Note 2 4 2 11" xfId="7655"/>
    <cellStyle name="Note 2 4 2 11 2" xfId="7656"/>
    <cellStyle name="Note 2 4 2 11 2 2" xfId="20843"/>
    <cellStyle name="Note 2 4 2 11 2 2 2" xfId="40911"/>
    <cellStyle name="Note 2 4 2 11 2 3" xfId="27849"/>
    <cellStyle name="Note 2 4 2 11 3" xfId="15788"/>
    <cellStyle name="Note 2 4 2 11 3 2" xfId="35856"/>
    <cellStyle name="Note 2 4 2 11 4" xfId="27848"/>
    <cellStyle name="Note 2 4 2 12" xfId="7657"/>
    <cellStyle name="Note 2 4 2 12 2" xfId="7658"/>
    <cellStyle name="Note 2 4 2 12 2 2" xfId="20844"/>
    <cellStyle name="Note 2 4 2 12 2 2 2" xfId="40912"/>
    <cellStyle name="Note 2 4 2 12 2 3" xfId="27851"/>
    <cellStyle name="Note 2 4 2 12 3" xfId="16003"/>
    <cellStyle name="Note 2 4 2 12 3 2" xfId="36071"/>
    <cellStyle name="Note 2 4 2 12 4" xfId="27850"/>
    <cellStyle name="Note 2 4 2 13" xfId="7659"/>
    <cellStyle name="Note 2 4 2 13 2" xfId="7660"/>
    <cellStyle name="Note 2 4 2 13 2 2" xfId="20845"/>
    <cellStyle name="Note 2 4 2 13 2 2 2" xfId="40913"/>
    <cellStyle name="Note 2 4 2 13 2 3" xfId="27853"/>
    <cellStyle name="Note 2 4 2 13 3" xfId="16704"/>
    <cellStyle name="Note 2 4 2 13 3 2" xfId="36772"/>
    <cellStyle name="Note 2 4 2 13 4" xfId="27852"/>
    <cellStyle name="Note 2 4 2 14" xfId="7661"/>
    <cellStyle name="Note 2 4 2 14 2" xfId="7662"/>
    <cellStyle name="Note 2 4 2 14 2 2" xfId="20846"/>
    <cellStyle name="Note 2 4 2 14 2 2 2" xfId="40914"/>
    <cellStyle name="Note 2 4 2 14 2 3" xfId="27855"/>
    <cellStyle name="Note 2 4 2 14 3" xfId="16119"/>
    <cellStyle name="Note 2 4 2 14 3 2" xfId="36187"/>
    <cellStyle name="Note 2 4 2 14 4" xfId="27854"/>
    <cellStyle name="Note 2 4 2 15" xfId="7663"/>
    <cellStyle name="Note 2 4 2 15 2" xfId="7664"/>
    <cellStyle name="Note 2 4 2 15 2 2" xfId="20847"/>
    <cellStyle name="Note 2 4 2 15 2 2 2" xfId="40915"/>
    <cellStyle name="Note 2 4 2 15 2 3" xfId="27857"/>
    <cellStyle name="Note 2 4 2 15 3" xfId="15746"/>
    <cellStyle name="Note 2 4 2 15 3 2" xfId="35814"/>
    <cellStyle name="Note 2 4 2 15 4" xfId="27856"/>
    <cellStyle name="Note 2 4 2 16" xfId="7665"/>
    <cellStyle name="Note 2 4 2 16 2" xfId="7666"/>
    <cellStyle name="Note 2 4 2 16 2 2" xfId="20848"/>
    <cellStyle name="Note 2 4 2 16 2 2 2" xfId="40916"/>
    <cellStyle name="Note 2 4 2 16 2 3" xfId="27859"/>
    <cellStyle name="Note 2 4 2 16 3" xfId="17183"/>
    <cellStyle name="Note 2 4 2 16 3 2" xfId="37251"/>
    <cellStyle name="Note 2 4 2 16 4" xfId="27858"/>
    <cellStyle name="Note 2 4 2 17" xfId="7667"/>
    <cellStyle name="Note 2 4 2 17 2" xfId="7668"/>
    <cellStyle name="Note 2 4 2 17 2 2" xfId="20849"/>
    <cellStyle name="Note 2 4 2 17 2 2 2" xfId="40917"/>
    <cellStyle name="Note 2 4 2 17 2 3" xfId="27861"/>
    <cellStyle name="Note 2 4 2 17 3" xfId="15603"/>
    <cellStyle name="Note 2 4 2 17 3 2" xfId="35671"/>
    <cellStyle name="Note 2 4 2 17 4" xfId="27860"/>
    <cellStyle name="Note 2 4 2 18" xfId="7669"/>
    <cellStyle name="Note 2 4 2 18 2" xfId="7670"/>
    <cellStyle name="Note 2 4 2 18 2 2" xfId="20850"/>
    <cellStyle name="Note 2 4 2 18 2 2 2" xfId="40918"/>
    <cellStyle name="Note 2 4 2 18 2 3" xfId="27863"/>
    <cellStyle name="Note 2 4 2 18 3" xfId="16358"/>
    <cellStyle name="Note 2 4 2 18 3 2" xfId="36426"/>
    <cellStyle name="Note 2 4 2 18 4" xfId="27862"/>
    <cellStyle name="Note 2 4 2 19" xfId="7671"/>
    <cellStyle name="Note 2 4 2 19 2" xfId="7672"/>
    <cellStyle name="Note 2 4 2 19 2 2" xfId="20851"/>
    <cellStyle name="Note 2 4 2 19 2 2 2" xfId="40919"/>
    <cellStyle name="Note 2 4 2 19 2 3" xfId="27865"/>
    <cellStyle name="Note 2 4 2 19 3" xfId="15947"/>
    <cellStyle name="Note 2 4 2 19 3 2" xfId="36015"/>
    <cellStyle name="Note 2 4 2 19 4" xfId="27864"/>
    <cellStyle name="Note 2 4 2 2" xfId="7673"/>
    <cellStyle name="Note 2 4 2 2 10" xfId="7674"/>
    <cellStyle name="Note 2 4 2 2 10 2" xfId="7675"/>
    <cellStyle name="Note 2 4 2 2 10 2 2" xfId="20853"/>
    <cellStyle name="Note 2 4 2 2 10 2 2 2" xfId="40921"/>
    <cellStyle name="Note 2 4 2 2 10 2 3" xfId="27868"/>
    <cellStyle name="Note 2 4 2 2 10 3" xfId="16945"/>
    <cellStyle name="Note 2 4 2 2 10 3 2" xfId="37013"/>
    <cellStyle name="Note 2 4 2 2 10 4" xfId="27867"/>
    <cellStyle name="Note 2 4 2 2 11" xfId="7676"/>
    <cellStyle name="Note 2 4 2 2 11 2" xfId="7677"/>
    <cellStyle name="Note 2 4 2 2 11 2 2" xfId="20854"/>
    <cellStyle name="Note 2 4 2 2 11 2 2 2" xfId="40922"/>
    <cellStyle name="Note 2 4 2 2 11 2 3" xfId="27870"/>
    <cellStyle name="Note 2 4 2 2 11 3" xfId="17090"/>
    <cellStyle name="Note 2 4 2 2 11 3 2" xfId="37158"/>
    <cellStyle name="Note 2 4 2 2 11 4" xfId="27869"/>
    <cellStyle name="Note 2 4 2 2 12" xfId="7678"/>
    <cellStyle name="Note 2 4 2 2 12 2" xfId="7679"/>
    <cellStyle name="Note 2 4 2 2 12 2 2" xfId="20855"/>
    <cellStyle name="Note 2 4 2 2 12 2 2 2" xfId="40923"/>
    <cellStyle name="Note 2 4 2 2 12 2 3" xfId="27872"/>
    <cellStyle name="Note 2 4 2 2 12 3" xfId="17262"/>
    <cellStyle name="Note 2 4 2 2 12 3 2" xfId="37330"/>
    <cellStyle name="Note 2 4 2 2 12 4" xfId="27871"/>
    <cellStyle name="Note 2 4 2 2 13" xfId="7680"/>
    <cellStyle name="Note 2 4 2 2 13 2" xfId="7681"/>
    <cellStyle name="Note 2 4 2 2 13 2 2" xfId="20856"/>
    <cellStyle name="Note 2 4 2 2 13 2 2 2" xfId="40924"/>
    <cellStyle name="Note 2 4 2 2 13 2 3" xfId="27874"/>
    <cellStyle name="Note 2 4 2 2 13 3" xfId="17426"/>
    <cellStyle name="Note 2 4 2 2 13 3 2" xfId="37494"/>
    <cellStyle name="Note 2 4 2 2 13 4" xfId="27873"/>
    <cellStyle name="Note 2 4 2 2 14" xfId="7682"/>
    <cellStyle name="Note 2 4 2 2 14 2" xfId="7683"/>
    <cellStyle name="Note 2 4 2 2 14 2 2" xfId="20857"/>
    <cellStyle name="Note 2 4 2 2 14 2 2 2" xfId="40925"/>
    <cellStyle name="Note 2 4 2 2 14 2 3" xfId="27876"/>
    <cellStyle name="Note 2 4 2 2 14 3" xfId="17552"/>
    <cellStyle name="Note 2 4 2 2 14 3 2" xfId="37620"/>
    <cellStyle name="Note 2 4 2 2 14 4" xfId="27875"/>
    <cellStyle name="Note 2 4 2 2 15" xfId="7684"/>
    <cellStyle name="Note 2 4 2 2 15 2" xfId="7685"/>
    <cellStyle name="Note 2 4 2 2 15 2 2" xfId="20858"/>
    <cellStyle name="Note 2 4 2 2 15 2 2 2" xfId="40926"/>
    <cellStyle name="Note 2 4 2 2 15 2 3" xfId="27878"/>
    <cellStyle name="Note 2 4 2 2 15 3" xfId="17636"/>
    <cellStyle name="Note 2 4 2 2 15 3 2" xfId="37704"/>
    <cellStyle name="Note 2 4 2 2 15 4" xfId="27877"/>
    <cellStyle name="Note 2 4 2 2 16" xfId="7686"/>
    <cellStyle name="Note 2 4 2 2 16 2" xfId="7687"/>
    <cellStyle name="Note 2 4 2 2 16 2 2" xfId="20859"/>
    <cellStyle name="Note 2 4 2 2 16 2 2 2" xfId="40927"/>
    <cellStyle name="Note 2 4 2 2 16 2 3" xfId="27880"/>
    <cellStyle name="Note 2 4 2 2 16 3" xfId="17802"/>
    <cellStyle name="Note 2 4 2 2 16 3 2" xfId="37870"/>
    <cellStyle name="Note 2 4 2 2 16 4" xfId="27879"/>
    <cellStyle name="Note 2 4 2 2 17" xfId="7688"/>
    <cellStyle name="Note 2 4 2 2 17 2" xfId="7689"/>
    <cellStyle name="Note 2 4 2 2 17 2 2" xfId="20860"/>
    <cellStyle name="Note 2 4 2 2 17 2 2 2" xfId="40928"/>
    <cellStyle name="Note 2 4 2 2 17 2 3" xfId="27882"/>
    <cellStyle name="Note 2 4 2 2 17 3" xfId="17940"/>
    <cellStyle name="Note 2 4 2 2 17 3 2" xfId="38008"/>
    <cellStyle name="Note 2 4 2 2 17 4" xfId="27881"/>
    <cellStyle name="Note 2 4 2 2 18" xfId="7690"/>
    <cellStyle name="Note 2 4 2 2 18 2" xfId="7691"/>
    <cellStyle name="Note 2 4 2 2 18 2 2" xfId="20861"/>
    <cellStyle name="Note 2 4 2 2 18 2 2 2" xfId="40929"/>
    <cellStyle name="Note 2 4 2 2 18 2 3" xfId="27884"/>
    <cellStyle name="Note 2 4 2 2 18 3" xfId="18079"/>
    <cellStyle name="Note 2 4 2 2 18 3 2" xfId="38147"/>
    <cellStyle name="Note 2 4 2 2 18 4" xfId="27883"/>
    <cellStyle name="Note 2 4 2 2 19" xfId="7692"/>
    <cellStyle name="Note 2 4 2 2 19 2" xfId="7693"/>
    <cellStyle name="Note 2 4 2 2 19 2 2" xfId="20862"/>
    <cellStyle name="Note 2 4 2 2 19 2 2 2" xfId="40930"/>
    <cellStyle name="Note 2 4 2 2 19 2 3" xfId="27886"/>
    <cellStyle name="Note 2 4 2 2 19 3" xfId="18197"/>
    <cellStyle name="Note 2 4 2 2 19 3 2" xfId="38265"/>
    <cellStyle name="Note 2 4 2 2 19 4" xfId="27885"/>
    <cellStyle name="Note 2 4 2 2 2" xfId="7694"/>
    <cellStyle name="Note 2 4 2 2 2 2" xfId="7695"/>
    <cellStyle name="Note 2 4 2 2 2 2 2" xfId="20863"/>
    <cellStyle name="Note 2 4 2 2 2 2 2 2" xfId="40931"/>
    <cellStyle name="Note 2 4 2 2 2 2 3" xfId="27888"/>
    <cellStyle name="Note 2 4 2 2 2 3" xfId="14665"/>
    <cellStyle name="Note 2 4 2 2 2 3 2" xfId="34733"/>
    <cellStyle name="Note 2 4 2 2 2 4" xfId="27887"/>
    <cellStyle name="Note 2 4 2 2 20" xfId="7696"/>
    <cellStyle name="Note 2 4 2 2 20 2" xfId="7697"/>
    <cellStyle name="Note 2 4 2 2 20 2 2" xfId="20864"/>
    <cellStyle name="Note 2 4 2 2 20 2 2 2" xfId="40932"/>
    <cellStyle name="Note 2 4 2 2 20 2 3" xfId="27890"/>
    <cellStyle name="Note 2 4 2 2 20 3" xfId="18140"/>
    <cellStyle name="Note 2 4 2 2 20 3 2" xfId="38208"/>
    <cellStyle name="Note 2 4 2 2 20 4" xfId="27889"/>
    <cellStyle name="Note 2 4 2 2 21" xfId="7698"/>
    <cellStyle name="Note 2 4 2 2 21 2" xfId="7699"/>
    <cellStyle name="Note 2 4 2 2 21 2 2" xfId="20865"/>
    <cellStyle name="Note 2 4 2 2 21 2 2 2" xfId="40933"/>
    <cellStyle name="Note 2 4 2 2 21 2 3" xfId="27892"/>
    <cellStyle name="Note 2 4 2 2 21 3" xfId="18402"/>
    <cellStyle name="Note 2 4 2 2 21 3 2" xfId="38470"/>
    <cellStyle name="Note 2 4 2 2 21 4" xfId="27891"/>
    <cellStyle name="Note 2 4 2 2 22" xfId="7700"/>
    <cellStyle name="Note 2 4 2 2 22 2" xfId="7701"/>
    <cellStyle name="Note 2 4 2 2 22 2 2" xfId="20866"/>
    <cellStyle name="Note 2 4 2 2 22 2 2 2" xfId="40934"/>
    <cellStyle name="Note 2 4 2 2 22 2 3" xfId="27894"/>
    <cellStyle name="Note 2 4 2 2 22 3" xfId="18535"/>
    <cellStyle name="Note 2 4 2 2 22 3 2" xfId="38603"/>
    <cellStyle name="Note 2 4 2 2 22 4" xfId="27893"/>
    <cellStyle name="Note 2 4 2 2 23" xfId="7702"/>
    <cellStyle name="Note 2 4 2 2 23 2" xfId="7703"/>
    <cellStyle name="Note 2 4 2 2 23 2 2" xfId="20867"/>
    <cellStyle name="Note 2 4 2 2 23 2 2 2" xfId="40935"/>
    <cellStyle name="Note 2 4 2 2 23 2 3" xfId="27896"/>
    <cellStyle name="Note 2 4 2 2 23 3" xfId="18646"/>
    <cellStyle name="Note 2 4 2 2 23 3 2" xfId="38714"/>
    <cellStyle name="Note 2 4 2 2 23 4" xfId="27895"/>
    <cellStyle name="Note 2 4 2 2 24" xfId="7704"/>
    <cellStyle name="Note 2 4 2 2 24 2" xfId="7705"/>
    <cellStyle name="Note 2 4 2 2 24 2 2" xfId="20868"/>
    <cellStyle name="Note 2 4 2 2 24 2 2 2" xfId="40936"/>
    <cellStyle name="Note 2 4 2 2 24 2 3" xfId="27898"/>
    <cellStyle name="Note 2 4 2 2 24 3" xfId="18746"/>
    <cellStyle name="Note 2 4 2 2 24 3 2" xfId="38814"/>
    <cellStyle name="Note 2 4 2 2 24 4" xfId="27897"/>
    <cellStyle name="Note 2 4 2 2 25" xfId="7706"/>
    <cellStyle name="Note 2 4 2 2 25 2" xfId="7707"/>
    <cellStyle name="Note 2 4 2 2 25 2 2" xfId="20869"/>
    <cellStyle name="Note 2 4 2 2 25 2 2 2" xfId="40937"/>
    <cellStyle name="Note 2 4 2 2 25 2 3" xfId="27900"/>
    <cellStyle name="Note 2 4 2 2 25 3" xfId="18846"/>
    <cellStyle name="Note 2 4 2 2 25 3 2" xfId="38914"/>
    <cellStyle name="Note 2 4 2 2 25 4" xfId="27899"/>
    <cellStyle name="Note 2 4 2 2 26" xfId="7708"/>
    <cellStyle name="Note 2 4 2 2 26 2" xfId="20852"/>
    <cellStyle name="Note 2 4 2 2 26 2 2" xfId="40920"/>
    <cellStyle name="Note 2 4 2 2 26 3" xfId="27901"/>
    <cellStyle name="Note 2 4 2 2 27" xfId="14331"/>
    <cellStyle name="Note 2 4 2 2 27 2" xfId="34399"/>
    <cellStyle name="Note 2 4 2 2 28" xfId="27866"/>
    <cellStyle name="Note 2 4 2 2 3" xfId="7709"/>
    <cellStyle name="Note 2 4 2 2 3 2" xfId="7710"/>
    <cellStyle name="Note 2 4 2 2 3 2 2" xfId="20870"/>
    <cellStyle name="Note 2 4 2 2 3 2 2 2" xfId="40938"/>
    <cellStyle name="Note 2 4 2 2 3 2 3" xfId="27903"/>
    <cellStyle name="Note 2 4 2 2 3 3" xfId="14789"/>
    <cellStyle name="Note 2 4 2 2 3 3 2" xfId="34857"/>
    <cellStyle name="Note 2 4 2 2 3 4" xfId="27902"/>
    <cellStyle name="Note 2 4 2 2 4" xfId="7711"/>
    <cellStyle name="Note 2 4 2 2 4 2" xfId="7712"/>
    <cellStyle name="Note 2 4 2 2 4 2 2" xfId="20871"/>
    <cellStyle name="Note 2 4 2 2 4 2 2 2" xfId="40939"/>
    <cellStyle name="Note 2 4 2 2 4 2 3" xfId="27905"/>
    <cellStyle name="Note 2 4 2 2 4 3" xfId="14914"/>
    <cellStyle name="Note 2 4 2 2 4 3 2" xfId="34982"/>
    <cellStyle name="Note 2 4 2 2 4 4" xfId="27904"/>
    <cellStyle name="Note 2 4 2 2 5" xfId="7713"/>
    <cellStyle name="Note 2 4 2 2 5 2" xfId="7714"/>
    <cellStyle name="Note 2 4 2 2 5 2 2" xfId="20872"/>
    <cellStyle name="Note 2 4 2 2 5 2 2 2" xfId="40940"/>
    <cellStyle name="Note 2 4 2 2 5 2 3" xfId="27907"/>
    <cellStyle name="Note 2 4 2 2 5 3" xfId="15083"/>
    <cellStyle name="Note 2 4 2 2 5 3 2" xfId="35151"/>
    <cellStyle name="Note 2 4 2 2 5 4" xfId="27906"/>
    <cellStyle name="Note 2 4 2 2 6" xfId="7715"/>
    <cellStyle name="Note 2 4 2 2 6 2" xfId="7716"/>
    <cellStyle name="Note 2 4 2 2 6 2 2" xfId="20873"/>
    <cellStyle name="Note 2 4 2 2 6 2 2 2" xfId="40941"/>
    <cellStyle name="Note 2 4 2 2 6 2 3" xfId="27909"/>
    <cellStyle name="Note 2 4 2 2 6 3" xfId="14003"/>
    <cellStyle name="Note 2 4 2 2 6 3 2" xfId="34071"/>
    <cellStyle name="Note 2 4 2 2 6 4" xfId="27908"/>
    <cellStyle name="Note 2 4 2 2 7" xfId="7717"/>
    <cellStyle name="Note 2 4 2 2 7 2" xfId="7718"/>
    <cellStyle name="Note 2 4 2 2 7 2 2" xfId="20874"/>
    <cellStyle name="Note 2 4 2 2 7 2 2 2" xfId="40942"/>
    <cellStyle name="Note 2 4 2 2 7 2 3" xfId="27911"/>
    <cellStyle name="Note 2 4 2 2 7 3" xfId="15215"/>
    <cellStyle name="Note 2 4 2 2 7 3 2" xfId="35283"/>
    <cellStyle name="Note 2 4 2 2 7 4" xfId="27910"/>
    <cellStyle name="Note 2 4 2 2 8" xfId="7719"/>
    <cellStyle name="Note 2 4 2 2 8 2" xfId="7720"/>
    <cellStyle name="Note 2 4 2 2 8 2 2" xfId="20875"/>
    <cellStyle name="Note 2 4 2 2 8 2 2 2" xfId="40943"/>
    <cellStyle name="Note 2 4 2 2 8 2 3" xfId="27913"/>
    <cellStyle name="Note 2 4 2 2 8 3" xfId="16580"/>
    <cellStyle name="Note 2 4 2 2 8 3 2" xfId="36648"/>
    <cellStyle name="Note 2 4 2 2 8 4" xfId="27912"/>
    <cellStyle name="Note 2 4 2 2 9" xfId="7721"/>
    <cellStyle name="Note 2 4 2 2 9 2" xfId="7722"/>
    <cellStyle name="Note 2 4 2 2 9 2 2" xfId="20876"/>
    <cellStyle name="Note 2 4 2 2 9 2 2 2" xfId="40944"/>
    <cellStyle name="Note 2 4 2 2 9 2 3" xfId="27915"/>
    <cellStyle name="Note 2 4 2 2 9 3" xfId="16784"/>
    <cellStyle name="Note 2 4 2 2 9 3 2" xfId="36852"/>
    <cellStyle name="Note 2 4 2 2 9 4" xfId="27914"/>
    <cellStyle name="Note 2 4 2 20" xfId="7723"/>
    <cellStyle name="Note 2 4 2 20 2" xfId="7724"/>
    <cellStyle name="Note 2 4 2 20 2 2" xfId="20877"/>
    <cellStyle name="Note 2 4 2 20 2 2 2" xfId="40945"/>
    <cellStyle name="Note 2 4 2 20 2 3" xfId="27917"/>
    <cellStyle name="Note 2 4 2 20 3" xfId="15972"/>
    <cellStyle name="Note 2 4 2 20 3 2" xfId="36040"/>
    <cellStyle name="Note 2 4 2 20 4" xfId="27916"/>
    <cellStyle name="Note 2 4 2 21" xfId="7725"/>
    <cellStyle name="Note 2 4 2 21 2" xfId="7726"/>
    <cellStyle name="Note 2 4 2 21 2 2" xfId="20878"/>
    <cellStyle name="Note 2 4 2 21 2 2 2" xfId="40946"/>
    <cellStyle name="Note 2 4 2 21 2 3" xfId="27919"/>
    <cellStyle name="Note 2 4 2 21 3" xfId="17866"/>
    <cellStyle name="Note 2 4 2 21 3 2" xfId="37934"/>
    <cellStyle name="Note 2 4 2 21 4" xfId="27918"/>
    <cellStyle name="Note 2 4 2 22" xfId="7727"/>
    <cellStyle name="Note 2 4 2 22 2" xfId="7728"/>
    <cellStyle name="Note 2 4 2 22 2 2" xfId="20879"/>
    <cellStyle name="Note 2 4 2 22 2 2 2" xfId="40947"/>
    <cellStyle name="Note 2 4 2 22 2 3" xfId="27921"/>
    <cellStyle name="Note 2 4 2 22 3" xfId="17856"/>
    <cellStyle name="Note 2 4 2 22 3 2" xfId="37924"/>
    <cellStyle name="Note 2 4 2 22 4" xfId="27920"/>
    <cellStyle name="Note 2 4 2 23" xfId="7729"/>
    <cellStyle name="Note 2 4 2 23 2" xfId="7730"/>
    <cellStyle name="Note 2 4 2 23 2 2" xfId="20880"/>
    <cellStyle name="Note 2 4 2 23 2 2 2" xfId="40948"/>
    <cellStyle name="Note 2 4 2 23 2 3" xfId="27923"/>
    <cellStyle name="Note 2 4 2 23 3" xfId="18308"/>
    <cellStyle name="Note 2 4 2 23 3 2" xfId="38376"/>
    <cellStyle name="Note 2 4 2 23 4" xfId="27922"/>
    <cellStyle name="Note 2 4 2 24" xfId="7731"/>
    <cellStyle name="Note 2 4 2 24 2" xfId="7732"/>
    <cellStyle name="Note 2 4 2 24 2 2" xfId="20881"/>
    <cellStyle name="Note 2 4 2 24 2 2 2" xfId="40949"/>
    <cellStyle name="Note 2 4 2 24 2 3" xfId="27925"/>
    <cellStyle name="Note 2 4 2 24 3" xfId="16406"/>
    <cellStyle name="Note 2 4 2 24 3 2" xfId="36474"/>
    <cellStyle name="Note 2 4 2 24 4" xfId="27924"/>
    <cellStyle name="Note 2 4 2 25" xfId="7733"/>
    <cellStyle name="Note 2 4 2 25 2" xfId="7734"/>
    <cellStyle name="Note 2 4 2 25 2 2" xfId="20882"/>
    <cellStyle name="Note 2 4 2 25 2 2 2" xfId="40950"/>
    <cellStyle name="Note 2 4 2 25 2 3" xfId="27927"/>
    <cellStyle name="Note 2 4 2 25 3" xfId="15623"/>
    <cellStyle name="Note 2 4 2 25 3 2" xfId="35691"/>
    <cellStyle name="Note 2 4 2 25 4" xfId="27926"/>
    <cellStyle name="Note 2 4 2 26" xfId="7735"/>
    <cellStyle name="Note 2 4 2 26 2" xfId="7736"/>
    <cellStyle name="Note 2 4 2 26 2 2" xfId="20883"/>
    <cellStyle name="Note 2 4 2 26 2 2 2" xfId="40951"/>
    <cellStyle name="Note 2 4 2 26 2 3" xfId="27929"/>
    <cellStyle name="Note 2 4 2 26 3" xfId="18476"/>
    <cellStyle name="Note 2 4 2 26 3 2" xfId="38544"/>
    <cellStyle name="Note 2 4 2 26 4" xfId="27928"/>
    <cellStyle name="Note 2 4 2 27" xfId="7737"/>
    <cellStyle name="Note 2 4 2 27 2" xfId="7738"/>
    <cellStyle name="Note 2 4 2 27 2 2" xfId="20884"/>
    <cellStyle name="Note 2 4 2 27 2 2 2" xfId="40952"/>
    <cellStyle name="Note 2 4 2 27 2 3" xfId="27931"/>
    <cellStyle name="Note 2 4 2 27 3" xfId="18589"/>
    <cellStyle name="Note 2 4 2 27 3 2" xfId="38657"/>
    <cellStyle name="Note 2 4 2 27 4" xfId="27930"/>
    <cellStyle name="Note 2 4 2 28" xfId="7739"/>
    <cellStyle name="Note 2 4 2 28 2" xfId="20841"/>
    <cellStyle name="Note 2 4 2 28 2 2" xfId="40909"/>
    <cellStyle name="Note 2 4 2 28 3" xfId="27932"/>
    <cellStyle name="Note 2 4 2 29" xfId="13896"/>
    <cellStyle name="Note 2 4 2 29 2" xfId="33964"/>
    <cellStyle name="Note 2 4 2 3" xfId="7740"/>
    <cellStyle name="Note 2 4 2 3 2" xfId="7741"/>
    <cellStyle name="Note 2 4 2 3 2 2" xfId="20885"/>
    <cellStyle name="Note 2 4 2 3 2 2 2" xfId="40953"/>
    <cellStyle name="Note 2 4 2 3 2 3" xfId="27934"/>
    <cellStyle name="Note 2 4 2 3 3" xfId="14321"/>
    <cellStyle name="Note 2 4 2 3 3 2" xfId="34389"/>
    <cellStyle name="Note 2 4 2 3 4" xfId="27933"/>
    <cellStyle name="Note 2 4 2 30" xfId="27845"/>
    <cellStyle name="Note 2 4 2 4" xfId="7742"/>
    <cellStyle name="Note 2 4 2 4 2" xfId="7743"/>
    <cellStyle name="Note 2 4 2 4 2 2" xfId="20886"/>
    <cellStyle name="Note 2 4 2 4 2 2 2" xfId="40954"/>
    <cellStyle name="Note 2 4 2 4 2 3" xfId="27936"/>
    <cellStyle name="Note 2 4 2 4 3" xfId="14289"/>
    <cellStyle name="Note 2 4 2 4 3 2" xfId="34357"/>
    <cellStyle name="Note 2 4 2 4 4" xfId="27935"/>
    <cellStyle name="Note 2 4 2 5" xfId="7744"/>
    <cellStyle name="Note 2 4 2 5 2" xfId="7745"/>
    <cellStyle name="Note 2 4 2 5 2 2" xfId="20887"/>
    <cellStyle name="Note 2 4 2 5 2 2 2" xfId="40955"/>
    <cellStyle name="Note 2 4 2 5 2 3" xfId="27938"/>
    <cellStyle name="Note 2 4 2 5 3" xfId="14077"/>
    <cellStyle name="Note 2 4 2 5 3 2" xfId="34145"/>
    <cellStyle name="Note 2 4 2 5 4" xfId="27937"/>
    <cellStyle name="Note 2 4 2 6" xfId="7746"/>
    <cellStyle name="Note 2 4 2 6 2" xfId="7747"/>
    <cellStyle name="Note 2 4 2 6 2 2" xfId="20888"/>
    <cellStyle name="Note 2 4 2 6 2 2 2" xfId="40956"/>
    <cellStyle name="Note 2 4 2 6 2 3" xfId="27940"/>
    <cellStyle name="Note 2 4 2 6 3" xfId="14734"/>
    <cellStyle name="Note 2 4 2 6 3 2" xfId="34802"/>
    <cellStyle name="Note 2 4 2 6 4" xfId="27939"/>
    <cellStyle name="Note 2 4 2 7" xfId="7748"/>
    <cellStyle name="Note 2 4 2 7 2" xfId="7749"/>
    <cellStyle name="Note 2 4 2 7 2 2" xfId="20889"/>
    <cellStyle name="Note 2 4 2 7 2 2 2" xfId="40957"/>
    <cellStyle name="Note 2 4 2 7 2 3" xfId="27942"/>
    <cellStyle name="Note 2 4 2 7 3" xfId="14579"/>
    <cellStyle name="Note 2 4 2 7 3 2" xfId="34647"/>
    <cellStyle name="Note 2 4 2 7 4" xfId="27941"/>
    <cellStyle name="Note 2 4 2 8" xfId="7750"/>
    <cellStyle name="Note 2 4 2 8 2" xfId="7751"/>
    <cellStyle name="Note 2 4 2 8 2 2" xfId="20890"/>
    <cellStyle name="Note 2 4 2 8 2 2 2" xfId="40958"/>
    <cellStyle name="Note 2 4 2 8 2 3" xfId="27944"/>
    <cellStyle name="Note 2 4 2 8 3" xfId="14198"/>
    <cellStyle name="Note 2 4 2 8 3 2" xfId="34266"/>
    <cellStyle name="Note 2 4 2 8 4" xfId="27943"/>
    <cellStyle name="Note 2 4 2 9" xfId="7752"/>
    <cellStyle name="Note 2 4 2 9 2" xfId="7753"/>
    <cellStyle name="Note 2 4 2 9 2 2" xfId="20891"/>
    <cellStyle name="Note 2 4 2 9 2 2 2" xfId="40959"/>
    <cellStyle name="Note 2 4 2 9 2 3" xfId="27946"/>
    <cellStyle name="Note 2 4 2 9 3" xfId="15302"/>
    <cellStyle name="Note 2 4 2 9 3 2" xfId="35370"/>
    <cellStyle name="Note 2 4 2 9 4" xfId="27945"/>
    <cellStyle name="Note 2 4 20" xfId="7754"/>
    <cellStyle name="Note 2 4 20 2" xfId="7755"/>
    <cellStyle name="Note 2 4 20 2 2" xfId="20892"/>
    <cellStyle name="Note 2 4 20 2 2 2" xfId="40960"/>
    <cellStyle name="Note 2 4 20 2 3" xfId="27948"/>
    <cellStyle name="Note 2 4 20 3" xfId="15783"/>
    <cellStyle name="Note 2 4 20 3 2" xfId="35851"/>
    <cellStyle name="Note 2 4 20 4" xfId="27947"/>
    <cellStyle name="Note 2 4 21" xfId="7756"/>
    <cellStyle name="Note 2 4 21 2" xfId="7757"/>
    <cellStyle name="Note 2 4 21 2 2" xfId="20893"/>
    <cellStyle name="Note 2 4 21 2 2 2" xfId="40961"/>
    <cellStyle name="Note 2 4 21 2 3" xfId="27950"/>
    <cellStyle name="Note 2 4 21 3" xfId="16692"/>
    <cellStyle name="Note 2 4 21 3 2" xfId="36760"/>
    <cellStyle name="Note 2 4 21 4" xfId="27949"/>
    <cellStyle name="Note 2 4 22" xfId="7758"/>
    <cellStyle name="Note 2 4 22 2" xfId="7759"/>
    <cellStyle name="Note 2 4 22 2 2" xfId="20894"/>
    <cellStyle name="Note 2 4 22 2 2 2" xfId="40962"/>
    <cellStyle name="Note 2 4 22 2 3" xfId="27952"/>
    <cellStyle name="Note 2 4 22 3" xfId="16496"/>
    <cellStyle name="Note 2 4 22 3 2" xfId="36564"/>
    <cellStyle name="Note 2 4 22 4" xfId="27951"/>
    <cellStyle name="Note 2 4 23" xfId="7760"/>
    <cellStyle name="Note 2 4 23 2" xfId="7761"/>
    <cellStyle name="Note 2 4 23 2 2" xfId="20895"/>
    <cellStyle name="Note 2 4 23 2 2 2" xfId="40963"/>
    <cellStyle name="Note 2 4 23 2 3" xfId="27954"/>
    <cellStyle name="Note 2 4 23 3" xfId="17757"/>
    <cellStyle name="Note 2 4 23 3 2" xfId="37825"/>
    <cellStyle name="Note 2 4 23 4" xfId="27953"/>
    <cellStyle name="Note 2 4 24" xfId="7762"/>
    <cellStyle name="Note 2 4 24 2" xfId="7763"/>
    <cellStyle name="Note 2 4 24 2 2" xfId="20896"/>
    <cellStyle name="Note 2 4 24 2 2 2" xfId="40964"/>
    <cellStyle name="Note 2 4 24 2 3" xfId="27956"/>
    <cellStyle name="Note 2 4 24 3" xfId="17205"/>
    <cellStyle name="Note 2 4 24 3 2" xfId="37273"/>
    <cellStyle name="Note 2 4 24 4" xfId="27955"/>
    <cellStyle name="Note 2 4 25" xfId="7764"/>
    <cellStyle name="Note 2 4 25 2" xfId="7765"/>
    <cellStyle name="Note 2 4 25 2 2" xfId="20897"/>
    <cellStyle name="Note 2 4 25 2 2 2" xfId="40965"/>
    <cellStyle name="Note 2 4 25 2 3" xfId="27958"/>
    <cellStyle name="Note 2 4 25 3" xfId="16354"/>
    <cellStyle name="Note 2 4 25 3 2" xfId="36422"/>
    <cellStyle name="Note 2 4 25 4" xfId="27957"/>
    <cellStyle name="Note 2 4 26" xfId="7766"/>
    <cellStyle name="Note 2 4 26 2" xfId="7767"/>
    <cellStyle name="Note 2 4 26 2 2" xfId="20898"/>
    <cellStyle name="Note 2 4 26 2 2 2" xfId="40966"/>
    <cellStyle name="Note 2 4 26 2 3" xfId="27960"/>
    <cellStyle name="Note 2 4 26 3" xfId="17008"/>
    <cellStyle name="Note 2 4 26 3 2" xfId="37076"/>
    <cellStyle name="Note 2 4 26 4" xfId="27959"/>
    <cellStyle name="Note 2 4 27" xfId="7768"/>
    <cellStyle name="Note 2 4 27 2" xfId="7769"/>
    <cellStyle name="Note 2 4 27 2 2" xfId="20899"/>
    <cellStyle name="Note 2 4 27 2 2 2" xfId="40967"/>
    <cellStyle name="Note 2 4 27 2 3" xfId="27962"/>
    <cellStyle name="Note 2 4 27 3" xfId="16190"/>
    <cellStyle name="Note 2 4 27 3 2" xfId="36258"/>
    <cellStyle name="Note 2 4 27 4" xfId="27961"/>
    <cellStyle name="Note 2 4 28" xfId="7770"/>
    <cellStyle name="Note 2 4 28 2" xfId="7771"/>
    <cellStyle name="Note 2 4 28 2 2" xfId="20900"/>
    <cellStyle name="Note 2 4 28 2 2 2" xfId="40968"/>
    <cellStyle name="Note 2 4 28 2 3" xfId="27964"/>
    <cellStyle name="Note 2 4 28 3" xfId="15873"/>
    <cellStyle name="Note 2 4 28 3 2" xfId="35941"/>
    <cellStyle name="Note 2 4 28 4" xfId="27963"/>
    <cellStyle name="Note 2 4 29" xfId="7772"/>
    <cellStyle name="Note 2 4 29 2" xfId="7773"/>
    <cellStyle name="Note 2 4 29 2 2" xfId="20901"/>
    <cellStyle name="Note 2 4 29 2 2 2" xfId="40969"/>
    <cellStyle name="Note 2 4 29 2 3" xfId="27966"/>
    <cellStyle name="Note 2 4 29 3" xfId="17007"/>
    <cellStyle name="Note 2 4 29 3 2" xfId="37075"/>
    <cellStyle name="Note 2 4 29 4" xfId="27965"/>
    <cellStyle name="Note 2 4 3" xfId="7774"/>
    <cellStyle name="Note 2 4 3 10" xfId="7775"/>
    <cellStyle name="Note 2 4 3 10 2" xfId="7776"/>
    <cellStyle name="Note 2 4 3 10 2 2" xfId="20903"/>
    <cellStyle name="Note 2 4 3 10 2 2 2" xfId="40971"/>
    <cellStyle name="Note 2 4 3 10 2 3" xfId="27969"/>
    <cellStyle name="Note 2 4 3 10 3" xfId="16446"/>
    <cellStyle name="Note 2 4 3 10 3 2" xfId="36514"/>
    <cellStyle name="Note 2 4 3 10 4" xfId="27968"/>
    <cellStyle name="Note 2 4 3 11" xfId="7777"/>
    <cellStyle name="Note 2 4 3 11 2" xfId="7778"/>
    <cellStyle name="Note 2 4 3 11 2 2" xfId="20904"/>
    <cellStyle name="Note 2 4 3 11 2 2 2" xfId="40972"/>
    <cellStyle name="Note 2 4 3 11 2 3" xfId="27971"/>
    <cellStyle name="Note 2 4 3 11 3" xfId="16639"/>
    <cellStyle name="Note 2 4 3 11 3 2" xfId="36707"/>
    <cellStyle name="Note 2 4 3 11 4" xfId="27970"/>
    <cellStyle name="Note 2 4 3 12" xfId="7779"/>
    <cellStyle name="Note 2 4 3 12 2" xfId="7780"/>
    <cellStyle name="Note 2 4 3 12 2 2" xfId="20905"/>
    <cellStyle name="Note 2 4 3 12 2 2 2" xfId="40973"/>
    <cellStyle name="Note 2 4 3 12 2 3" xfId="27973"/>
    <cellStyle name="Note 2 4 3 12 3" xfId="16004"/>
    <cellStyle name="Note 2 4 3 12 3 2" xfId="36072"/>
    <cellStyle name="Note 2 4 3 12 4" xfId="27972"/>
    <cellStyle name="Note 2 4 3 13" xfId="7781"/>
    <cellStyle name="Note 2 4 3 13 2" xfId="7782"/>
    <cellStyle name="Note 2 4 3 13 2 2" xfId="20906"/>
    <cellStyle name="Note 2 4 3 13 2 2 2" xfId="40974"/>
    <cellStyle name="Note 2 4 3 13 2 3" xfId="27975"/>
    <cellStyle name="Note 2 4 3 13 3" xfId="15713"/>
    <cellStyle name="Note 2 4 3 13 3 2" xfId="35781"/>
    <cellStyle name="Note 2 4 3 13 4" xfId="27974"/>
    <cellStyle name="Note 2 4 3 14" xfId="7783"/>
    <cellStyle name="Note 2 4 3 14 2" xfId="7784"/>
    <cellStyle name="Note 2 4 3 14 2 2" xfId="20907"/>
    <cellStyle name="Note 2 4 3 14 2 2 2" xfId="40975"/>
    <cellStyle name="Note 2 4 3 14 2 3" xfId="27977"/>
    <cellStyle name="Note 2 4 3 14 3" xfId="16120"/>
    <cellStyle name="Note 2 4 3 14 3 2" xfId="36188"/>
    <cellStyle name="Note 2 4 3 14 4" xfId="27976"/>
    <cellStyle name="Note 2 4 3 15" xfId="7785"/>
    <cellStyle name="Note 2 4 3 15 2" xfId="7786"/>
    <cellStyle name="Note 2 4 3 15 2 2" xfId="20908"/>
    <cellStyle name="Note 2 4 3 15 2 2 2" xfId="40976"/>
    <cellStyle name="Note 2 4 3 15 2 3" xfId="27979"/>
    <cellStyle name="Note 2 4 3 15 3" xfId="17020"/>
    <cellStyle name="Note 2 4 3 15 3 2" xfId="37088"/>
    <cellStyle name="Note 2 4 3 15 4" xfId="27978"/>
    <cellStyle name="Note 2 4 3 16" xfId="7787"/>
    <cellStyle name="Note 2 4 3 16 2" xfId="7788"/>
    <cellStyle name="Note 2 4 3 16 2 2" xfId="20909"/>
    <cellStyle name="Note 2 4 3 16 2 2 2" xfId="40977"/>
    <cellStyle name="Note 2 4 3 16 2 3" xfId="27981"/>
    <cellStyle name="Note 2 4 3 16 3" xfId="15961"/>
    <cellStyle name="Note 2 4 3 16 3 2" xfId="36029"/>
    <cellStyle name="Note 2 4 3 16 4" xfId="27980"/>
    <cellStyle name="Note 2 4 3 17" xfId="7789"/>
    <cellStyle name="Note 2 4 3 17 2" xfId="7790"/>
    <cellStyle name="Note 2 4 3 17 2 2" xfId="20910"/>
    <cellStyle name="Note 2 4 3 17 2 2 2" xfId="40978"/>
    <cellStyle name="Note 2 4 3 17 2 3" xfId="27983"/>
    <cellStyle name="Note 2 4 3 17 3" xfId="15871"/>
    <cellStyle name="Note 2 4 3 17 3 2" xfId="35939"/>
    <cellStyle name="Note 2 4 3 17 4" xfId="27982"/>
    <cellStyle name="Note 2 4 3 18" xfId="7791"/>
    <cellStyle name="Note 2 4 3 18 2" xfId="7792"/>
    <cellStyle name="Note 2 4 3 18 2 2" xfId="20911"/>
    <cellStyle name="Note 2 4 3 18 2 2 2" xfId="40979"/>
    <cellStyle name="Note 2 4 3 18 2 3" xfId="27985"/>
    <cellStyle name="Note 2 4 3 18 3" xfId="17696"/>
    <cellStyle name="Note 2 4 3 18 3 2" xfId="37764"/>
    <cellStyle name="Note 2 4 3 18 4" xfId="27984"/>
    <cellStyle name="Note 2 4 3 19" xfId="7793"/>
    <cellStyle name="Note 2 4 3 19 2" xfId="7794"/>
    <cellStyle name="Note 2 4 3 19 2 2" xfId="20912"/>
    <cellStyle name="Note 2 4 3 19 2 2 2" xfId="40980"/>
    <cellStyle name="Note 2 4 3 19 2 3" xfId="27987"/>
    <cellStyle name="Note 2 4 3 19 3" xfId="16235"/>
    <cellStyle name="Note 2 4 3 19 3 2" xfId="36303"/>
    <cellStyle name="Note 2 4 3 19 4" xfId="27986"/>
    <cellStyle name="Note 2 4 3 2" xfId="7795"/>
    <cellStyle name="Note 2 4 3 2 10" xfId="7796"/>
    <cellStyle name="Note 2 4 3 2 10 2" xfId="7797"/>
    <cellStyle name="Note 2 4 3 2 10 2 2" xfId="20914"/>
    <cellStyle name="Note 2 4 3 2 10 2 2 2" xfId="40982"/>
    <cellStyle name="Note 2 4 3 2 10 2 3" xfId="27990"/>
    <cellStyle name="Note 2 4 3 2 10 3" xfId="16946"/>
    <cellStyle name="Note 2 4 3 2 10 3 2" xfId="37014"/>
    <cellStyle name="Note 2 4 3 2 10 4" xfId="27989"/>
    <cellStyle name="Note 2 4 3 2 11" xfId="7798"/>
    <cellStyle name="Note 2 4 3 2 11 2" xfId="7799"/>
    <cellStyle name="Note 2 4 3 2 11 2 2" xfId="20915"/>
    <cellStyle name="Note 2 4 3 2 11 2 2 2" xfId="40983"/>
    <cellStyle name="Note 2 4 3 2 11 2 3" xfId="27992"/>
    <cellStyle name="Note 2 4 3 2 11 3" xfId="17091"/>
    <cellStyle name="Note 2 4 3 2 11 3 2" xfId="37159"/>
    <cellStyle name="Note 2 4 3 2 11 4" xfId="27991"/>
    <cellStyle name="Note 2 4 3 2 12" xfId="7800"/>
    <cellStyle name="Note 2 4 3 2 12 2" xfId="7801"/>
    <cellStyle name="Note 2 4 3 2 12 2 2" xfId="20916"/>
    <cellStyle name="Note 2 4 3 2 12 2 2 2" xfId="40984"/>
    <cellStyle name="Note 2 4 3 2 12 2 3" xfId="27994"/>
    <cellStyle name="Note 2 4 3 2 12 3" xfId="17263"/>
    <cellStyle name="Note 2 4 3 2 12 3 2" xfId="37331"/>
    <cellStyle name="Note 2 4 3 2 12 4" xfId="27993"/>
    <cellStyle name="Note 2 4 3 2 13" xfId="7802"/>
    <cellStyle name="Note 2 4 3 2 13 2" xfId="7803"/>
    <cellStyle name="Note 2 4 3 2 13 2 2" xfId="20917"/>
    <cellStyle name="Note 2 4 3 2 13 2 2 2" xfId="40985"/>
    <cellStyle name="Note 2 4 3 2 13 2 3" xfId="27996"/>
    <cellStyle name="Note 2 4 3 2 13 3" xfId="17427"/>
    <cellStyle name="Note 2 4 3 2 13 3 2" xfId="37495"/>
    <cellStyle name="Note 2 4 3 2 13 4" xfId="27995"/>
    <cellStyle name="Note 2 4 3 2 14" xfId="7804"/>
    <cellStyle name="Note 2 4 3 2 14 2" xfId="7805"/>
    <cellStyle name="Note 2 4 3 2 14 2 2" xfId="20918"/>
    <cellStyle name="Note 2 4 3 2 14 2 2 2" xfId="40986"/>
    <cellStyle name="Note 2 4 3 2 14 2 3" xfId="27998"/>
    <cellStyle name="Note 2 4 3 2 14 3" xfId="17553"/>
    <cellStyle name="Note 2 4 3 2 14 3 2" xfId="37621"/>
    <cellStyle name="Note 2 4 3 2 14 4" xfId="27997"/>
    <cellStyle name="Note 2 4 3 2 15" xfId="7806"/>
    <cellStyle name="Note 2 4 3 2 15 2" xfId="7807"/>
    <cellStyle name="Note 2 4 3 2 15 2 2" xfId="20919"/>
    <cellStyle name="Note 2 4 3 2 15 2 2 2" xfId="40987"/>
    <cellStyle name="Note 2 4 3 2 15 2 3" xfId="28000"/>
    <cellStyle name="Note 2 4 3 2 15 3" xfId="15398"/>
    <cellStyle name="Note 2 4 3 2 15 3 2" xfId="35466"/>
    <cellStyle name="Note 2 4 3 2 15 4" xfId="27999"/>
    <cellStyle name="Note 2 4 3 2 16" xfId="7808"/>
    <cellStyle name="Note 2 4 3 2 16 2" xfId="7809"/>
    <cellStyle name="Note 2 4 3 2 16 2 2" xfId="20920"/>
    <cellStyle name="Note 2 4 3 2 16 2 2 2" xfId="40988"/>
    <cellStyle name="Note 2 4 3 2 16 2 3" xfId="28002"/>
    <cellStyle name="Note 2 4 3 2 16 3" xfId="17803"/>
    <cellStyle name="Note 2 4 3 2 16 3 2" xfId="37871"/>
    <cellStyle name="Note 2 4 3 2 16 4" xfId="28001"/>
    <cellStyle name="Note 2 4 3 2 17" xfId="7810"/>
    <cellStyle name="Note 2 4 3 2 17 2" xfId="7811"/>
    <cellStyle name="Note 2 4 3 2 17 2 2" xfId="20921"/>
    <cellStyle name="Note 2 4 3 2 17 2 2 2" xfId="40989"/>
    <cellStyle name="Note 2 4 3 2 17 2 3" xfId="28004"/>
    <cellStyle name="Note 2 4 3 2 17 3" xfId="17941"/>
    <cellStyle name="Note 2 4 3 2 17 3 2" xfId="38009"/>
    <cellStyle name="Note 2 4 3 2 17 4" xfId="28003"/>
    <cellStyle name="Note 2 4 3 2 18" xfId="7812"/>
    <cellStyle name="Note 2 4 3 2 18 2" xfId="7813"/>
    <cellStyle name="Note 2 4 3 2 18 2 2" xfId="20922"/>
    <cellStyle name="Note 2 4 3 2 18 2 2 2" xfId="40990"/>
    <cellStyle name="Note 2 4 3 2 18 2 3" xfId="28006"/>
    <cellStyle name="Note 2 4 3 2 18 3" xfId="18080"/>
    <cellStyle name="Note 2 4 3 2 18 3 2" xfId="38148"/>
    <cellStyle name="Note 2 4 3 2 18 4" xfId="28005"/>
    <cellStyle name="Note 2 4 3 2 19" xfId="7814"/>
    <cellStyle name="Note 2 4 3 2 19 2" xfId="7815"/>
    <cellStyle name="Note 2 4 3 2 19 2 2" xfId="20923"/>
    <cellStyle name="Note 2 4 3 2 19 2 2 2" xfId="40991"/>
    <cellStyle name="Note 2 4 3 2 19 2 3" xfId="28008"/>
    <cellStyle name="Note 2 4 3 2 19 3" xfId="18198"/>
    <cellStyle name="Note 2 4 3 2 19 3 2" xfId="38266"/>
    <cellStyle name="Note 2 4 3 2 19 4" xfId="28007"/>
    <cellStyle name="Note 2 4 3 2 2" xfId="7816"/>
    <cellStyle name="Note 2 4 3 2 2 2" xfId="7817"/>
    <cellStyle name="Note 2 4 3 2 2 2 2" xfId="20924"/>
    <cellStyle name="Note 2 4 3 2 2 2 2 2" xfId="40992"/>
    <cellStyle name="Note 2 4 3 2 2 2 3" xfId="28010"/>
    <cellStyle name="Note 2 4 3 2 2 3" xfId="14666"/>
    <cellStyle name="Note 2 4 3 2 2 3 2" xfId="34734"/>
    <cellStyle name="Note 2 4 3 2 2 4" xfId="28009"/>
    <cellStyle name="Note 2 4 3 2 20" xfId="7818"/>
    <cellStyle name="Note 2 4 3 2 20 2" xfId="7819"/>
    <cellStyle name="Note 2 4 3 2 20 2 2" xfId="20925"/>
    <cellStyle name="Note 2 4 3 2 20 2 2 2" xfId="40993"/>
    <cellStyle name="Note 2 4 3 2 20 2 3" xfId="28012"/>
    <cellStyle name="Note 2 4 3 2 20 3" xfId="15551"/>
    <cellStyle name="Note 2 4 3 2 20 3 2" xfId="35619"/>
    <cellStyle name="Note 2 4 3 2 20 4" xfId="28011"/>
    <cellStyle name="Note 2 4 3 2 21" xfId="7820"/>
    <cellStyle name="Note 2 4 3 2 21 2" xfId="7821"/>
    <cellStyle name="Note 2 4 3 2 21 2 2" xfId="20926"/>
    <cellStyle name="Note 2 4 3 2 21 2 2 2" xfId="40994"/>
    <cellStyle name="Note 2 4 3 2 21 2 3" xfId="28014"/>
    <cellStyle name="Note 2 4 3 2 21 3" xfId="18403"/>
    <cellStyle name="Note 2 4 3 2 21 3 2" xfId="38471"/>
    <cellStyle name="Note 2 4 3 2 21 4" xfId="28013"/>
    <cellStyle name="Note 2 4 3 2 22" xfId="7822"/>
    <cellStyle name="Note 2 4 3 2 22 2" xfId="7823"/>
    <cellStyle name="Note 2 4 3 2 22 2 2" xfId="20927"/>
    <cellStyle name="Note 2 4 3 2 22 2 2 2" xfId="40995"/>
    <cellStyle name="Note 2 4 3 2 22 2 3" xfId="28016"/>
    <cellStyle name="Note 2 4 3 2 22 3" xfId="18536"/>
    <cellStyle name="Note 2 4 3 2 22 3 2" xfId="38604"/>
    <cellStyle name="Note 2 4 3 2 22 4" xfId="28015"/>
    <cellStyle name="Note 2 4 3 2 23" xfId="7824"/>
    <cellStyle name="Note 2 4 3 2 23 2" xfId="7825"/>
    <cellStyle name="Note 2 4 3 2 23 2 2" xfId="20928"/>
    <cellStyle name="Note 2 4 3 2 23 2 2 2" xfId="40996"/>
    <cellStyle name="Note 2 4 3 2 23 2 3" xfId="28018"/>
    <cellStyle name="Note 2 4 3 2 23 3" xfId="18647"/>
    <cellStyle name="Note 2 4 3 2 23 3 2" xfId="38715"/>
    <cellStyle name="Note 2 4 3 2 23 4" xfId="28017"/>
    <cellStyle name="Note 2 4 3 2 24" xfId="7826"/>
    <cellStyle name="Note 2 4 3 2 24 2" xfId="7827"/>
    <cellStyle name="Note 2 4 3 2 24 2 2" xfId="20929"/>
    <cellStyle name="Note 2 4 3 2 24 2 2 2" xfId="40997"/>
    <cellStyle name="Note 2 4 3 2 24 2 3" xfId="28020"/>
    <cellStyle name="Note 2 4 3 2 24 3" xfId="18747"/>
    <cellStyle name="Note 2 4 3 2 24 3 2" xfId="38815"/>
    <cellStyle name="Note 2 4 3 2 24 4" xfId="28019"/>
    <cellStyle name="Note 2 4 3 2 25" xfId="7828"/>
    <cellStyle name="Note 2 4 3 2 25 2" xfId="7829"/>
    <cellStyle name="Note 2 4 3 2 25 2 2" xfId="20930"/>
    <cellStyle name="Note 2 4 3 2 25 2 2 2" xfId="40998"/>
    <cellStyle name="Note 2 4 3 2 25 2 3" xfId="28022"/>
    <cellStyle name="Note 2 4 3 2 25 3" xfId="18847"/>
    <cellStyle name="Note 2 4 3 2 25 3 2" xfId="38915"/>
    <cellStyle name="Note 2 4 3 2 25 4" xfId="28021"/>
    <cellStyle name="Note 2 4 3 2 26" xfId="7830"/>
    <cellStyle name="Note 2 4 3 2 26 2" xfId="20913"/>
    <cellStyle name="Note 2 4 3 2 26 2 2" xfId="40981"/>
    <cellStyle name="Note 2 4 3 2 26 3" xfId="28023"/>
    <cellStyle name="Note 2 4 3 2 27" xfId="14211"/>
    <cellStyle name="Note 2 4 3 2 27 2" xfId="34279"/>
    <cellStyle name="Note 2 4 3 2 28" xfId="27988"/>
    <cellStyle name="Note 2 4 3 2 3" xfId="7831"/>
    <cellStyle name="Note 2 4 3 2 3 2" xfId="7832"/>
    <cellStyle name="Note 2 4 3 2 3 2 2" xfId="20931"/>
    <cellStyle name="Note 2 4 3 2 3 2 2 2" xfId="40999"/>
    <cellStyle name="Note 2 4 3 2 3 2 3" xfId="28025"/>
    <cellStyle name="Note 2 4 3 2 3 3" xfId="14790"/>
    <cellStyle name="Note 2 4 3 2 3 3 2" xfId="34858"/>
    <cellStyle name="Note 2 4 3 2 3 4" xfId="28024"/>
    <cellStyle name="Note 2 4 3 2 4" xfId="7833"/>
    <cellStyle name="Note 2 4 3 2 4 2" xfId="7834"/>
    <cellStyle name="Note 2 4 3 2 4 2 2" xfId="20932"/>
    <cellStyle name="Note 2 4 3 2 4 2 2 2" xfId="41000"/>
    <cellStyle name="Note 2 4 3 2 4 2 3" xfId="28027"/>
    <cellStyle name="Note 2 4 3 2 4 3" xfId="14915"/>
    <cellStyle name="Note 2 4 3 2 4 3 2" xfId="34983"/>
    <cellStyle name="Note 2 4 3 2 4 4" xfId="28026"/>
    <cellStyle name="Note 2 4 3 2 5" xfId="7835"/>
    <cellStyle name="Note 2 4 3 2 5 2" xfId="7836"/>
    <cellStyle name="Note 2 4 3 2 5 2 2" xfId="20933"/>
    <cellStyle name="Note 2 4 3 2 5 2 2 2" xfId="41001"/>
    <cellStyle name="Note 2 4 3 2 5 2 3" xfId="28029"/>
    <cellStyle name="Note 2 4 3 2 5 3" xfId="15084"/>
    <cellStyle name="Note 2 4 3 2 5 3 2" xfId="35152"/>
    <cellStyle name="Note 2 4 3 2 5 4" xfId="28028"/>
    <cellStyle name="Note 2 4 3 2 6" xfId="7837"/>
    <cellStyle name="Note 2 4 3 2 6 2" xfId="7838"/>
    <cellStyle name="Note 2 4 3 2 6 2 2" xfId="20934"/>
    <cellStyle name="Note 2 4 3 2 6 2 2 2" xfId="41002"/>
    <cellStyle name="Note 2 4 3 2 6 2 3" xfId="28031"/>
    <cellStyle name="Note 2 4 3 2 6 3" xfId="15012"/>
    <cellStyle name="Note 2 4 3 2 6 3 2" xfId="35080"/>
    <cellStyle name="Note 2 4 3 2 6 4" xfId="28030"/>
    <cellStyle name="Note 2 4 3 2 7" xfId="7839"/>
    <cellStyle name="Note 2 4 3 2 7 2" xfId="7840"/>
    <cellStyle name="Note 2 4 3 2 7 2 2" xfId="20935"/>
    <cellStyle name="Note 2 4 3 2 7 2 2 2" xfId="41003"/>
    <cellStyle name="Note 2 4 3 2 7 2 3" xfId="28033"/>
    <cellStyle name="Note 2 4 3 2 7 3" xfId="15216"/>
    <cellStyle name="Note 2 4 3 2 7 3 2" xfId="35284"/>
    <cellStyle name="Note 2 4 3 2 7 4" xfId="28032"/>
    <cellStyle name="Note 2 4 3 2 8" xfId="7841"/>
    <cellStyle name="Note 2 4 3 2 8 2" xfId="7842"/>
    <cellStyle name="Note 2 4 3 2 8 2 2" xfId="20936"/>
    <cellStyle name="Note 2 4 3 2 8 2 2 2" xfId="41004"/>
    <cellStyle name="Note 2 4 3 2 8 2 3" xfId="28035"/>
    <cellStyle name="Note 2 4 3 2 8 3" xfId="16581"/>
    <cellStyle name="Note 2 4 3 2 8 3 2" xfId="36649"/>
    <cellStyle name="Note 2 4 3 2 8 4" xfId="28034"/>
    <cellStyle name="Note 2 4 3 2 9" xfId="7843"/>
    <cellStyle name="Note 2 4 3 2 9 2" xfId="7844"/>
    <cellStyle name="Note 2 4 3 2 9 2 2" xfId="20937"/>
    <cellStyle name="Note 2 4 3 2 9 2 2 2" xfId="41005"/>
    <cellStyle name="Note 2 4 3 2 9 2 3" xfId="28037"/>
    <cellStyle name="Note 2 4 3 2 9 3" xfId="16785"/>
    <cellStyle name="Note 2 4 3 2 9 3 2" xfId="36853"/>
    <cellStyle name="Note 2 4 3 2 9 4" xfId="28036"/>
    <cellStyle name="Note 2 4 3 20" xfId="7845"/>
    <cellStyle name="Note 2 4 3 20 2" xfId="7846"/>
    <cellStyle name="Note 2 4 3 20 2 2" xfId="20938"/>
    <cellStyle name="Note 2 4 3 20 2 2 2" xfId="41006"/>
    <cellStyle name="Note 2 4 3 20 2 3" xfId="28039"/>
    <cellStyle name="Note 2 4 3 20 3" xfId="16366"/>
    <cellStyle name="Note 2 4 3 20 3 2" xfId="36434"/>
    <cellStyle name="Note 2 4 3 20 4" xfId="28038"/>
    <cellStyle name="Note 2 4 3 21" xfId="7847"/>
    <cellStyle name="Note 2 4 3 21 2" xfId="7848"/>
    <cellStyle name="Note 2 4 3 21 2 2" xfId="20939"/>
    <cellStyle name="Note 2 4 3 21 2 2 2" xfId="41007"/>
    <cellStyle name="Note 2 4 3 21 2 3" xfId="28041"/>
    <cellStyle name="Note 2 4 3 21 3" xfId="17761"/>
    <cellStyle name="Note 2 4 3 21 3 2" xfId="37829"/>
    <cellStyle name="Note 2 4 3 21 4" xfId="28040"/>
    <cellStyle name="Note 2 4 3 22" xfId="7849"/>
    <cellStyle name="Note 2 4 3 22 2" xfId="7850"/>
    <cellStyle name="Note 2 4 3 22 2 2" xfId="20940"/>
    <cellStyle name="Note 2 4 3 22 2 2 2" xfId="41008"/>
    <cellStyle name="Note 2 4 3 22 2 3" xfId="28043"/>
    <cellStyle name="Note 2 4 3 22 3" xfId="16498"/>
    <cellStyle name="Note 2 4 3 22 3 2" xfId="36566"/>
    <cellStyle name="Note 2 4 3 22 4" xfId="28042"/>
    <cellStyle name="Note 2 4 3 23" xfId="7851"/>
    <cellStyle name="Note 2 4 3 23 2" xfId="7852"/>
    <cellStyle name="Note 2 4 3 23 2 2" xfId="20941"/>
    <cellStyle name="Note 2 4 3 23 2 2 2" xfId="41009"/>
    <cellStyle name="Note 2 4 3 23 2 3" xfId="28045"/>
    <cellStyle name="Note 2 4 3 23 3" xfId="16499"/>
    <cellStyle name="Note 2 4 3 23 3 2" xfId="36567"/>
    <cellStyle name="Note 2 4 3 23 4" xfId="28044"/>
    <cellStyle name="Note 2 4 3 24" xfId="7853"/>
    <cellStyle name="Note 2 4 3 24 2" xfId="7854"/>
    <cellStyle name="Note 2 4 3 24 2 2" xfId="20942"/>
    <cellStyle name="Note 2 4 3 24 2 2 2" xfId="41010"/>
    <cellStyle name="Note 2 4 3 24 2 3" xfId="28047"/>
    <cellStyle name="Note 2 4 3 24 3" xfId="16311"/>
    <cellStyle name="Note 2 4 3 24 3 2" xfId="36379"/>
    <cellStyle name="Note 2 4 3 24 4" xfId="28046"/>
    <cellStyle name="Note 2 4 3 25" xfId="7855"/>
    <cellStyle name="Note 2 4 3 25 2" xfId="7856"/>
    <cellStyle name="Note 2 4 3 25 2 2" xfId="20943"/>
    <cellStyle name="Note 2 4 3 25 2 2 2" xfId="41011"/>
    <cellStyle name="Note 2 4 3 25 2 3" xfId="28049"/>
    <cellStyle name="Note 2 4 3 25 3" xfId="17997"/>
    <cellStyle name="Note 2 4 3 25 3 2" xfId="38065"/>
    <cellStyle name="Note 2 4 3 25 4" xfId="28048"/>
    <cellStyle name="Note 2 4 3 26" xfId="7857"/>
    <cellStyle name="Note 2 4 3 26 2" xfId="7858"/>
    <cellStyle name="Note 2 4 3 26 2 2" xfId="20944"/>
    <cellStyle name="Note 2 4 3 26 2 2 2" xfId="41012"/>
    <cellStyle name="Note 2 4 3 26 2 3" xfId="28051"/>
    <cellStyle name="Note 2 4 3 26 3" xfId="17317"/>
    <cellStyle name="Note 2 4 3 26 3 2" xfId="37385"/>
    <cellStyle name="Note 2 4 3 26 4" xfId="28050"/>
    <cellStyle name="Note 2 4 3 27" xfId="7859"/>
    <cellStyle name="Note 2 4 3 27 2" xfId="7860"/>
    <cellStyle name="Note 2 4 3 27 2 2" xfId="20945"/>
    <cellStyle name="Note 2 4 3 27 2 2 2" xfId="41013"/>
    <cellStyle name="Note 2 4 3 27 2 3" xfId="28053"/>
    <cellStyle name="Note 2 4 3 27 3" xfId="17178"/>
    <cellStyle name="Note 2 4 3 27 3 2" xfId="37246"/>
    <cellStyle name="Note 2 4 3 27 4" xfId="28052"/>
    <cellStyle name="Note 2 4 3 28" xfId="7861"/>
    <cellStyle name="Note 2 4 3 28 2" xfId="20902"/>
    <cellStyle name="Note 2 4 3 28 2 2" xfId="40970"/>
    <cellStyle name="Note 2 4 3 28 3" xfId="28054"/>
    <cellStyle name="Note 2 4 3 29" xfId="13897"/>
    <cellStyle name="Note 2 4 3 29 2" xfId="33965"/>
    <cellStyle name="Note 2 4 3 3" xfId="7862"/>
    <cellStyle name="Note 2 4 3 3 2" xfId="7863"/>
    <cellStyle name="Note 2 4 3 3 2 2" xfId="20946"/>
    <cellStyle name="Note 2 4 3 3 2 2 2" xfId="41014"/>
    <cellStyle name="Note 2 4 3 3 2 3" xfId="28056"/>
    <cellStyle name="Note 2 4 3 3 3" xfId="14277"/>
    <cellStyle name="Note 2 4 3 3 3 2" xfId="34345"/>
    <cellStyle name="Note 2 4 3 3 4" xfId="28055"/>
    <cellStyle name="Note 2 4 3 30" xfId="27967"/>
    <cellStyle name="Note 2 4 3 4" xfId="7864"/>
    <cellStyle name="Note 2 4 3 4 2" xfId="7865"/>
    <cellStyle name="Note 2 4 3 4 2 2" xfId="20947"/>
    <cellStyle name="Note 2 4 3 4 2 2 2" xfId="41015"/>
    <cellStyle name="Note 2 4 3 4 2 3" xfId="28058"/>
    <cellStyle name="Note 2 4 3 4 3" xfId="14055"/>
    <cellStyle name="Note 2 4 3 4 3 2" xfId="34123"/>
    <cellStyle name="Note 2 4 3 4 4" xfId="28057"/>
    <cellStyle name="Note 2 4 3 5" xfId="7866"/>
    <cellStyle name="Note 2 4 3 5 2" xfId="7867"/>
    <cellStyle name="Note 2 4 3 5 2 2" xfId="20948"/>
    <cellStyle name="Note 2 4 3 5 2 2 2" xfId="41016"/>
    <cellStyle name="Note 2 4 3 5 2 3" xfId="28060"/>
    <cellStyle name="Note 2 4 3 5 3" xfId="14054"/>
    <cellStyle name="Note 2 4 3 5 3 2" xfId="34122"/>
    <cellStyle name="Note 2 4 3 5 4" xfId="28059"/>
    <cellStyle name="Note 2 4 3 6" xfId="7868"/>
    <cellStyle name="Note 2 4 3 6 2" xfId="7869"/>
    <cellStyle name="Note 2 4 3 6 2 2" xfId="20949"/>
    <cellStyle name="Note 2 4 3 6 2 2 2" xfId="41017"/>
    <cellStyle name="Note 2 4 3 6 2 3" xfId="28062"/>
    <cellStyle name="Note 2 4 3 6 3" xfId="14489"/>
    <cellStyle name="Note 2 4 3 6 3 2" xfId="34557"/>
    <cellStyle name="Note 2 4 3 6 4" xfId="28061"/>
    <cellStyle name="Note 2 4 3 7" xfId="7870"/>
    <cellStyle name="Note 2 4 3 7 2" xfId="7871"/>
    <cellStyle name="Note 2 4 3 7 2 2" xfId="20950"/>
    <cellStyle name="Note 2 4 3 7 2 2 2" xfId="41018"/>
    <cellStyle name="Note 2 4 3 7 2 3" xfId="28064"/>
    <cellStyle name="Note 2 4 3 7 3" xfId="14405"/>
    <cellStyle name="Note 2 4 3 7 3 2" xfId="34473"/>
    <cellStyle name="Note 2 4 3 7 4" xfId="28063"/>
    <cellStyle name="Note 2 4 3 8" xfId="7872"/>
    <cellStyle name="Note 2 4 3 8 2" xfId="7873"/>
    <cellStyle name="Note 2 4 3 8 2 2" xfId="20951"/>
    <cellStyle name="Note 2 4 3 8 2 2 2" xfId="41019"/>
    <cellStyle name="Note 2 4 3 8 2 3" xfId="28066"/>
    <cellStyle name="Note 2 4 3 8 3" xfId="14176"/>
    <cellStyle name="Note 2 4 3 8 3 2" xfId="34244"/>
    <cellStyle name="Note 2 4 3 8 4" xfId="28065"/>
    <cellStyle name="Note 2 4 3 9" xfId="7874"/>
    <cellStyle name="Note 2 4 3 9 2" xfId="7875"/>
    <cellStyle name="Note 2 4 3 9 2 2" xfId="20952"/>
    <cellStyle name="Note 2 4 3 9 2 2 2" xfId="41020"/>
    <cellStyle name="Note 2 4 3 9 2 3" xfId="28068"/>
    <cellStyle name="Note 2 4 3 9 3" xfId="15303"/>
    <cellStyle name="Note 2 4 3 9 3 2" xfId="35371"/>
    <cellStyle name="Note 2 4 3 9 4" xfId="28067"/>
    <cellStyle name="Note 2 4 30" xfId="7876"/>
    <cellStyle name="Note 2 4 30 2" xfId="20830"/>
    <cellStyle name="Note 2 4 30 2 2" xfId="40898"/>
    <cellStyle name="Note 2 4 30 3" xfId="28069"/>
    <cellStyle name="Note 2 4 31" xfId="13895"/>
    <cellStyle name="Note 2 4 31 2" xfId="33963"/>
    <cellStyle name="Note 2 4 32" xfId="27824"/>
    <cellStyle name="Note 2 4 4" xfId="7877"/>
    <cellStyle name="Note 2 4 4 10" xfId="7878"/>
    <cellStyle name="Note 2 4 4 10 2" xfId="7879"/>
    <cellStyle name="Note 2 4 4 10 2 2" xfId="20954"/>
    <cellStyle name="Note 2 4 4 10 2 2 2" xfId="41022"/>
    <cellStyle name="Note 2 4 4 10 2 3" xfId="28072"/>
    <cellStyle name="Note 2 4 4 10 3" xfId="16944"/>
    <cellStyle name="Note 2 4 4 10 3 2" xfId="37012"/>
    <cellStyle name="Note 2 4 4 10 4" xfId="28071"/>
    <cellStyle name="Note 2 4 4 11" xfId="7880"/>
    <cellStyle name="Note 2 4 4 11 2" xfId="7881"/>
    <cellStyle name="Note 2 4 4 11 2 2" xfId="20955"/>
    <cellStyle name="Note 2 4 4 11 2 2 2" xfId="41023"/>
    <cellStyle name="Note 2 4 4 11 2 3" xfId="28074"/>
    <cellStyle name="Note 2 4 4 11 3" xfId="17089"/>
    <cellStyle name="Note 2 4 4 11 3 2" xfId="37157"/>
    <cellStyle name="Note 2 4 4 11 4" xfId="28073"/>
    <cellStyle name="Note 2 4 4 12" xfId="7882"/>
    <cellStyle name="Note 2 4 4 12 2" xfId="7883"/>
    <cellStyle name="Note 2 4 4 12 2 2" xfId="20956"/>
    <cellStyle name="Note 2 4 4 12 2 2 2" xfId="41024"/>
    <cellStyle name="Note 2 4 4 12 2 3" xfId="28076"/>
    <cellStyle name="Note 2 4 4 12 3" xfId="17261"/>
    <cellStyle name="Note 2 4 4 12 3 2" xfId="37329"/>
    <cellStyle name="Note 2 4 4 12 4" xfId="28075"/>
    <cellStyle name="Note 2 4 4 13" xfId="7884"/>
    <cellStyle name="Note 2 4 4 13 2" xfId="7885"/>
    <cellStyle name="Note 2 4 4 13 2 2" xfId="20957"/>
    <cellStyle name="Note 2 4 4 13 2 2 2" xfId="41025"/>
    <cellStyle name="Note 2 4 4 13 2 3" xfId="28078"/>
    <cellStyle name="Note 2 4 4 13 3" xfId="17425"/>
    <cellStyle name="Note 2 4 4 13 3 2" xfId="37493"/>
    <cellStyle name="Note 2 4 4 13 4" xfId="28077"/>
    <cellStyle name="Note 2 4 4 14" xfId="7886"/>
    <cellStyle name="Note 2 4 4 14 2" xfId="7887"/>
    <cellStyle name="Note 2 4 4 14 2 2" xfId="20958"/>
    <cellStyle name="Note 2 4 4 14 2 2 2" xfId="41026"/>
    <cellStyle name="Note 2 4 4 14 2 3" xfId="28080"/>
    <cellStyle name="Note 2 4 4 14 3" xfId="17551"/>
    <cellStyle name="Note 2 4 4 14 3 2" xfId="37619"/>
    <cellStyle name="Note 2 4 4 14 4" xfId="28079"/>
    <cellStyle name="Note 2 4 4 15" xfId="7888"/>
    <cellStyle name="Note 2 4 4 15 2" xfId="7889"/>
    <cellStyle name="Note 2 4 4 15 2 2" xfId="20959"/>
    <cellStyle name="Note 2 4 4 15 2 2 2" xfId="41027"/>
    <cellStyle name="Note 2 4 4 15 2 3" xfId="28082"/>
    <cellStyle name="Note 2 4 4 15 3" xfId="16312"/>
    <cellStyle name="Note 2 4 4 15 3 2" xfId="36380"/>
    <cellStyle name="Note 2 4 4 15 4" xfId="28081"/>
    <cellStyle name="Note 2 4 4 16" xfId="7890"/>
    <cellStyle name="Note 2 4 4 16 2" xfId="7891"/>
    <cellStyle name="Note 2 4 4 16 2 2" xfId="20960"/>
    <cellStyle name="Note 2 4 4 16 2 2 2" xfId="41028"/>
    <cellStyle name="Note 2 4 4 16 2 3" xfId="28084"/>
    <cellStyle name="Note 2 4 4 16 3" xfId="17801"/>
    <cellStyle name="Note 2 4 4 16 3 2" xfId="37869"/>
    <cellStyle name="Note 2 4 4 16 4" xfId="28083"/>
    <cellStyle name="Note 2 4 4 17" xfId="7892"/>
    <cellStyle name="Note 2 4 4 17 2" xfId="7893"/>
    <cellStyle name="Note 2 4 4 17 2 2" xfId="20961"/>
    <cellStyle name="Note 2 4 4 17 2 2 2" xfId="41029"/>
    <cellStyle name="Note 2 4 4 17 2 3" xfId="28086"/>
    <cellStyle name="Note 2 4 4 17 3" xfId="17939"/>
    <cellStyle name="Note 2 4 4 17 3 2" xfId="38007"/>
    <cellStyle name="Note 2 4 4 17 4" xfId="28085"/>
    <cellStyle name="Note 2 4 4 18" xfId="7894"/>
    <cellStyle name="Note 2 4 4 18 2" xfId="7895"/>
    <cellStyle name="Note 2 4 4 18 2 2" xfId="20962"/>
    <cellStyle name="Note 2 4 4 18 2 2 2" xfId="41030"/>
    <cellStyle name="Note 2 4 4 18 2 3" xfId="28088"/>
    <cellStyle name="Note 2 4 4 18 3" xfId="18078"/>
    <cellStyle name="Note 2 4 4 18 3 2" xfId="38146"/>
    <cellStyle name="Note 2 4 4 18 4" xfId="28087"/>
    <cellStyle name="Note 2 4 4 19" xfId="7896"/>
    <cellStyle name="Note 2 4 4 19 2" xfId="7897"/>
    <cellStyle name="Note 2 4 4 19 2 2" xfId="20963"/>
    <cellStyle name="Note 2 4 4 19 2 2 2" xfId="41031"/>
    <cellStyle name="Note 2 4 4 19 2 3" xfId="28090"/>
    <cellStyle name="Note 2 4 4 19 3" xfId="18196"/>
    <cellStyle name="Note 2 4 4 19 3 2" xfId="38264"/>
    <cellStyle name="Note 2 4 4 19 4" xfId="28089"/>
    <cellStyle name="Note 2 4 4 2" xfId="7898"/>
    <cellStyle name="Note 2 4 4 2 2" xfId="7899"/>
    <cellStyle name="Note 2 4 4 2 2 2" xfId="20964"/>
    <cellStyle name="Note 2 4 4 2 2 2 2" xfId="41032"/>
    <cellStyle name="Note 2 4 4 2 2 3" xfId="28092"/>
    <cellStyle name="Note 2 4 4 2 3" xfId="14664"/>
    <cellStyle name="Note 2 4 4 2 3 2" xfId="34732"/>
    <cellStyle name="Note 2 4 4 2 4" xfId="28091"/>
    <cellStyle name="Note 2 4 4 20" xfId="7900"/>
    <cellStyle name="Note 2 4 4 20 2" xfId="7901"/>
    <cellStyle name="Note 2 4 4 20 2 2" xfId="20965"/>
    <cellStyle name="Note 2 4 4 20 2 2 2" xfId="41033"/>
    <cellStyle name="Note 2 4 4 20 2 3" xfId="28094"/>
    <cellStyle name="Note 2 4 4 20 3" xfId="18139"/>
    <cellStyle name="Note 2 4 4 20 3 2" xfId="38207"/>
    <cellStyle name="Note 2 4 4 20 4" xfId="28093"/>
    <cellStyle name="Note 2 4 4 21" xfId="7902"/>
    <cellStyle name="Note 2 4 4 21 2" xfId="7903"/>
    <cellStyle name="Note 2 4 4 21 2 2" xfId="20966"/>
    <cellStyle name="Note 2 4 4 21 2 2 2" xfId="41034"/>
    <cellStyle name="Note 2 4 4 21 2 3" xfId="28096"/>
    <cellStyle name="Note 2 4 4 21 3" xfId="18401"/>
    <cellStyle name="Note 2 4 4 21 3 2" xfId="38469"/>
    <cellStyle name="Note 2 4 4 21 4" xfId="28095"/>
    <cellStyle name="Note 2 4 4 22" xfId="7904"/>
    <cellStyle name="Note 2 4 4 22 2" xfId="7905"/>
    <cellStyle name="Note 2 4 4 22 2 2" xfId="20967"/>
    <cellStyle name="Note 2 4 4 22 2 2 2" xfId="41035"/>
    <cellStyle name="Note 2 4 4 22 2 3" xfId="28098"/>
    <cellStyle name="Note 2 4 4 22 3" xfId="18534"/>
    <cellStyle name="Note 2 4 4 22 3 2" xfId="38602"/>
    <cellStyle name="Note 2 4 4 22 4" xfId="28097"/>
    <cellStyle name="Note 2 4 4 23" xfId="7906"/>
    <cellStyle name="Note 2 4 4 23 2" xfId="7907"/>
    <cellStyle name="Note 2 4 4 23 2 2" xfId="20968"/>
    <cellStyle name="Note 2 4 4 23 2 2 2" xfId="41036"/>
    <cellStyle name="Note 2 4 4 23 2 3" xfId="28100"/>
    <cellStyle name="Note 2 4 4 23 3" xfId="18645"/>
    <cellStyle name="Note 2 4 4 23 3 2" xfId="38713"/>
    <cellStyle name="Note 2 4 4 23 4" xfId="28099"/>
    <cellStyle name="Note 2 4 4 24" xfId="7908"/>
    <cellStyle name="Note 2 4 4 24 2" xfId="7909"/>
    <cellStyle name="Note 2 4 4 24 2 2" xfId="20969"/>
    <cellStyle name="Note 2 4 4 24 2 2 2" xfId="41037"/>
    <cellStyle name="Note 2 4 4 24 2 3" xfId="28102"/>
    <cellStyle name="Note 2 4 4 24 3" xfId="18745"/>
    <cellStyle name="Note 2 4 4 24 3 2" xfId="38813"/>
    <cellStyle name="Note 2 4 4 24 4" xfId="28101"/>
    <cellStyle name="Note 2 4 4 25" xfId="7910"/>
    <cellStyle name="Note 2 4 4 25 2" xfId="7911"/>
    <cellStyle name="Note 2 4 4 25 2 2" xfId="20970"/>
    <cellStyle name="Note 2 4 4 25 2 2 2" xfId="41038"/>
    <cellStyle name="Note 2 4 4 25 2 3" xfId="28104"/>
    <cellStyle name="Note 2 4 4 25 3" xfId="18845"/>
    <cellStyle name="Note 2 4 4 25 3 2" xfId="38913"/>
    <cellStyle name="Note 2 4 4 25 4" xfId="28103"/>
    <cellStyle name="Note 2 4 4 26" xfId="7912"/>
    <cellStyle name="Note 2 4 4 26 2" xfId="20953"/>
    <cellStyle name="Note 2 4 4 26 2 2" xfId="41021"/>
    <cellStyle name="Note 2 4 4 26 3" xfId="28105"/>
    <cellStyle name="Note 2 4 4 27" xfId="14584"/>
    <cellStyle name="Note 2 4 4 27 2" xfId="34652"/>
    <cellStyle name="Note 2 4 4 28" xfId="28070"/>
    <cellStyle name="Note 2 4 4 3" xfId="7913"/>
    <cellStyle name="Note 2 4 4 3 2" xfId="7914"/>
    <cellStyle name="Note 2 4 4 3 2 2" xfId="20971"/>
    <cellStyle name="Note 2 4 4 3 2 2 2" xfId="41039"/>
    <cellStyle name="Note 2 4 4 3 2 3" xfId="28107"/>
    <cellStyle name="Note 2 4 4 3 3" xfId="14788"/>
    <cellStyle name="Note 2 4 4 3 3 2" xfId="34856"/>
    <cellStyle name="Note 2 4 4 3 4" xfId="28106"/>
    <cellStyle name="Note 2 4 4 4" xfId="7915"/>
    <cellStyle name="Note 2 4 4 4 2" xfId="7916"/>
    <cellStyle name="Note 2 4 4 4 2 2" xfId="20972"/>
    <cellStyle name="Note 2 4 4 4 2 2 2" xfId="41040"/>
    <cellStyle name="Note 2 4 4 4 2 3" xfId="28109"/>
    <cellStyle name="Note 2 4 4 4 3" xfId="14913"/>
    <cellStyle name="Note 2 4 4 4 3 2" xfId="34981"/>
    <cellStyle name="Note 2 4 4 4 4" xfId="28108"/>
    <cellStyle name="Note 2 4 4 5" xfId="7917"/>
    <cellStyle name="Note 2 4 4 5 2" xfId="7918"/>
    <cellStyle name="Note 2 4 4 5 2 2" xfId="20973"/>
    <cellStyle name="Note 2 4 4 5 2 2 2" xfId="41041"/>
    <cellStyle name="Note 2 4 4 5 2 3" xfId="28111"/>
    <cellStyle name="Note 2 4 4 5 3" xfId="15082"/>
    <cellStyle name="Note 2 4 4 5 3 2" xfId="35150"/>
    <cellStyle name="Note 2 4 4 5 4" xfId="28110"/>
    <cellStyle name="Note 2 4 4 6" xfId="7919"/>
    <cellStyle name="Note 2 4 4 6 2" xfId="7920"/>
    <cellStyle name="Note 2 4 4 6 2 2" xfId="20974"/>
    <cellStyle name="Note 2 4 4 6 2 2 2" xfId="41042"/>
    <cellStyle name="Note 2 4 4 6 2 3" xfId="28113"/>
    <cellStyle name="Note 2 4 4 6 3" xfId="14108"/>
    <cellStyle name="Note 2 4 4 6 3 2" xfId="34176"/>
    <cellStyle name="Note 2 4 4 6 4" xfId="28112"/>
    <cellStyle name="Note 2 4 4 7" xfId="7921"/>
    <cellStyle name="Note 2 4 4 7 2" xfId="7922"/>
    <cellStyle name="Note 2 4 4 7 2 2" xfId="20975"/>
    <cellStyle name="Note 2 4 4 7 2 2 2" xfId="41043"/>
    <cellStyle name="Note 2 4 4 7 2 3" xfId="28115"/>
    <cellStyle name="Note 2 4 4 7 3" xfId="15214"/>
    <cellStyle name="Note 2 4 4 7 3 2" xfId="35282"/>
    <cellStyle name="Note 2 4 4 7 4" xfId="28114"/>
    <cellStyle name="Note 2 4 4 8" xfId="7923"/>
    <cellStyle name="Note 2 4 4 8 2" xfId="7924"/>
    <cellStyle name="Note 2 4 4 8 2 2" xfId="20976"/>
    <cellStyle name="Note 2 4 4 8 2 2 2" xfId="41044"/>
    <cellStyle name="Note 2 4 4 8 2 3" xfId="28117"/>
    <cellStyle name="Note 2 4 4 8 3" xfId="16579"/>
    <cellStyle name="Note 2 4 4 8 3 2" xfId="36647"/>
    <cellStyle name="Note 2 4 4 8 4" xfId="28116"/>
    <cellStyle name="Note 2 4 4 9" xfId="7925"/>
    <cellStyle name="Note 2 4 4 9 2" xfId="7926"/>
    <cellStyle name="Note 2 4 4 9 2 2" xfId="20977"/>
    <cellStyle name="Note 2 4 4 9 2 2 2" xfId="41045"/>
    <cellStyle name="Note 2 4 4 9 2 3" xfId="28119"/>
    <cellStyle name="Note 2 4 4 9 3" xfId="16783"/>
    <cellStyle name="Note 2 4 4 9 3 2" xfId="36851"/>
    <cellStyle name="Note 2 4 4 9 4" xfId="28118"/>
    <cellStyle name="Note 2 4 5" xfId="7927"/>
    <cellStyle name="Note 2 4 5 2" xfId="7928"/>
    <cellStyle name="Note 2 4 5 2 2" xfId="20978"/>
    <cellStyle name="Note 2 4 5 2 2 2" xfId="41046"/>
    <cellStyle name="Note 2 4 5 2 3" xfId="28121"/>
    <cellStyle name="Note 2 4 5 3" xfId="14149"/>
    <cellStyle name="Note 2 4 5 3 2" xfId="34217"/>
    <cellStyle name="Note 2 4 5 4" xfId="28120"/>
    <cellStyle name="Note 2 4 6" xfId="7929"/>
    <cellStyle name="Note 2 4 6 2" xfId="7930"/>
    <cellStyle name="Note 2 4 6 2 2" xfId="20979"/>
    <cellStyle name="Note 2 4 6 2 2 2" xfId="41047"/>
    <cellStyle name="Note 2 4 6 2 3" xfId="28123"/>
    <cellStyle name="Note 2 4 6 3" xfId="14229"/>
    <cellStyle name="Note 2 4 6 3 2" xfId="34297"/>
    <cellStyle name="Note 2 4 6 4" xfId="28122"/>
    <cellStyle name="Note 2 4 7" xfId="7931"/>
    <cellStyle name="Note 2 4 7 2" xfId="7932"/>
    <cellStyle name="Note 2 4 7 2 2" xfId="20980"/>
    <cellStyle name="Note 2 4 7 2 2 2" xfId="41048"/>
    <cellStyle name="Note 2 4 7 2 3" xfId="28125"/>
    <cellStyle name="Note 2 4 7 3" xfId="14427"/>
    <cellStyle name="Note 2 4 7 3 2" xfId="34495"/>
    <cellStyle name="Note 2 4 7 4" xfId="28124"/>
    <cellStyle name="Note 2 4 8" xfId="7933"/>
    <cellStyle name="Note 2 4 8 2" xfId="7934"/>
    <cellStyle name="Note 2 4 8 2 2" xfId="20981"/>
    <cellStyle name="Note 2 4 8 2 2 2" xfId="41049"/>
    <cellStyle name="Note 2 4 8 2 3" xfId="28127"/>
    <cellStyle name="Note 2 4 8 3" xfId="14310"/>
    <cellStyle name="Note 2 4 8 3 2" xfId="34378"/>
    <cellStyle name="Note 2 4 8 4" xfId="28126"/>
    <cellStyle name="Note 2 4 9" xfId="7935"/>
    <cellStyle name="Note 2 4 9 2" xfId="7936"/>
    <cellStyle name="Note 2 4 9 2 2" xfId="20982"/>
    <cellStyle name="Note 2 4 9 2 2 2" xfId="41050"/>
    <cellStyle name="Note 2 4 9 2 3" xfId="28129"/>
    <cellStyle name="Note 2 4 9 3" xfId="14453"/>
    <cellStyle name="Note 2 4 9 3 2" xfId="34521"/>
    <cellStyle name="Note 2 4 9 4" xfId="28128"/>
    <cellStyle name="Note 2 4_2011-2012" xfId="7937"/>
    <cellStyle name="Note 2 40" xfId="43976"/>
    <cellStyle name="Note 2 41" xfId="43984"/>
    <cellStyle name="Note 2 42" xfId="43972"/>
    <cellStyle name="Note 2 43" xfId="43994"/>
    <cellStyle name="Note 2 44" xfId="43997"/>
    <cellStyle name="Note 2 45" xfId="43992"/>
    <cellStyle name="Note 2 46" xfId="43991"/>
    <cellStyle name="Note 2 5" xfId="7938"/>
    <cellStyle name="Note 2 5 10" xfId="7939"/>
    <cellStyle name="Note 2 5 10 2" xfId="7940"/>
    <cellStyle name="Note 2 5 10 2 2" xfId="20984"/>
    <cellStyle name="Note 2 5 10 2 2 2" xfId="41052"/>
    <cellStyle name="Note 2 5 10 2 3" xfId="28132"/>
    <cellStyle name="Note 2 5 10 3" xfId="14497"/>
    <cellStyle name="Note 2 5 10 3 2" xfId="34565"/>
    <cellStyle name="Note 2 5 10 4" xfId="28131"/>
    <cellStyle name="Note 2 5 11" xfId="7941"/>
    <cellStyle name="Note 2 5 11 2" xfId="7942"/>
    <cellStyle name="Note 2 5 11 2 2" xfId="20985"/>
    <cellStyle name="Note 2 5 11 2 2 2" xfId="41053"/>
    <cellStyle name="Note 2 5 11 2 3" xfId="28134"/>
    <cellStyle name="Note 2 5 11 3" xfId="15304"/>
    <cellStyle name="Note 2 5 11 3 2" xfId="35372"/>
    <cellStyle name="Note 2 5 11 4" xfId="28133"/>
    <cellStyle name="Note 2 5 12" xfId="7943"/>
    <cellStyle name="Note 2 5 12 2" xfId="7944"/>
    <cellStyle name="Note 2 5 12 2 2" xfId="20986"/>
    <cellStyle name="Note 2 5 12 2 2 2" xfId="41054"/>
    <cellStyle name="Note 2 5 12 2 3" xfId="28136"/>
    <cellStyle name="Note 2 5 12 3" xfId="16447"/>
    <cellStyle name="Note 2 5 12 3 2" xfId="36515"/>
    <cellStyle name="Note 2 5 12 4" xfId="28135"/>
    <cellStyle name="Note 2 5 13" xfId="7945"/>
    <cellStyle name="Note 2 5 13 2" xfId="7946"/>
    <cellStyle name="Note 2 5 13 2 2" xfId="20987"/>
    <cellStyle name="Note 2 5 13 2 2 2" xfId="41055"/>
    <cellStyle name="Note 2 5 13 2 3" xfId="28138"/>
    <cellStyle name="Note 2 5 13 3" xfId="16640"/>
    <cellStyle name="Note 2 5 13 3 2" xfId="36708"/>
    <cellStyle name="Note 2 5 13 4" xfId="28137"/>
    <cellStyle name="Note 2 5 14" xfId="7947"/>
    <cellStyle name="Note 2 5 14 2" xfId="7948"/>
    <cellStyle name="Note 2 5 14 2 2" xfId="20988"/>
    <cellStyle name="Note 2 5 14 2 2 2" xfId="41056"/>
    <cellStyle name="Note 2 5 14 2 3" xfId="28140"/>
    <cellStyle name="Note 2 5 14 3" xfId="16005"/>
    <cellStyle name="Note 2 5 14 3 2" xfId="36073"/>
    <cellStyle name="Note 2 5 14 4" xfId="28139"/>
    <cellStyle name="Note 2 5 15" xfId="7949"/>
    <cellStyle name="Note 2 5 15 2" xfId="7950"/>
    <cellStyle name="Note 2 5 15 2 2" xfId="20989"/>
    <cellStyle name="Note 2 5 15 2 2 2" xfId="41057"/>
    <cellStyle name="Note 2 5 15 2 3" xfId="28142"/>
    <cellStyle name="Note 2 5 15 3" xfId="15712"/>
    <cellStyle name="Note 2 5 15 3 2" xfId="35780"/>
    <cellStyle name="Note 2 5 15 4" xfId="28141"/>
    <cellStyle name="Note 2 5 16" xfId="7951"/>
    <cellStyle name="Note 2 5 16 2" xfId="7952"/>
    <cellStyle name="Note 2 5 16 2 2" xfId="20990"/>
    <cellStyle name="Note 2 5 16 2 2 2" xfId="41058"/>
    <cellStyle name="Note 2 5 16 2 3" xfId="28144"/>
    <cellStyle name="Note 2 5 16 3" xfId="15547"/>
    <cellStyle name="Note 2 5 16 3 2" xfId="35615"/>
    <cellStyle name="Note 2 5 16 4" xfId="28143"/>
    <cellStyle name="Note 2 5 17" xfId="7953"/>
    <cellStyle name="Note 2 5 17 2" xfId="7954"/>
    <cellStyle name="Note 2 5 17 2 2" xfId="20991"/>
    <cellStyle name="Note 2 5 17 2 2 2" xfId="41059"/>
    <cellStyle name="Note 2 5 17 2 3" xfId="28146"/>
    <cellStyle name="Note 2 5 17 3" xfId="15574"/>
    <cellStyle name="Note 2 5 17 3 2" xfId="35642"/>
    <cellStyle name="Note 2 5 17 4" xfId="28145"/>
    <cellStyle name="Note 2 5 18" xfId="7955"/>
    <cellStyle name="Note 2 5 18 2" xfId="7956"/>
    <cellStyle name="Note 2 5 18 2 2" xfId="20992"/>
    <cellStyle name="Note 2 5 18 2 2 2" xfId="41060"/>
    <cellStyle name="Note 2 5 18 2 3" xfId="28148"/>
    <cellStyle name="Note 2 5 18 3" xfId="16195"/>
    <cellStyle name="Note 2 5 18 3 2" xfId="36263"/>
    <cellStyle name="Note 2 5 18 4" xfId="28147"/>
    <cellStyle name="Note 2 5 19" xfId="7957"/>
    <cellStyle name="Note 2 5 19 2" xfId="7958"/>
    <cellStyle name="Note 2 5 19 2 2" xfId="20993"/>
    <cellStyle name="Note 2 5 19 2 2 2" xfId="41061"/>
    <cellStyle name="Note 2 5 19 2 3" xfId="28150"/>
    <cellStyle name="Note 2 5 19 3" xfId="16171"/>
    <cellStyle name="Note 2 5 19 3 2" xfId="36239"/>
    <cellStyle name="Note 2 5 19 4" xfId="28149"/>
    <cellStyle name="Note 2 5 2" xfId="7959"/>
    <cellStyle name="Note 2 5 2 10" xfId="7960"/>
    <cellStyle name="Note 2 5 2 10 2" xfId="7961"/>
    <cellStyle name="Note 2 5 2 10 2 2" xfId="20995"/>
    <cellStyle name="Note 2 5 2 10 2 2 2" xfId="41063"/>
    <cellStyle name="Note 2 5 2 10 2 3" xfId="28153"/>
    <cellStyle name="Note 2 5 2 10 3" xfId="16448"/>
    <cellStyle name="Note 2 5 2 10 3 2" xfId="36516"/>
    <cellStyle name="Note 2 5 2 10 4" xfId="28152"/>
    <cellStyle name="Note 2 5 2 11" xfId="7962"/>
    <cellStyle name="Note 2 5 2 11 2" xfId="7963"/>
    <cellStyle name="Note 2 5 2 11 2 2" xfId="20996"/>
    <cellStyle name="Note 2 5 2 11 2 2 2" xfId="41064"/>
    <cellStyle name="Note 2 5 2 11 2 3" xfId="28155"/>
    <cellStyle name="Note 2 5 2 11 3" xfId="16641"/>
    <cellStyle name="Note 2 5 2 11 3 2" xfId="36709"/>
    <cellStyle name="Note 2 5 2 11 4" xfId="28154"/>
    <cellStyle name="Note 2 5 2 12" xfId="7964"/>
    <cellStyle name="Note 2 5 2 12 2" xfId="7965"/>
    <cellStyle name="Note 2 5 2 12 2 2" xfId="20997"/>
    <cellStyle name="Note 2 5 2 12 2 2 2" xfId="41065"/>
    <cellStyle name="Note 2 5 2 12 2 3" xfId="28157"/>
    <cellStyle name="Note 2 5 2 12 3" xfId="16506"/>
    <cellStyle name="Note 2 5 2 12 3 2" xfId="36574"/>
    <cellStyle name="Note 2 5 2 12 4" xfId="28156"/>
    <cellStyle name="Note 2 5 2 13" xfId="7966"/>
    <cellStyle name="Note 2 5 2 13 2" xfId="7967"/>
    <cellStyle name="Note 2 5 2 13 2 2" xfId="20998"/>
    <cellStyle name="Note 2 5 2 13 2 2 2" xfId="41066"/>
    <cellStyle name="Note 2 5 2 13 2 3" xfId="28159"/>
    <cellStyle name="Note 2 5 2 13 3" xfId="16705"/>
    <cellStyle name="Note 2 5 2 13 3 2" xfId="36773"/>
    <cellStyle name="Note 2 5 2 13 4" xfId="28158"/>
    <cellStyle name="Note 2 5 2 14" xfId="7968"/>
    <cellStyle name="Note 2 5 2 14 2" xfId="7969"/>
    <cellStyle name="Note 2 5 2 14 2 2" xfId="20999"/>
    <cellStyle name="Note 2 5 2 14 2 2 2" xfId="41067"/>
    <cellStyle name="Note 2 5 2 14 2 3" xfId="28161"/>
    <cellStyle name="Note 2 5 2 14 3" xfId="16881"/>
    <cellStyle name="Note 2 5 2 14 3 2" xfId="36949"/>
    <cellStyle name="Note 2 5 2 14 4" xfId="28160"/>
    <cellStyle name="Note 2 5 2 15" xfId="7970"/>
    <cellStyle name="Note 2 5 2 15 2" xfId="7971"/>
    <cellStyle name="Note 2 5 2 15 2 2" xfId="21000"/>
    <cellStyle name="Note 2 5 2 15 2 2 2" xfId="41068"/>
    <cellStyle name="Note 2 5 2 15 2 3" xfId="28163"/>
    <cellStyle name="Note 2 5 2 15 3" xfId="15406"/>
    <cellStyle name="Note 2 5 2 15 3 2" xfId="35474"/>
    <cellStyle name="Note 2 5 2 15 4" xfId="28162"/>
    <cellStyle name="Note 2 5 2 16" xfId="7972"/>
    <cellStyle name="Note 2 5 2 16 2" xfId="7973"/>
    <cellStyle name="Note 2 5 2 16 2 2" xfId="21001"/>
    <cellStyle name="Note 2 5 2 16 2 2 2" xfId="41069"/>
    <cellStyle name="Note 2 5 2 16 2 3" xfId="28165"/>
    <cellStyle name="Note 2 5 2 16 3" xfId="17184"/>
    <cellStyle name="Note 2 5 2 16 3 2" xfId="37252"/>
    <cellStyle name="Note 2 5 2 16 4" xfId="28164"/>
    <cellStyle name="Note 2 5 2 17" xfId="7974"/>
    <cellStyle name="Note 2 5 2 17 2" xfId="7975"/>
    <cellStyle name="Note 2 5 2 17 2 2" xfId="21002"/>
    <cellStyle name="Note 2 5 2 17 2 2 2" xfId="41070"/>
    <cellStyle name="Note 2 5 2 17 2 3" xfId="28167"/>
    <cellStyle name="Note 2 5 2 17 3" xfId="15427"/>
    <cellStyle name="Note 2 5 2 17 3 2" xfId="35495"/>
    <cellStyle name="Note 2 5 2 17 4" xfId="28166"/>
    <cellStyle name="Note 2 5 2 18" xfId="7976"/>
    <cellStyle name="Note 2 5 2 18 2" xfId="7977"/>
    <cellStyle name="Note 2 5 2 18 2 2" xfId="21003"/>
    <cellStyle name="Note 2 5 2 18 2 2 2" xfId="41071"/>
    <cellStyle name="Note 2 5 2 18 2 3" xfId="28169"/>
    <cellStyle name="Note 2 5 2 18 3" xfId="15528"/>
    <cellStyle name="Note 2 5 2 18 3 2" xfId="35596"/>
    <cellStyle name="Note 2 5 2 18 4" xfId="28168"/>
    <cellStyle name="Note 2 5 2 19" xfId="7978"/>
    <cellStyle name="Note 2 5 2 19 2" xfId="7979"/>
    <cellStyle name="Note 2 5 2 19 2 2" xfId="21004"/>
    <cellStyle name="Note 2 5 2 19 2 2 2" xfId="41072"/>
    <cellStyle name="Note 2 5 2 19 2 3" xfId="28171"/>
    <cellStyle name="Note 2 5 2 19 3" xfId="15825"/>
    <cellStyle name="Note 2 5 2 19 3 2" xfId="35893"/>
    <cellStyle name="Note 2 5 2 19 4" xfId="28170"/>
    <cellStyle name="Note 2 5 2 2" xfId="7980"/>
    <cellStyle name="Note 2 5 2 2 10" xfId="7981"/>
    <cellStyle name="Note 2 5 2 2 10 2" xfId="7982"/>
    <cellStyle name="Note 2 5 2 2 10 2 2" xfId="21006"/>
    <cellStyle name="Note 2 5 2 2 10 2 2 2" xfId="41074"/>
    <cellStyle name="Note 2 5 2 2 10 2 3" xfId="28174"/>
    <cellStyle name="Note 2 5 2 2 10 3" xfId="16948"/>
    <cellStyle name="Note 2 5 2 2 10 3 2" xfId="37016"/>
    <cellStyle name="Note 2 5 2 2 10 4" xfId="28173"/>
    <cellStyle name="Note 2 5 2 2 11" xfId="7983"/>
    <cellStyle name="Note 2 5 2 2 11 2" xfId="7984"/>
    <cellStyle name="Note 2 5 2 2 11 2 2" xfId="21007"/>
    <cellStyle name="Note 2 5 2 2 11 2 2 2" xfId="41075"/>
    <cellStyle name="Note 2 5 2 2 11 2 3" xfId="28176"/>
    <cellStyle name="Note 2 5 2 2 11 3" xfId="17093"/>
    <cellStyle name="Note 2 5 2 2 11 3 2" xfId="37161"/>
    <cellStyle name="Note 2 5 2 2 11 4" xfId="28175"/>
    <cellStyle name="Note 2 5 2 2 12" xfId="7985"/>
    <cellStyle name="Note 2 5 2 2 12 2" xfId="7986"/>
    <cellStyle name="Note 2 5 2 2 12 2 2" xfId="21008"/>
    <cellStyle name="Note 2 5 2 2 12 2 2 2" xfId="41076"/>
    <cellStyle name="Note 2 5 2 2 12 2 3" xfId="28178"/>
    <cellStyle name="Note 2 5 2 2 12 3" xfId="17265"/>
    <cellStyle name="Note 2 5 2 2 12 3 2" xfId="37333"/>
    <cellStyle name="Note 2 5 2 2 12 4" xfId="28177"/>
    <cellStyle name="Note 2 5 2 2 13" xfId="7987"/>
    <cellStyle name="Note 2 5 2 2 13 2" xfId="7988"/>
    <cellStyle name="Note 2 5 2 2 13 2 2" xfId="21009"/>
    <cellStyle name="Note 2 5 2 2 13 2 2 2" xfId="41077"/>
    <cellStyle name="Note 2 5 2 2 13 2 3" xfId="28180"/>
    <cellStyle name="Note 2 5 2 2 13 3" xfId="17429"/>
    <cellStyle name="Note 2 5 2 2 13 3 2" xfId="37497"/>
    <cellStyle name="Note 2 5 2 2 13 4" xfId="28179"/>
    <cellStyle name="Note 2 5 2 2 14" xfId="7989"/>
    <cellStyle name="Note 2 5 2 2 14 2" xfId="7990"/>
    <cellStyle name="Note 2 5 2 2 14 2 2" xfId="21010"/>
    <cellStyle name="Note 2 5 2 2 14 2 2 2" xfId="41078"/>
    <cellStyle name="Note 2 5 2 2 14 2 3" xfId="28182"/>
    <cellStyle name="Note 2 5 2 2 14 3" xfId="17555"/>
    <cellStyle name="Note 2 5 2 2 14 3 2" xfId="37623"/>
    <cellStyle name="Note 2 5 2 2 14 4" xfId="28181"/>
    <cellStyle name="Note 2 5 2 2 15" xfId="7991"/>
    <cellStyle name="Note 2 5 2 2 15 2" xfId="7992"/>
    <cellStyle name="Note 2 5 2 2 15 2 2" xfId="21011"/>
    <cellStyle name="Note 2 5 2 2 15 2 2 2" xfId="41079"/>
    <cellStyle name="Note 2 5 2 2 15 2 3" xfId="28184"/>
    <cellStyle name="Note 2 5 2 2 15 3" xfId="17685"/>
    <cellStyle name="Note 2 5 2 2 15 3 2" xfId="37753"/>
    <cellStyle name="Note 2 5 2 2 15 4" xfId="28183"/>
    <cellStyle name="Note 2 5 2 2 16" xfId="7993"/>
    <cellStyle name="Note 2 5 2 2 16 2" xfId="7994"/>
    <cellStyle name="Note 2 5 2 2 16 2 2" xfId="21012"/>
    <cellStyle name="Note 2 5 2 2 16 2 2 2" xfId="41080"/>
    <cellStyle name="Note 2 5 2 2 16 2 3" xfId="28186"/>
    <cellStyle name="Note 2 5 2 2 16 3" xfId="17805"/>
    <cellStyle name="Note 2 5 2 2 16 3 2" xfId="37873"/>
    <cellStyle name="Note 2 5 2 2 16 4" xfId="28185"/>
    <cellStyle name="Note 2 5 2 2 17" xfId="7995"/>
    <cellStyle name="Note 2 5 2 2 17 2" xfId="7996"/>
    <cellStyle name="Note 2 5 2 2 17 2 2" xfId="21013"/>
    <cellStyle name="Note 2 5 2 2 17 2 2 2" xfId="41081"/>
    <cellStyle name="Note 2 5 2 2 17 2 3" xfId="28188"/>
    <cellStyle name="Note 2 5 2 2 17 3" xfId="17943"/>
    <cellStyle name="Note 2 5 2 2 17 3 2" xfId="38011"/>
    <cellStyle name="Note 2 5 2 2 17 4" xfId="28187"/>
    <cellStyle name="Note 2 5 2 2 18" xfId="7997"/>
    <cellStyle name="Note 2 5 2 2 18 2" xfId="7998"/>
    <cellStyle name="Note 2 5 2 2 18 2 2" xfId="21014"/>
    <cellStyle name="Note 2 5 2 2 18 2 2 2" xfId="41082"/>
    <cellStyle name="Note 2 5 2 2 18 2 3" xfId="28190"/>
    <cellStyle name="Note 2 5 2 2 18 3" xfId="18082"/>
    <cellStyle name="Note 2 5 2 2 18 3 2" xfId="38150"/>
    <cellStyle name="Note 2 5 2 2 18 4" xfId="28189"/>
    <cellStyle name="Note 2 5 2 2 19" xfId="7999"/>
    <cellStyle name="Note 2 5 2 2 19 2" xfId="8000"/>
    <cellStyle name="Note 2 5 2 2 19 2 2" xfId="21015"/>
    <cellStyle name="Note 2 5 2 2 19 2 2 2" xfId="41083"/>
    <cellStyle name="Note 2 5 2 2 19 2 3" xfId="28192"/>
    <cellStyle name="Note 2 5 2 2 19 3" xfId="18200"/>
    <cellStyle name="Note 2 5 2 2 19 3 2" xfId="38268"/>
    <cellStyle name="Note 2 5 2 2 19 4" xfId="28191"/>
    <cellStyle name="Note 2 5 2 2 2" xfId="8001"/>
    <cellStyle name="Note 2 5 2 2 2 2" xfId="8002"/>
    <cellStyle name="Note 2 5 2 2 2 2 2" xfId="21016"/>
    <cellStyle name="Note 2 5 2 2 2 2 2 2" xfId="41084"/>
    <cellStyle name="Note 2 5 2 2 2 2 3" xfId="28194"/>
    <cellStyle name="Note 2 5 2 2 2 3" xfId="14668"/>
    <cellStyle name="Note 2 5 2 2 2 3 2" xfId="34736"/>
    <cellStyle name="Note 2 5 2 2 2 4" xfId="28193"/>
    <cellStyle name="Note 2 5 2 2 20" xfId="8003"/>
    <cellStyle name="Note 2 5 2 2 20 2" xfId="8004"/>
    <cellStyle name="Note 2 5 2 2 20 2 2" xfId="21017"/>
    <cellStyle name="Note 2 5 2 2 20 2 2 2" xfId="41085"/>
    <cellStyle name="Note 2 5 2 2 20 2 3" xfId="28196"/>
    <cellStyle name="Note 2 5 2 2 20 3" xfId="18040"/>
    <cellStyle name="Note 2 5 2 2 20 3 2" xfId="38108"/>
    <cellStyle name="Note 2 5 2 2 20 4" xfId="28195"/>
    <cellStyle name="Note 2 5 2 2 21" xfId="8005"/>
    <cellStyle name="Note 2 5 2 2 21 2" xfId="8006"/>
    <cellStyle name="Note 2 5 2 2 21 2 2" xfId="21018"/>
    <cellStyle name="Note 2 5 2 2 21 2 2 2" xfId="41086"/>
    <cellStyle name="Note 2 5 2 2 21 2 3" xfId="28198"/>
    <cellStyle name="Note 2 5 2 2 21 3" xfId="18405"/>
    <cellStyle name="Note 2 5 2 2 21 3 2" xfId="38473"/>
    <cellStyle name="Note 2 5 2 2 21 4" xfId="28197"/>
    <cellStyle name="Note 2 5 2 2 22" xfId="8007"/>
    <cellStyle name="Note 2 5 2 2 22 2" xfId="8008"/>
    <cellStyle name="Note 2 5 2 2 22 2 2" xfId="21019"/>
    <cellStyle name="Note 2 5 2 2 22 2 2 2" xfId="41087"/>
    <cellStyle name="Note 2 5 2 2 22 2 3" xfId="28200"/>
    <cellStyle name="Note 2 5 2 2 22 3" xfId="18538"/>
    <cellStyle name="Note 2 5 2 2 22 3 2" xfId="38606"/>
    <cellStyle name="Note 2 5 2 2 22 4" xfId="28199"/>
    <cellStyle name="Note 2 5 2 2 23" xfId="8009"/>
    <cellStyle name="Note 2 5 2 2 23 2" xfId="8010"/>
    <cellStyle name="Note 2 5 2 2 23 2 2" xfId="21020"/>
    <cellStyle name="Note 2 5 2 2 23 2 2 2" xfId="41088"/>
    <cellStyle name="Note 2 5 2 2 23 2 3" xfId="28202"/>
    <cellStyle name="Note 2 5 2 2 23 3" xfId="18649"/>
    <cellStyle name="Note 2 5 2 2 23 3 2" xfId="38717"/>
    <cellStyle name="Note 2 5 2 2 23 4" xfId="28201"/>
    <cellStyle name="Note 2 5 2 2 24" xfId="8011"/>
    <cellStyle name="Note 2 5 2 2 24 2" xfId="8012"/>
    <cellStyle name="Note 2 5 2 2 24 2 2" xfId="21021"/>
    <cellStyle name="Note 2 5 2 2 24 2 2 2" xfId="41089"/>
    <cellStyle name="Note 2 5 2 2 24 2 3" xfId="28204"/>
    <cellStyle name="Note 2 5 2 2 24 3" xfId="18749"/>
    <cellStyle name="Note 2 5 2 2 24 3 2" xfId="38817"/>
    <cellStyle name="Note 2 5 2 2 24 4" xfId="28203"/>
    <cellStyle name="Note 2 5 2 2 25" xfId="8013"/>
    <cellStyle name="Note 2 5 2 2 25 2" xfId="8014"/>
    <cellStyle name="Note 2 5 2 2 25 2 2" xfId="21022"/>
    <cellStyle name="Note 2 5 2 2 25 2 2 2" xfId="41090"/>
    <cellStyle name="Note 2 5 2 2 25 2 3" xfId="28206"/>
    <cellStyle name="Note 2 5 2 2 25 3" xfId="18849"/>
    <cellStyle name="Note 2 5 2 2 25 3 2" xfId="38917"/>
    <cellStyle name="Note 2 5 2 2 25 4" xfId="28205"/>
    <cellStyle name="Note 2 5 2 2 26" xfId="8015"/>
    <cellStyle name="Note 2 5 2 2 26 2" xfId="21005"/>
    <cellStyle name="Note 2 5 2 2 26 2 2" xfId="41073"/>
    <cellStyle name="Note 2 5 2 2 26 3" xfId="28207"/>
    <cellStyle name="Note 2 5 2 2 27" xfId="14449"/>
    <cellStyle name="Note 2 5 2 2 27 2" xfId="34517"/>
    <cellStyle name="Note 2 5 2 2 28" xfId="28172"/>
    <cellStyle name="Note 2 5 2 2 3" xfId="8016"/>
    <cellStyle name="Note 2 5 2 2 3 2" xfId="8017"/>
    <cellStyle name="Note 2 5 2 2 3 2 2" xfId="21023"/>
    <cellStyle name="Note 2 5 2 2 3 2 2 2" xfId="41091"/>
    <cellStyle name="Note 2 5 2 2 3 2 3" xfId="28209"/>
    <cellStyle name="Note 2 5 2 2 3 3" xfId="14792"/>
    <cellStyle name="Note 2 5 2 2 3 3 2" xfId="34860"/>
    <cellStyle name="Note 2 5 2 2 3 4" xfId="28208"/>
    <cellStyle name="Note 2 5 2 2 4" xfId="8018"/>
    <cellStyle name="Note 2 5 2 2 4 2" xfId="8019"/>
    <cellStyle name="Note 2 5 2 2 4 2 2" xfId="21024"/>
    <cellStyle name="Note 2 5 2 2 4 2 2 2" xfId="41092"/>
    <cellStyle name="Note 2 5 2 2 4 2 3" xfId="28211"/>
    <cellStyle name="Note 2 5 2 2 4 3" xfId="14917"/>
    <cellStyle name="Note 2 5 2 2 4 3 2" xfId="34985"/>
    <cellStyle name="Note 2 5 2 2 4 4" xfId="28210"/>
    <cellStyle name="Note 2 5 2 2 5" xfId="8020"/>
    <cellStyle name="Note 2 5 2 2 5 2" xfId="8021"/>
    <cellStyle name="Note 2 5 2 2 5 2 2" xfId="21025"/>
    <cellStyle name="Note 2 5 2 2 5 2 2 2" xfId="41093"/>
    <cellStyle name="Note 2 5 2 2 5 2 3" xfId="28213"/>
    <cellStyle name="Note 2 5 2 2 5 3" xfId="15086"/>
    <cellStyle name="Note 2 5 2 2 5 3 2" xfId="35154"/>
    <cellStyle name="Note 2 5 2 2 5 4" xfId="28212"/>
    <cellStyle name="Note 2 5 2 2 6" xfId="8022"/>
    <cellStyle name="Note 2 5 2 2 6 2" xfId="8023"/>
    <cellStyle name="Note 2 5 2 2 6 2 2" xfId="21026"/>
    <cellStyle name="Note 2 5 2 2 6 2 2 2" xfId="41094"/>
    <cellStyle name="Note 2 5 2 2 6 2 3" xfId="28215"/>
    <cellStyle name="Note 2 5 2 2 6 3" xfId="14546"/>
    <cellStyle name="Note 2 5 2 2 6 3 2" xfId="34614"/>
    <cellStyle name="Note 2 5 2 2 6 4" xfId="28214"/>
    <cellStyle name="Note 2 5 2 2 7" xfId="8024"/>
    <cellStyle name="Note 2 5 2 2 7 2" xfId="8025"/>
    <cellStyle name="Note 2 5 2 2 7 2 2" xfId="21027"/>
    <cellStyle name="Note 2 5 2 2 7 2 2 2" xfId="41095"/>
    <cellStyle name="Note 2 5 2 2 7 2 3" xfId="28217"/>
    <cellStyle name="Note 2 5 2 2 7 3" xfId="15218"/>
    <cellStyle name="Note 2 5 2 2 7 3 2" xfId="35286"/>
    <cellStyle name="Note 2 5 2 2 7 4" xfId="28216"/>
    <cellStyle name="Note 2 5 2 2 8" xfId="8026"/>
    <cellStyle name="Note 2 5 2 2 8 2" xfId="8027"/>
    <cellStyle name="Note 2 5 2 2 8 2 2" xfId="21028"/>
    <cellStyle name="Note 2 5 2 2 8 2 2 2" xfId="41096"/>
    <cellStyle name="Note 2 5 2 2 8 2 3" xfId="28219"/>
    <cellStyle name="Note 2 5 2 2 8 3" xfId="16583"/>
    <cellStyle name="Note 2 5 2 2 8 3 2" xfId="36651"/>
    <cellStyle name="Note 2 5 2 2 8 4" xfId="28218"/>
    <cellStyle name="Note 2 5 2 2 9" xfId="8028"/>
    <cellStyle name="Note 2 5 2 2 9 2" xfId="8029"/>
    <cellStyle name="Note 2 5 2 2 9 2 2" xfId="21029"/>
    <cellStyle name="Note 2 5 2 2 9 2 2 2" xfId="41097"/>
    <cellStyle name="Note 2 5 2 2 9 2 3" xfId="28221"/>
    <cellStyle name="Note 2 5 2 2 9 3" xfId="16787"/>
    <cellStyle name="Note 2 5 2 2 9 3 2" xfId="36855"/>
    <cellStyle name="Note 2 5 2 2 9 4" xfId="28220"/>
    <cellStyle name="Note 2 5 2 20" xfId="8030"/>
    <cellStyle name="Note 2 5 2 20 2" xfId="8031"/>
    <cellStyle name="Note 2 5 2 20 2 2" xfId="21030"/>
    <cellStyle name="Note 2 5 2 20 2 2 2" xfId="41098"/>
    <cellStyle name="Note 2 5 2 20 2 3" xfId="28223"/>
    <cellStyle name="Note 2 5 2 20 3" xfId="17739"/>
    <cellStyle name="Note 2 5 2 20 3 2" xfId="37807"/>
    <cellStyle name="Note 2 5 2 20 4" xfId="28222"/>
    <cellStyle name="Note 2 5 2 21" xfId="8032"/>
    <cellStyle name="Note 2 5 2 21 2" xfId="8033"/>
    <cellStyle name="Note 2 5 2 21 2 2" xfId="21031"/>
    <cellStyle name="Note 2 5 2 21 2 2 2" xfId="41099"/>
    <cellStyle name="Note 2 5 2 21 2 3" xfId="28225"/>
    <cellStyle name="Note 2 5 2 21 3" xfId="17867"/>
    <cellStyle name="Note 2 5 2 21 3 2" xfId="37935"/>
    <cellStyle name="Note 2 5 2 21 4" xfId="28224"/>
    <cellStyle name="Note 2 5 2 22" xfId="8034"/>
    <cellStyle name="Note 2 5 2 22 2" xfId="8035"/>
    <cellStyle name="Note 2 5 2 22 2 2" xfId="21032"/>
    <cellStyle name="Note 2 5 2 22 2 2 2" xfId="41100"/>
    <cellStyle name="Note 2 5 2 22 2 3" xfId="28227"/>
    <cellStyle name="Note 2 5 2 22 3" xfId="15643"/>
    <cellStyle name="Note 2 5 2 22 3 2" xfId="35711"/>
    <cellStyle name="Note 2 5 2 22 4" xfId="28226"/>
    <cellStyle name="Note 2 5 2 23" xfId="8036"/>
    <cellStyle name="Note 2 5 2 23 2" xfId="8037"/>
    <cellStyle name="Note 2 5 2 23 2 2" xfId="21033"/>
    <cellStyle name="Note 2 5 2 23 2 2 2" xfId="41101"/>
    <cellStyle name="Note 2 5 2 23 2 3" xfId="28229"/>
    <cellStyle name="Note 2 5 2 23 3" xfId="18278"/>
    <cellStyle name="Note 2 5 2 23 3 2" xfId="38346"/>
    <cellStyle name="Note 2 5 2 23 4" xfId="28228"/>
    <cellStyle name="Note 2 5 2 24" xfId="8038"/>
    <cellStyle name="Note 2 5 2 24 2" xfId="8039"/>
    <cellStyle name="Note 2 5 2 24 2 2" xfId="21034"/>
    <cellStyle name="Note 2 5 2 24 2 2 2" xfId="41102"/>
    <cellStyle name="Note 2 5 2 24 2 3" xfId="28231"/>
    <cellStyle name="Note 2 5 2 24 3" xfId="15960"/>
    <cellStyle name="Note 2 5 2 24 3 2" xfId="36028"/>
    <cellStyle name="Note 2 5 2 24 4" xfId="28230"/>
    <cellStyle name="Note 2 5 2 25" xfId="8040"/>
    <cellStyle name="Note 2 5 2 25 2" xfId="8041"/>
    <cellStyle name="Note 2 5 2 25 2 2" xfId="21035"/>
    <cellStyle name="Note 2 5 2 25 2 2 2" xfId="41103"/>
    <cellStyle name="Note 2 5 2 25 2 3" xfId="28233"/>
    <cellStyle name="Note 2 5 2 25 3" xfId="16147"/>
    <cellStyle name="Note 2 5 2 25 3 2" xfId="36215"/>
    <cellStyle name="Note 2 5 2 25 4" xfId="28232"/>
    <cellStyle name="Note 2 5 2 26" xfId="8042"/>
    <cellStyle name="Note 2 5 2 26 2" xfId="8043"/>
    <cellStyle name="Note 2 5 2 26 2 2" xfId="21036"/>
    <cellStyle name="Note 2 5 2 26 2 2 2" xfId="41104"/>
    <cellStyle name="Note 2 5 2 26 2 3" xfId="28235"/>
    <cellStyle name="Note 2 5 2 26 3" xfId="18477"/>
    <cellStyle name="Note 2 5 2 26 3 2" xfId="38545"/>
    <cellStyle name="Note 2 5 2 26 4" xfId="28234"/>
    <cellStyle name="Note 2 5 2 27" xfId="8044"/>
    <cellStyle name="Note 2 5 2 27 2" xfId="8045"/>
    <cellStyle name="Note 2 5 2 27 2 2" xfId="21037"/>
    <cellStyle name="Note 2 5 2 27 2 2 2" xfId="41105"/>
    <cellStyle name="Note 2 5 2 27 2 3" xfId="28237"/>
    <cellStyle name="Note 2 5 2 27 3" xfId="18590"/>
    <cellStyle name="Note 2 5 2 27 3 2" xfId="38658"/>
    <cellStyle name="Note 2 5 2 27 4" xfId="28236"/>
    <cellStyle name="Note 2 5 2 28" xfId="8046"/>
    <cellStyle name="Note 2 5 2 28 2" xfId="20994"/>
    <cellStyle name="Note 2 5 2 28 2 2" xfId="41062"/>
    <cellStyle name="Note 2 5 2 28 3" xfId="28238"/>
    <cellStyle name="Note 2 5 2 29" xfId="13899"/>
    <cellStyle name="Note 2 5 2 29 2" xfId="33967"/>
    <cellStyle name="Note 2 5 2 3" xfId="8047"/>
    <cellStyle name="Note 2 5 2 3 2" xfId="8048"/>
    <cellStyle name="Note 2 5 2 3 2 2" xfId="21038"/>
    <cellStyle name="Note 2 5 2 3 2 2 2" xfId="41106"/>
    <cellStyle name="Note 2 5 2 3 2 3" xfId="28240"/>
    <cellStyle name="Note 2 5 2 3 3" xfId="14527"/>
    <cellStyle name="Note 2 5 2 3 3 2" xfId="34595"/>
    <cellStyle name="Note 2 5 2 3 4" xfId="28239"/>
    <cellStyle name="Note 2 5 2 30" xfId="28151"/>
    <cellStyle name="Note 2 5 2 4" xfId="8049"/>
    <cellStyle name="Note 2 5 2 4 2" xfId="8050"/>
    <cellStyle name="Note 2 5 2 4 2 2" xfId="21039"/>
    <cellStyle name="Note 2 5 2 4 2 2 2" xfId="41107"/>
    <cellStyle name="Note 2 5 2 4 2 3" xfId="28242"/>
    <cellStyle name="Note 2 5 2 4 3" xfId="14393"/>
    <cellStyle name="Note 2 5 2 4 3 2" xfId="34461"/>
    <cellStyle name="Note 2 5 2 4 4" xfId="28241"/>
    <cellStyle name="Note 2 5 2 5" xfId="8051"/>
    <cellStyle name="Note 2 5 2 5 2" xfId="8052"/>
    <cellStyle name="Note 2 5 2 5 2 2" xfId="21040"/>
    <cellStyle name="Note 2 5 2 5 2 2 2" xfId="41108"/>
    <cellStyle name="Note 2 5 2 5 2 3" xfId="28244"/>
    <cellStyle name="Note 2 5 2 5 3" xfId="14394"/>
    <cellStyle name="Note 2 5 2 5 3 2" xfId="34462"/>
    <cellStyle name="Note 2 5 2 5 4" xfId="28243"/>
    <cellStyle name="Note 2 5 2 6" xfId="8053"/>
    <cellStyle name="Note 2 5 2 6 2" xfId="8054"/>
    <cellStyle name="Note 2 5 2 6 2 2" xfId="21041"/>
    <cellStyle name="Note 2 5 2 6 2 2 2" xfId="41109"/>
    <cellStyle name="Note 2 5 2 6 2 3" xfId="28246"/>
    <cellStyle name="Note 2 5 2 6 3" xfId="14437"/>
    <cellStyle name="Note 2 5 2 6 3 2" xfId="34505"/>
    <cellStyle name="Note 2 5 2 6 4" xfId="28245"/>
    <cellStyle name="Note 2 5 2 7" xfId="8055"/>
    <cellStyle name="Note 2 5 2 7 2" xfId="8056"/>
    <cellStyle name="Note 2 5 2 7 2 2" xfId="21042"/>
    <cellStyle name="Note 2 5 2 7 2 2 2" xfId="41110"/>
    <cellStyle name="Note 2 5 2 7 2 3" xfId="28248"/>
    <cellStyle name="Note 2 5 2 7 3" xfId="14273"/>
    <cellStyle name="Note 2 5 2 7 3 2" xfId="34341"/>
    <cellStyle name="Note 2 5 2 7 4" xfId="28247"/>
    <cellStyle name="Note 2 5 2 8" xfId="8057"/>
    <cellStyle name="Note 2 5 2 8 2" xfId="8058"/>
    <cellStyle name="Note 2 5 2 8 2 2" xfId="21043"/>
    <cellStyle name="Note 2 5 2 8 2 2 2" xfId="41111"/>
    <cellStyle name="Note 2 5 2 8 2 3" xfId="28250"/>
    <cellStyle name="Note 2 5 2 8 3" xfId="15140"/>
    <cellStyle name="Note 2 5 2 8 3 2" xfId="35208"/>
    <cellStyle name="Note 2 5 2 8 4" xfId="28249"/>
    <cellStyle name="Note 2 5 2 9" xfId="8059"/>
    <cellStyle name="Note 2 5 2 9 2" xfId="8060"/>
    <cellStyle name="Note 2 5 2 9 2 2" xfId="21044"/>
    <cellStyle name="Note 2 5 2 9 2 2 2" xfId="41112"/>
    <cellStyle name="Note 2 5 2 9 2 3" xfId="28252"/>
    <cellStyle name="Note 2 5 2 9 3" xfId="15305"/>
    <cellStyle name="Note 2 5 2 9 3 2" xfId="35373"/>
    <cellStyle name="Note 2 5 2 9 4" xfId="28251"/>
    <cellStyle name="Note 2 5 20" xfId="8061"/>
    <cellStyle name="Note 2 5 20 2" xfId="8062"/>
    <cellStyle name="Note 2 5 20 2 2" xfId="21045"/>
    <cellStyle name="Note 2 5 20 2 2 2" xfId="41113"/>
    <cellStyle name="Note 2 5 20 2 3" xfId="28254"/>
    <cellStyle name="Note 2 5 20 3" xfId="17208"/>
    <cellStyle name="Note 2 5 20 3 2" xfId="37276"/>
    <cellStyle name="Note 2 5 20 4" xfId="28253"/>
    <cellStyle name="Note 2 5 21" xfId="8063"/>
    <cellStyle name="Note 2 5 21 2" xfId="8064"/>
    <cellStyle name="Note 2 5 21 2 2" xfId="21046"/>
    <cellStyle name="Note 2 5 21 2 2 2" xfId="41114"/>
    <cellStyle name="Note 2 5 21 2 3" xfId="28256"/>
    <cellStyle name="Note 2 5 21 3" xfId="16693"/>
    <cellStyle name="Note 2 5 21 3 2" xfId="36761"/>
    <cellStyle name="Note 2 5 21 4" xfId="28255"/>
    <cellStyle name="Note 2 5 22" xfId="8065"/>
    <cellStyle name="Note 2 5 22 2" xfId="8066"/>
    <cellStyle name="Note 2 5 22 2 2" xfId="21047"/>
    <cellStyle name="Note 2 5 22 2 2 2" xfId="41115"/>
    <cellStyle name="Note 2 5 22 2 3" xfId="28258"/>
    <cellStyle name="Note 2 5 22 3" xfId="16060"/>
    <cellStyle name="Note 2 5 22 3 2" xfId="36128"/>
    <cellStyle name="Note 2 5 22 4" xfId="28257"/>
    <cellStyle name="Note 2 5 23" xfId="8067"/>
    <cellStyle name="Note 2 5 23 2" xfId="8068"/>
    <cellStyle name="Note 2 5 23 2 2" xfId="21048"/>
    <cellStyle name="Note 2 5 23 2 2 2" xfId="41116"/>
    <cellStyle name="Note 2 5 23 2 3" xfId="28260"/>
    <cellStyle name="Note 2 5 23 3" xfId="17357"/>
    <cellStyle name="Note 2 5 23 3 2" xfId="37425"/>
    <cellStyle name="Note 2 5 23 4" xfId="28259"/>
    <cellStyle name="Note 2 5 24" xfId="8069"/>
    <cellStyle name="Note 2 5 24 2" xfId="8070"/>
    <cellStyle name="Note 2 5 24 2 2" xfId="21049"/>
    <cellStyle name="Note 2 5 24 2 2 2" xfId="41117"/>
    <cellStyle name="Note 2 5 24 2 3" xfId="28262"/>
    <cellStyle name="Note 2 5 24 3" xfId="16284"/>
    <cellStyle name="Note 2 5 24 3 2" xfId="36352"/>
    <cellStyle name="Note 2 5 24 4" xfId="28261"/>
    <cellStyle name="Note 2 5 25" xfId="8071"/>
    <cellStyle name="Note 2 5 25 2" xfId="8072"/>
    <cellStyle name="Note 2 5 25 2 2" xfId="21050"/>
    <cellStyle name="Note 2 5 25 2 2 2" xfId="41118"/>
    <cellStyle name="Note 2 5 25 2 3" xfId="28264"/>
    <cellStyle name="Note 2 5 25 3" xfId="15858"/>
    <cellStyle name="Note 2 5 25 3 2" xfId="35926"/>
    <cellStyle name="Note 2 5 25 4" xfId="28263"/>
    <cellStyle name="Note 2 5 26" xfId="8073"/>
    <cellStyle name="Note 2 5 26 2" xfId="8074"/>
    <cellStyle name="Note 2 5 26 2 2" xfId="21051"/>
    <cellStyle name="Note 2 5 26 2 2 2" xfId="41119"/>
    <cellStyle name="Note 2 5 26 2 3" xfId="28266"/>
    <cellStyle name="Note 2 5 26 3" xfId="16636"/>
    <cellStyle name="Note 2 5 26 3 2" xfId="36704"/>
    <cellStyle name="Note 2 5 26 4" xfId="28265"/>
    <cellStyle name="Note 2 5 27" xfId="8075"/>
    <cellStyle name="Note 2 5 27 2" xfId="8076"/>
    <cellStyle name="Note 2 5 27 2 2" xfId="21052"/>
    <cellStyle name="Note 2 5 27 2 2 2" xfId="41120"/>
    <cellStyle name="Note 2 5 27 2 3" xfId="28268"/>
    <cellStyle name="Note 2 5 27 3" xfId="15439"/>
    <cellStyle name="Note 2 5 27 3 2" xfId="35507"/>
    <cellStyle name="Note 2 5 27 4" xfId="28267"/>
    <cellStyle name="Note 2 5 28" xfId="8077"/>
    <cellStyle name="Note 2 5 28 2" xfId="8078"/>
    <cellStyle name="Note 2 5 28 2 2" xfId="21053"/>
    <cellStyle name="Note 2 5 28 2 2 2" xfId="41121"/>
    <cellStyle name="Note 2 5 28 2 3" xfId="28270"/>
    <cellStyle name="Note 2 5 28 3" xfId="16867"/>
    <cellStyle name="Note 2 5 28 3 2" xfId="36935"/>
    <cellStyle name="Note 2 5 28 4" xfId="28269"/>
    <cellStyle name="Note 2 5 29" xfId="8079"/>
    <cellStyle name="Note 2 5 29 2" xfId="8080"/>
    <cellStyle name="Note 2 5 29 2 2" xfId="21054"/>
    <cellStyle name="Note 2 5 29 2 2 2" xfId="41122"/>
    <cellStyle name="Note 2 5 29 2 3" xfId="28272"/>
    <cellStyle name="Note 2 5 29 3" xfId="16062"/>
    <cellStyle name="Note 2 5 29 3 2" xfId="36130"/>
    <cellStyle name="Note 2 5 29 4" xfId="28271"/>
    <cellStyle name="Note 2 5 3" xfId="8081"/>
    <cellStyle name="Note 2 5 3 10" xfId="8082"/>
    <cellStyle name="Note 2 5 3 10 2" xfId="8083"/>
    <cellStyle name="Note 2 5 3 10 2 2" xfId="21056"/>
    <cellStyle name="Note 2 5 3 10 2 2 2" xfId="41124"/>
    <cellStyle name="Note 2 5 3 10 2 3" xfId="28275"/>
    <cellStyle name="Note 2 5 3 10 3" xfId="16449"/>
    <cellStyle name="Note 2 5 3 10 3 2" xfId="36517"/>
    <cellStyle name="Note 2 5 3 10 4" xfId="28274"/>
    <cellStyle name="Note 2 5 3 11" xfId="8084"/>
    <cellStyle name="Note 2 5 3 11 2" xfId="8085"/>
    <cellStyle name="Note 2 5 3 11 2 2" xfId="21057"/>
    <cellStyle name="Note 2 5 3 11 2 2 2" xfId="41125"/>
    <cellStyle name="Note 2 5 3 11 2 3" xfId="28277"/>
    <cellStyle name="Note 2 5 3 11 3" xfId="16642"/>
    <cellStyle name="Note 2 5 3 11 3 2" xfId="36710"/>
    <cellStyle name="Note 2 5 3 11 4" xfId="28276"/>
    <cellStyle name="Note 2 5 3 12" xfId="8086"/>
    <cellStyle name="Note 2 5 3 12 2" xfId="8087"/>
    <cellStyle name="Note 2 5 3 12 2 2" xfId="21058"/>
    <cellStyle name="Note 2 5 3 12 2 2 2" xfId="41126"/>
    <cellStyle name="Note 2 5 3 12 2 3" xfId="28279"/>
    <cellStyle name="Note 2 5 3 12 3" xfId="16006"/>
    <cellStyle name="Note 2 5 3 12 3 2" xfId="36074"/>
    <cellStyle name="Note 2 5 3 12 4" xfId="28278"/>
    <cellStyle name="Note 2 5 3 13" xfId="8088"/>
    <cellStyle name="Note 2 5 3 13 2" xfId="8089"/>
    <cellStyle name="Note 2 5 3 13 2 2" xfId="21059"/>
    <cellStyle name="Note 2 5 3 13 2 2 2" xfId="41127"/>
    <cellStyle name="Note 2 5 3 13 2 3" xfId="28281"/>
    <cellStyle name="Note 2 5 3 13 3" xfId="15711"/>
    <cellStyle name="Note 2 5 3 13 3 2" xfId="35779"/>
    <cellStyle name="Note 2 5 3 13 4" xfId="28280"/>
    <cellStyle name="Note 2 5 3 14" xfId="8090"/>
    <cellStyle name="Note 2 5 3 14 2" xfId="8091"/>
    <cellStyle name="Note 2 5 3 14 2 2" xfId="21060"/>
    <cellStyle name="Note 2 5 3 14 2 2 2" xfId="41128"/>
    <cellStyle name="Note 2 5 3 14 2 3" xfId="28283"/>
    <cellStyle name="Note 2 5 3 14 3" xfId="16380"/>
    <cellStyle name="Note 2 5 3 14 3 2" xfId="36448"/>
    <cellStyle name="Note 2 5 3 14 4" xfId="28282"/>
    <cellStyle name="Note 2 5 3 15" xfId="8092"/>
    <cellStyle name="Note 2 5 3 15 2" xfId="8093"/>
    <cellStyle name="Note 2 5 3 15 2 2" xfId="21061"/>
    <cellStyle name="Note 2 5 3 15 2 2 2" xfId="41129"/>
    <cellStyle name="Note 2 5 3 15 2 3" xfId="28285"/>
    <cellStyle name="Note 2 5 3 15 3" xfId="15573"/>
    <cellStyle name="Note 2 5 3 15 3 2" xfId="35641"/>
    <cellStyle name="Note 2 5 3 15 4" xfId="28284"/>
    <cellStyle name="Note 2 5 3 16" xfId="8094"/>
    <cellStyle name="Note 2 5 3 16 2" xfId="8095"/>
    <cellStyle name="Note 2 5 3 16 2 2" xfId="21062"/>
    <cellStyle name="Note 2 5 3 16 2 2 2" xfId="41130"/>
    <cellStyle name="Note 2 5 3 16 2 3" xfId="28287"/>
    <cellStyle name="Note 2 5 3 16 3" xfId="15417"/>
    <cellStyle name="Note 2 5 3 16 3 2" xfId="35485"/>
    <cellStyle name="Note 2 5 3 16 4" xfId="28286"/>
    <cellStyle name="Note 2 5 3 17" xfId="8096"/>
    <cellStyle name="Note 2 5 3 17 2" xfId="8097"/>
    <cellStyle name="Note 2 5 3 17 2 2" xfId="21063"/>
    <cellStyle name="Note 2 5 3 17 2 2 2" xfId="41131"/>
    <cellStyle name="Note 2 5 3 17 2 3" xfId="28289"/>
    <cellStyle name="Note 2 5 3 17 3" xfId="15473"/>
    <cellStyle name="Note 2 5 3 17 3 2" xfId="35541"/>
    <cellStyle name="Note 2 5 3 17 4" xfId="28288"/>
    <cellStyle name="Note 2 5 3 18" xfId="8098"/>
    <cellStyle name="Note 2 5 3 18 2" xfId="8099"/>
    <cellStyle name="Note 2 5 3 18 2 2" xfId="21064"/>
    <cellStyle name="Note 2 5 3 18 2 2 2" xfId="41132"/>
    <cellStyle name="Note 2 5 3 18 2 3" xfId="28291"/>
    <cellStyle name="Note 2 5 3 18 3" xfId="17349"/>
    <cellStyle name="Note 2 5 3 18 3 2" xfId="37417"/>
    <cellStyle name="Note 2 5 3 18 4" xfId="28290"/>
    <cellStyle name="Note 2 5 3 19" xfId="8100"/>
    <cellStyle name="Note 2 5 3 19 2" xfId="8101"/>
    <cellStyle name="Note 2 5 3 19 2 2" xfId="21065"/>
    <cellStyle name="Note 2 5 3 19 2 2 2" xfId="41133"/>
    <cellStyle name="Note 2 5 3 19 2 3" xfId="28293"/>
    <cellStyle name="Note 2 5 3 19 3" xfId="16296"/>
    <cellStyle name="Note 2 5 3 19 3 2" xfId="36364"/>
    <cellStyle name="Note 2 5 3 19 4" xfId="28292"/>
    <cellStyle name="Note 2 5 3 2" xfId="8102"/>
    <cellStyle name="Note 2 5 3 2 10" xfId="8103"/>
    <cellStyle name="Note 2 5 3 2 10 2" xfId="8104"/>
    <cellStyle name="Note 2 5 3 2 10 2 2" xfId="21067"/>
    <cellStyle name="Note 2 5 3 2 10 2 2 2" xfId="41135"/>
    <cellStyle name="Note 2 5 3 2 10 2 3" xfId="28296"/>
    <cellStyle name="Note 2 5 3 2 10 3" xfId="16949"/>
    <cellStyle name="Note 2 5 3 2 10 3 2" xfId="37017"/>
    <cellStyle name="Note 2 5 3 2 10 4" xfId="28295"/>
    <cellStyle name="Note 2 5 3 2 11" xfId="8105"/>
    <cellStyle name="Note 2 5 3 2 11 2" xfId="8106"/>
    <cellStyle name="Note 2 5 3 2 11 2 2" xfId="21068"/>
    <cellStyle name="Note 2 5 3 2 11 2 2 2" xfId="41136"/>
    <cellStyle name="Note 2 5 3 2 11 2 3" xfId="28298"/>
    <cellStyle name="Note 2 5 3 2 11 3" xfId="17094"/>
    <cellStyle name="Note 2 5 3 2 11 3 2" xfId="37162"/>
    <cellStyle name="Note 2 5 3 2 11 4" xfId="28297"/>
    <cellStyle name="Note 2 5 3 2 12" xfId="8107"/>
    <cellStyle name="Note 2 5 3 2 12 2" xfId="8108"/>
    <cellStyle name="Note 2 5 3 2 12 2 2" xfId="21069"/>
    <cellStyle name="Note 2 5 3 2 12 2 2 2" xfId="41137"/>
    <cellStyle name="Note 2 5 3 2 12 2 3" xfId="28300"/>
    <cellStyle name="Note 2 5 3 2 12 3" xfId="17266"/>
    <cellStyle name="Note 2 5 3 2 12 3 2" xfId="37334"/>
    <cellStyle name="Note 2 5 3 2 12 4" xfId="28299"/>
    <cellStyle name="Note 2 5 3 2 13" xfId="8109"/>
    <cellStyle name="Note 2 5 3 2 13 2" xfId="8110"/>
    <cellStyle name="Note 2 5 3 2 13 2 2" xfId="21070"/>
    <cellStyle name="Note 2 5 3 2 13 2 2 2" xfId="41138"/>
    <cellStyle name="Note 2 5 3 2 13 2 3" xfId="28302"/>
    <cellStyle name="Note 2 5 3 2 13 3" xfId="17430"/>
    <cellStyle name="Note 2 5 3 2 13 3 2" xfId="37498"/>
    <cellStyle name="Note 2 5 3 2 13 4" xfId="28301"/>
    <cellStyle name="Note 2 5 3 2 14" xfId="8111"/>
    <cellStyle name="Note 2 5 3 2 14 2" xfId="8112"/>
    <cellStyle name="Note 2 5 3 2 14 2 2" xfId="21071"/>
    <cellStyle name="Note 2 5 3 2 14 2 2 2" xfId="41139"/>
    <cellStyle name="Note 2 5 3 2 14 2 3" xfId="28304"/>
    <cellStyle name="Note 2 5 3 2 14 3" xfId="17556"/>
    <cellStyle name="Note 2 5 3 2 14 3 2" xfId="37624"/>
    <cellStyle name="Note 2 5 3 2 14 4" xfId="28303"/>
    <cellStyle name="Note 2 5 3 2 15" xfId="8113"/>
    <cellStyle name="Note 2 5 3 2 15 2" xfId="8114"/>
    <cellStyle name="Note 2 5 3 2 15 2 2" xfId="21072"/>
    <cellStyle name="Note 2 5 3 2 15 2 2 2" xfId="41140"/>
    <cellStyle name="Note 2 5 3 2 15 2 3" xfId="28306"/>
    <cellStyle name="Note 2 5 3 2 15 3" xfId="16038"/>
    <cellStyle name="Note 2 5 3 2 15 3 2" xfId="36106"/>
    <cellStyle name="Note 2 5 3 2 15 4" xfId="28305"/>
    <cellStyle name="Note 2 5 3 2 16" xfId="8115"/>
    <cellStyle name="Note 2 5 3 2 16 2" xfId="8116"/>
    <cellStyle name="Note 2 5 3 2 16 2 2" xfId="21073"/>
    <cellStyle name="Note 2 5 3 2 16 2 2 2" xfId="41141"/>
    <cellStyle name="Note 2 5 3 2 16 2 3" xfId="28308"/>
    <cellStyle name="Note 2 5 3 2 16 3" xfId="17806"/>
    <cellStyle name="Note 2 5 3 2 16 3 2" xfId="37874"/>
    <cellStyle name="Note 2 5 3 2 16 4" xfId="28307"/>
    <cellStyle name="Note 2 5 3 2 17" xfId="8117"/>
    <cellStyle name="Note 2 5 3 2 17 2" xfId="8118"/>
    <cellStyle name="Note 2 5 3 2 17 2 2" xfId="21074"/>
    <cellStyle name="Note 2 5 3 2 17 2 2 2" xfId="41142"/>
    <cellStyle name="Note 2 5 3 2 17 2 3" xfId="28310"/>
    <cellStyle name="Note 2 5 3 2 17 3" xfId="17944"/>
    <cellStyle name="Note 2 5 3 2 17 3 2" xfId="38012"/>
    <cellStyle name="Note 2 5 3 2 17 4" xfId="28309"/>
    <cellStyle name="Note 2 5 3 2 18" xfId="8119"/>
    <cellStyle name="Note 2 5 3 2 18 2" xfId="8120"/>
    <cellStyle name="Note 2 5 3 2 18 2 2" xfId="21075"/>
    <cellStyle name="Note 2 5 3 2 18 2 2 2" xfId="41143"/>
    <cellStyle name="Note 2 5 3 2 18 2 3" xfId="28312"/>
    <cellStyle name="Note 2 5 3 2 18 3" xfId="18083"/>
    <cellStyle name="Note 2 5 3 2 18 3 2" xfId="38151"/>
    <cellStyle name="Note 2 5 3 2 18 4" xfId="28311"/>
    <cellStyle name="Note 2 5 3 2 19" xfId="8121"/>
    <cellStyle name="Note 2 5 3 2 19 2" xfId="8122"/>
    <cellStyle name="Note 2 5 3 2 19 2 2" xfId="21076"/>
    <cellStyle name="Note 2 5 3 2 19 2 2 2" xfId="41144"/>
    <cellStyle name="Note 2 5 3 2 19 2 3" xfId="28314"/>
    <cellStyle name="Note 2 5 3 2 19 3" xfId="18201"/>
    <cellStyle name="Note 2 5 3 2 19 3 2" xfId="38269"/>
    <cellStyle name="Note 2 5 3 2 19 4" xfId="28313"/>
    <cellStyle name="Note 2 5 3 2 2" xfId="8123"/>
    <cellStyle name="Note 2 5 3 2 2 2" xfId="8124"/>
    <cellStyle name="Note 2 5 3 2 2 2 2" xfId="21077"/>
    <cellStyle name="Note 2 5 3 2 2 2 2 2" xfId="41145"/>
    <cellStyle name="Note 2 5 3 2 2 2 3" xfId="28316"/>
    <cellStyle name="Note 2 5 3 2 2 3" xfId="14669"/>
    <cellStyle name="Note 2 5 3 2 2 3 2" xfId="34737"/>
    <cellStyle name="Note 2 5 3 2 2 4" xfId="28315"/>
    <cellStyle name="Note 2 5 3 2 20" xfId="8125"/>
    <cellStyle name="Note 2 5 3 2 20 2" xfId="8126"/>
    <cellStyle name="Note 2 5 3 2 20 2 2" xfId="21078"/>
    <cellStyle name="Note 2 5 3 2 20 2 2 2" xfId="41146"/>
    <cellStyle name="Note 2 5 3 2 20 2 3" xfId="28318"/>
    <cellStyle name="Note 2 5 3 2 20 3" xfId="15878"/>
    <cellStyle name="Note 2 5 3 2 20 3 2" xfId="35946"/>
    <cellStyle name="Note 2 5 3 2 20 4" xfId="28317"/>
    <cellStyle name="Note 2 5 3 2 21" xfId="8127"/>
    <cellStyle name="Note 2 5 3 2 21 2" xfId="8128"/>
    <cellStyle name="Note 2 5 3 2 21 2 2" xfId="21079"/>
    <cellStyle name="Note 2 5 3 2 21 2 2 2" xfId="41147"/>
    <cellStyle name="Note 2 5 3 2 21 2 3" xfId="28320"/>
    <cellStyle name="Note 2 5 3 2 21 3" xfId="18406"/>
    <cellStyle name="Note 2 5 3 2 21 3 2" xfId="38474"/>
    <cellStyle name="Note 2 5 3 2 21 4" xfId="28319"/>
    <cellStyle name="Note 2 5 3 2 22" xfId="8129"/>
    <cellStyle name="Note 2 5 3 2 22 2" xfId="8130"/>
    <cellStyle name="Note 2 5 3 2 22 2 2" xfId="21080"/>
    <cellStyle name="Note 2 5 3 2 22 2 2 2" xfId="41148"/>
    <cellStyle name="Note 2 5 3 2 22 2 3" xfId="28322"/>
    <cellStyle name="Note 2 5 3 2 22 3" xfId="18539"/>
    <cellStyle name="Note 2 5 3 2 22 3 2" xfId="38607"/>
    <cellStyle name="Note 2 5 3 2 22 4" xfId="28321"/>
    <cellStyle name="Note 2 5 3 2 23" xfId="8131"/>
    <cellStyle name="Note 2 5 3 2 23 2" xfId="8132"/>
    <cellStyle name="Note 2 5 3 2 23 2 2" xfId="21081"/>
    <cellStyle name="Note 2 5 3 2 23 2 2 2" xfId="41149"/>
    <cellStyle name="Note 2 5 3 2 23 2 3" xfId="28324"/>
    <cellStyle name="Note 2 5 3 2 23 3" xfId="18650"/>
    <cellStyle name="Note 2 5 3 2 23 3 2" xfId="38718"/>
    <cellStyle name="Note 2 5 3 2 23 4" xfId="28323"/>
    <cellStyle name="Note 2 5 3 2 24" xfId="8133"/>
    <cellStyle name="Note 2 5 3 2 24 2" xfId="8134"/>
    <cellStyle name="Note 2 5 3 2 24 2 2" xfId="21082"/>
    <cellStyle name="Note 2 5 3 2 24 2 2 2" xfId="41150"/>
    <cellStyle name="Note 2 5 3 2 24 2 3" xfId="28326"/>
    <cellStyle name="Note 2 5 3 2 24 3" xfId="18750"/>
    <cellStyle name="Note 2 5 3 2 24 3 2" xfId="38818"/>
    <cellStyle name="Note 2 5 3 2 24 4" xfId="28325"/>
    <cellStyle name="Note 2 5 3 2 25" xfId="8135"/>
    <cellStyle name="Note 2 5 3 2 25 2" xfId="8136"/>
    <cellStyle name="Note 2 5 3 2 25 2 2" xfId="21083"/>
    <cellStyle name="Note 2 5 3 2 25 2 2 2" xfId="41151"/>
    <cellStyle name="Note 2 5 3 2 25 2 3" xfId="28328"/>
    <cellStyle name="Note 2 5 3 2 25 3" xfId="18850"/>
    <cellStyle name="Note 2 5 3 2 25 3 2" xfId="38918"/>
    <cellStyle name="Note 2 5 3 2 25 4" xfId="28327"/>
    <cellStyle name="Note 2 5 3 2 26" xfId="8137"/>
    <cellStyle name="Note 2 5 3 2 26 2" xfId="21066"/>
    <cellStyle name="Note 2 5 3 2 26 2 2" xfId="41134"/>
    <cellStyle name="Note 2 5 3 2 26 3" xfId="28329"/>
    <cellStyle name="Note 2 5 3 2 27" xfId="14547"/>
    <cellStyle name="Note 2 5 3 2 27 2" xfId="34615"/>
    <cellStyle name="Note 2 5 3 2 28" xfId="28294"/>
    <cellStyle name="Note 2 5 3 2 3" xfId="8138"/>
    <cellStyle name="Note 2 5 3 2 3 2" xfId="8139"/>
    <cellStyle name="Note 2 5 3 2 3 2 2" xfId="21084"/>
    <cellStyle name="Note 2 5 3 2 3 2 2 2" xfId="41152"/>
    <cellStyle name="Note 2 5 3 2 3 2 3" xfId="28331"/>
    <cellStyle name="Note 2 5 3 2 3 3" xfId="14793"/>
    <cellStyle name="Note 2 5 3 2 3 3 2" xfId="34861"/>
    <cellStyle name="Note 2 5 3 2 3 4" xfId="28330"/>
    <cellStyle name="Note 2 5 3 2 4" xfId="8140"/>
    <cellStyle name="Note 2 5 3 2 4 2" xfId="8141"/>
    <cellStyle name="Note 2 5 3 2 4 2 2" xfId="21085"/>
    <cellStyle name="Note 2 5 3 2 4 2 2 2" xfId="41153"/>
    <cellStyle name="Note 2 5 3 2 4 2 3" xfId="28333"/>
    <cellStyle name="Note 2 5 3 2 4 3" xfId="14918"/>
    <cellStyle name="Note 2 5 3 2 4 3 2" xfId="34986"/>
    <cellStyle name="Note 2 5 3 2 4 4" xfId="28332"/>
    <cellStyle name="Note 2 5 3 2 5" xfId="8142"/>
    <cellStyle name="Note 2 5 3 2 5 2" xfId="8143"/>
    <cellStyle name="Note 2 5 3 2 5 2 2" xfId="21086"/>
    <cellStyle name="Note 2 5 3 2 5 2 2 2" xfId="41154"/>
    <cellStyle name="Note 2 5 3 2 5 2 3" xfId="28335"/>
    <cellStyle name="Note 2 5 3 2 5 3" xfId="15087"/>
    <cellStyle name="Note 2 5 3 2 5 3 2" xfId="35155"/>
    <cellStyle name="Note 2 5 3 2 5 4" xfId="28334"/>
    <cellStyle name="Note 2 5 3 2 6" xfId="8144"/>
    <cellStyle name="Note 2 5 3 2 6 2" xfId="8145"/>
    <cellStyle name="Note 2 5 3 2 6 2 2" xfId="21087"/>
    <cellStyle name="Note 2 5 3 2 6 2 2 2" xfId="41155"/>
    <cellStyle name="Note 2 5 3 2 6 2 3" xfId="28337"/>
    <cellStyle name="Note 2 5 3 2 6 3" xfId="15013"/>
    <cellStyle name="Note 2 5 3 2 6 3 2" xfId="35081"/>
    <cellStyle name="Note 2 5 3 2 6 4" xfId="28336"/>
    <cellStyle name="Note 2 5 3 2 7" xfId="8146"/>
    <cellStyle name="Note 2 5 3 2 7 2" xfId="8147"/>
    <cellStyle name="Note 2 5 3 2 7 2 2" xfId="21088"/>
    <cellStyle name="Note 2 5 3 2 7 2 2 2" xfId="41156"/>
    <cellStyle name="Note 2 5 3 2 7 2 3" xfId="28339"/>
    <cellStyle name="Note 2 5 3 2 7 3" xfId="15219"/>
    <cellStyle name="Note 2 5 3 2 7 3 2" xfId="35287"/>
    <cellStyle name="Note 2 5 3 2 7 4" xfId="28338"/>
    <cellStyle name="Note 2 5 3 2 8" xfId="8148"/>
    <cellStyle name="Note 2 5 3 2 8 2" xfId="8149"/>
    <cellStyle name="Note 2 5 3 2 8 2 2" xfId="21089"/>
    <cellStyle name="Note 2 5 3 2 8 2 2 2" xfId="41157"/>
    <cellStyle name="Note 2 5 3 2 8 2 3" xfId="28341"/>
    <cellStyle name="Note 2 5 3 2 8 3" xfId="16584"/>
    <cellStyle name="Note 2 5 3 2 8 3 2" xfId="36652"/>
    <cellStyle name="Note 2 5 3 2 8 4" xfId="28340"/>
    <cellStyle name="Note 2 5 3 2 9" xfId="8150"/>
    <cellStyle name="Note 2 5 3 2 9 2" xfId="8151"/>
    <cellStyle name="Note 2 5 3 2 9 2 2" xfId="21090"/>
    <cellStyle name="Note 2 5 3 2 9 2 2 2" xfId="41158"/>
    <cellStyle name="Note 2 5 3 2 9 2 3" xfId="28343"/>
    <cellStyle name="Note 2 5 3 2 9 3" xfId="16788"/>
    <cellStyle name="Note 2 5 3 2 9 3 2" xfId="36856"/>
    <cellStyle name="Note 2 5 3 2 9 4" xfId="28342"/>
    <cellStyle name="Note 2 5 3 20" xfId="8152"/>
    <cellStyle name="Note 2 5 3 20 2" xfId="8153"/>
    <cellStyle name="Note 2 5 3 20 2 2" xfId="21091"/>
    <cellStyle name="Note 2 5 3 20 2 2 2" xfId="41159"/>
    <cellStyle name="Note 2 5 3 20 2 3" xfId="28345"/>
    <cellStyle name="Note 2 5 3 20 3" xfId="15778"/>
    <cellStyle name="Note 2 5 3 20 3 2" xfId="35846"/>
    <cellStyle name="Note 2 5 3 20 4" xfId="28344"/>
    <cellStyle name="Note 2 5 3 21" xfId="8154"/>
    <cellStyle name="Note 2 5 3 21 2" xfId="8155"/>
    <cellStyle name="Note 2 5 3 21 2 2" xfId="21092"/>
    <cellStyle name="Note 2 5 3 21 2 2 2" xfId="41160"/>
    <cellStyle name="Note 2 5 3 21 2 3" xfId="28347"/>
    <cellStyle name="Note 2 5 3 21 3" xfId="15533"/>
    <cellStyle name="Note 2 5 3 21 3 2" xfId="35601"/>
    <cellStyle name="Note 2 5 3 21 4" xfId="28346"/>
    <cellStyle name="Note 2 5 3 22" xfId="8156"/>
    <cellStyle name="Note 2 5 3 22 2" xfId="8157"/>
    <cellStyle name="Note 2 5 3 22 2 2" xfId="21093"/>
    <cellStyle name="Note 2 5 3 22 2 2 2" xfId="41161"/>
    <cellStyle name="Note 2 5 3 22 2 3" xfId="28349"/>
    <cellStyle name="Note 2 5 3 22 3" xfId="17702"/>
    <cellStyle name="Note 2 5 3 22 3 2" xfId="37770"/>
    <cellStyle name="Note 2 5 3 22 4" xfId="28348"/>
    <cellStyle name="Note 2 5 3 23" xfId="8158"/>
    <cellStyle name="Note 2 5 3 23 2" xfId="8159"/>
    <cellStyle name="Note 2 5 3 23 2 2" xfId="21094"/>
    <cellStyle name="Note 2 5 3 23 2 2 2" xfId="41162"/>
    <cellStyle name="Note 2 5 3 23 2 3" xfId="28351"/>
    <cellStyle name="Note 2 5 3 23 3" xfId="15977"/>
    <cellStyle name="Note 2 5 3 23 3 2" xfId="36045"/>
    <cellStyle name="Note 2 5 3 23 4" xfId="28350"/>
    <cellStyle name="Note 2 5 3 24" xfId="8160"/>
    <cellStyle name="Note 2 5 3 24 2" xfId="8161"/>
    <cellStyle name="Note 2 5 3 24 2 2" xfId="21095"/>
    <cellStyle name="Note 2 5 3 24 2 2 2" xfId="41163"/>
    <cellStyle name="Note 2 5 3 24 2 3" xfId="28353"/>
    <cellStyle name="Note 2 5 3 24 3" xfId="16148"/>
    <cellStyle name="Note 2 5 3 24 3 2" xfId="36216"/>
    <cellStyle name="Note 2 5 3 24 4" xfId="28352"/>
    <cellStyle name="Note 2 5 3 25" xfId="8162"/>
    <cellStyle name="Note 2 5 3 25 2" xfId="8163"/>
    <cellStyle name="Note 2 5 3 25 2 2" xfId="21096"/>
    <cellStyle name="Note 2 5 3 25 2 2 2" xfId="41164"/>
    <cellStyle name="Note 2 5 3 25 2 3" xfId="28355"/>
    <cellStyle name="Note 2 5 3 25 3" xfId="16419"/>
    <cellStyle name="Note 2 5 3 25 3 2" xfId="36487"/>
    <cellStyle name="Note 2 5 3 25 4" xfId="28354"/>
    <cellStyle name="Note 2 5 3 26" xfId="8164"/>
    <cellStyle name="Note 2 5 3 26 2" xfId="8165"/>
    <cellStyle name="Note 2 5 3 26 2 2" xfId="21097"/>
    <cellStyle name="Note 2 5 3 26 2 2 2" xfId="41165"/>
    <cellStyle name="Note 2 5 3 26 2 3" xfId="28357"/>
    <cellStyle name="Note 2 5 3 26 3" xfId="15607"/>
    <cellStyle name="Note 2 5 3 26 3 2" xfId="35675"/>
    <cellStyle name="Note 2 5 3 26 4" xfId="28356"/>
    <cellStyle name="Note 2 5 3 27" xfId="8166"/>
    <cellStyle name="Note 2 5 3 27 2" xfId="8167"/>
    <cellStyle name="Note 2 5 3 27 2 2" xfId="21098"/>
    <cellStyle name="Note 2 5 3 27 2 2 2" xfId="41166"/>
    <cellStyle name="Note 2 5 3 27 2 3" xfId="28359"/>
    <cellStyle name="Note 2 5 3 27 3" xfId="17887"/>
    <cellStyle name="Note 2 5 3 27 3 2" xfId="37955"/>
    <cellStyle name="Note 2 5 3 27 4" xfId="28358"/>
    <cellStyle name="Note 2 5 3 28" xfId="8168"/>
    <cellStyle name="Note 2 5 3 28 2" xfId="21055"/>
    <cellStyle name="Note 2 5 3 28 2 2" xfId="41123"/>
    <cellStyle name="Note 2 5 3 28 3" xfId="28360"/>
    <cellStyle name="Note 2 5 3 29" xfId="13900"/>
    <cellStyle name="Note 2 5 3 29 2" xfId="33968"/>
    <cellStyle name="Note 2 5 3 3" xfId="8169"/>
    <cellStyle name="Note 2 5 3 3 2" xfId="8170"/>
    <cellStyle name="Note 2 5 3 3 2 2" xfId="21099"/>
    <cellStyle name="Note 2 5 3 3 2 2 2" xfId="41167"/>
    <cellStyle name="Note 2 5 3 3 2 3" xfId="28362"/>
    <cellStyle name="Note 2 5 3 3 3" xfId="14481"/>
    <cellStyle name="Note 2 5 3 3 3 2" xfId="34549"/>
    <cellStyle name="Note 2 5 3 3 4" xfId="28361"/>
    <cellStyle name="Note 2 5 3 30" xfId="28273"/>
    <cellStyle name="Note 2 5 3 4" xfId="8171"/>
    <cellStyle name="Note 2 5 3 4 2" xfId="8172"/>
    <cellStyle name="Note 2 5 3 4 2 2" xfId="21100"/>
    <cellStyle name="Note 2 5 3 4 2 2 2" xfId="41168"/>
    <cellStyle name="Note 2 5 3 4 2 3" xfId="28364"/>
    <cellStyle name="Note 2 5 3 4 3" xfId="14175"/>
    <cellStyle name="Note 2 5 3 4 3 2" xfId="34243"/>
    <cellStyle name="Note 2 5 3 4 4" xfId="28363"/>
    <cellStyle name="Note 2 5 3 5" xfId="8173"/>
    <cellStyle name="Note 2 5 3 5 2" xfId="8174"/>
    <cellStyle name="Note 2 5 3 5 2 2" xfId="21101"/>
    <cellStyle name="Note 2 5 3 5 2 2 2" xfId="41169"/>
    <cellStyle name="Note 2 5 3 5 2 3" xfId="28366"/>
    <cellStyle name="Note 2 5 3 5 3" xfId="14083"/>
    <cellStyle name="Note 2 5 3 5 3 2" xfId="34151"/>
    <cellStyle name="Note 2 5 3 5 4" xfId="28365"/>
    <cellStyle name="Note 2 5 3 6" xfId="8175"/>
    <cellStyle name="Note 2 5 3 6 2" xfId="8176"/>
    <cellStyle name="Note 2 5 3 6 2 2" xfId="21102"/>
    <cellStyle name="Note 2 5 3 6 2 2 2" xfId="41170"/>
    <cellStyle name="Note 2 5 3 6 2 3" xfId="28368"/>
    <cellStyle name="Note 2 5 3 6 3" xfId="14735"/>
    <cellStyle name="Note 2 5 3 6 3 2" xfId="34803"/>
    <cellStyle name="Note 2 5 3 6 4" xfId="28367"/>
    <cellStyle name="Note 2 5 3 7" xfId="8177"/>
    <cellStyle name="Note 2 5 3 7 2" xfId="8178"/>
    <cellStyle name="Note 2 5 3 7 2 2" xfId="21103"/>
    <cellStyle name="Note 2 5 3 7 2 2 2" xfId="41171"/>
    <cellStyle name="Note 2 5 3 7 2 3" xfId="28370"/>
    <cellStyle name="Note 2 5 3 7 3" xfId="14514"/>
    <cellStyle name="Note 2 5 3 7 3 2" xfId="34582"/>
    <cellStyle name="Note 2 5 3 7 4" xfId="28369"/>
    <cellStyle name="Note 2 5 3 8" xfId="8179"/>
    <cellStyle name="Note 2 5 3 8 2" xfId="8180"/>
    <cellStyle name="Note 2 5 3 8 2 2" xfId="21104"/>
    <cellStyle name="Note 2 5 3 8 2 2 2" xfId="41172"/>
    <cellStyle name="Note 2 5 3 8 2 3" xfId="28372"/>
    <cellStyle name="Note 2 5 3 8 3" xfId="14537"/>
    <cellStyle name="Note 2 5 3 8 3 2" xfId="34605"/>
    <cellStyle name="Note 2 5 3 8 4" xfId="28371"/>
    <cellStyle name="Note 2 5 3 9" xfId="8181"/>
    <cellStyle name="Note 2 5 3 9 2" xfId="8182"/>
    <cellStyle name="Note 2 5 3 9 2 2" xfId="21105"/>
    <cellStyle name="Note 2 5 3 9 2 2 2" xfId="41173"/>
    <cellStyle name="Note 2 5 3 9 2 3" xfId="28374"/>
    <cellStyle name="Note 2 5 3 9 3" xfId="15306"/>
    <cellStyle name="Note 2 5 3 9 3 2" xfId="35374"/>
    <cellStyle name="Note 2 5 3 9 4" xfId="28373"/>
    <cellStyle name="Note 2 5 30" xfId="8183"/>
    <cellStyle name="Note 2 5 30 2" xfId="20983"/>
    <cellStyle name="Note 2 5 30 2 2" xfId="41051"/>
    <cellStyle name="Note 2 5 30 3" xfId="28375"/>
    <cellStyle name="Note 2 5 31" xfId="13898"/>
    <cellStyle name="Note 2 5 31 2" xfId="33966"/>
    <cellStyle name="Note 2 5 32" xfId="28130"/>
    <cellStyle name="Note 2 5 4" xfId="8184"/>
    <cellStyle name="Note 2 5 4 10" xfId="8185"/>
    <cellStyle name="Note 2 5 4 10 2" xfId="8186"/>
    <cellStyle name="Note 2 5 4 10 2 2" xfId="21107"/>
    <cellStyle name="Note 2 5 4 10 2 2 2" xfId="41175"/>
    <cellStyle name="Note 2 5 4 10 2 3" xfId="28378"/>
    <cellStyle name="Note 2 5 4 10 3" xfId="16947"/>
    <cellStyle name="Note 2 5 4 10 3 2" xfId="37015"/>
    <cellStyle name="Note 2 5 4 10 4" xfId="28377"/>
    <cellStyle name="Note 2 5 4 11" xfId="8187"/>
    <cellStyle name="Note 2 5 4 11 2" xfId="8188"/>
    <cellStyle name="Note 2 5 4 11 2 2" xfId="21108"/>
    <cellStyle name="Note 2 5 4 11 2 2 2" xfId="41176"/>
    <cellStyle name="Note 2 5 4 11 2 3" xfId="28380"/>
    <cellStyle name="Note 2 5 4 11 3" xfId="17092"/>
    <cellStyle name="Note 2 5 4 11 3 2" xfId="37160"/>
    <cellStyle name="Note 2 5 4 11 4" xfId="28379"/>
    <cellStyle name="Note 2 5 4 12" xfId="8189"/>
    <cellStyle name="Note 2 5 4 12 2" xfId="8190"/>
    <cellStyle name="Note 2 5 4 12 2 2" xfId="21109"/>
    <cellStyle name="Note 2 5 4 12 2 2 2" xfId="41177"/>
    <cellStyle name="Note 2 5 4 12 2 3" xfId="28382"/>
    <cellStyle name="Note 2 5 4 12 3" xfId="17264"/>
    <cellStyle name="Note 2 5 4 12 3 2" xfId="37332"/>
    <cellStyle name="Note 2 5 4 12 4" xfId="28381"/>
    <cellStyle name="Note 2 5 4 13" xfId="8191"/>
    <cellStyle name="Note 2 5 4 13 2" xfId="8192"/>
    <cellStyle name="Note 2 5 4 13 2 2" xfId="21110"/>
    <cellStyle name="Note 2 5 4 13 2 2 2" xfId="41178"/>
    <cellStyle name="Note 2 5 4 13 2 3" xfId="28384"/>
    <cellStyle name="Note 2 5 4 13 3" xfId="17428"/>
    <cellStyle name="Note 2 5 4 13 3 2" xfId="37496"/>
    <cellStyle name="Note 2 5 4 13 4" xfId="28383"/>
    <cellStyle name="Note 2 5 4 14" xfId="8193"/>
    <cellStyle name="Note 2 5 4 14 2" xfId="8194"/>
    <cellStyle name="Note 2 5 4 14 2 2" xfId="21111"/>
    <cellStyle name="Note 2 5 4 14 2 2 2" xfId="41179"/>
    <cellStyle name="Note 2 5 4 14 2 3" xfId="28386"/>
    <cellStyle name="Note 2 5 4 14 3" xfId="17554"/>
    <cellStyle name="Note 2 5 4 14 3 2" xfId="37622"/>
    <cellStyle name="Note 2 5 4 14 4" xfId="28385"/>
    <cellStyle name="Note 2 5 4 15" xfId="8195"/>
    <cellStyle name="Note 2 5 4 15 2" xfId="8196"/>
    <cellStyle name="Note 2 5 4 15 2 2" xfId="21112"/>
    <cellStyle name="Note 2 5 4 15 2 2 2" xfId="41180"/>
    <cellStyle name="Note 2 5 4 15 2 3" xfId="28388"/>
    <cellStyle name="Note 2 5 4 15 3" xfId="15666"/>
    <cellStyle name="Note 2 5 4 15 3 2" xfId="35734"/>
    <cellStyle name="Note 2 5 4 15 4" xfId="28387"/>
    <cellStyle name="Note 2 5 4 16" xfId="8197"/>
    <cellStyle name="Note 2 5 4 16 2" xfId="8198"/>
    <cellStyle name="Note 2 5 4 16 2 2" xfId="21113"/>
    <cellStyle name="Note 2 5 4 16 2 2 2" xfId="41181"/>
    <cellStyle name="Note 2 5 4 16 2 3" xfId="28390"/>
    <cellStyle name="Note 2 5 4 16 3" xfId="17804"/>
    <cellStyle name="Note 2 5 4 16 3 2" xfId="37872"/>
    <cellStyle name="Note 2 5 4 16 4" xfId="28389"/>
    <cellStyle name="Note 2 5 4 17" xfId="8199"/>
    <cellStyle name="Note 2 5 4 17 2" xfId="8200"/>
    <cellStyle name="Note 2 5 4 17 2 2" xfId="21114"/>
    <cellStyle name="Note 2 5 4 17 2 2 2" xfId="41182"/>
    <cellStyle name="Note 2 5 4 17 2 3" xfId="28392"/>
    <cellStyle name="Note 2 5 4 17 3" xfId="17942"/>
    <cellStyle name="Note 2 5 4 17 3 2" xfId="38010"/>
    <cellStyle name="Note 2 5 4 17 4" xfId="28391"/>
    <cellStyle name="Note 2 5 4 18" xfId="8201"/>
    <cellStyle name="Note 2 5 4 18 2" xfId="8202"/>
    <cellStyle name="Note 2 5 4 18 2 2" xfId="21115"/>
    <cellStyle name="Note 2 5 4 18 2 2 2" xfId="41183"/>
    <cellStyle name="Note 2 5 4 18 2 3" xfId="28394"/>
    <cellStyle name="Note 2 5 4 18 3" xfId="18081"/>
    <cellStyle name="Note 2 5 4 18 3 2" xfId="38149"/>
    <cellStyle name="Note 2 5 4 18 4" xfId="28393"/>
    <cellStyle name="Note 2 5 4 19" xfId="8203"/>
    <cellStyle name="Note 2 5 4 19 2" xfId="8204"/>
    <cellStyle name="Note 2 5 4 19 2 2" xfId="21116"/>
    <cellStyle name="Note 2 5 4 19 2 2 2" xfId="41184"/>
    <cellStyle name="Note 2 5 4 19 2 3" xfId="28396"/>
    <cellStyle name="Note 2 5 4 19 3" xfId="18199"/>
    <cellStyle name="Note 2 5 4 19 3 2" xfId="38267"/>
    <cellStyle name="Note 2 5 4 19 4" xfId="28395"/>
    <cellStyle name="Note 2 5 4 2" xfId="8205"/>
    <cellStyle name="Note 2 5 4 2 2" xfId="8206"/>
    <cellStyle name="Note 2 5 4 2 2 2" xfId="21117"/>
    <cellStyle name="Note 2 5 4 2 2 2 2" xfId="41185"/>
    <cellStyle name="Note 2 5 4 2 2 3" xfId="28398"/>
    <cellStyle name="Note 2 5 4 2 3" xfId="14667"/>
    <cellStyle name="Note 2 5 4 2 3 2" xfId="34735"/>
    <cellStyle name="Note 2 5 4 2 4" xfId="28397"/>
    <cellStyle name="Note 2 5 4 20" xfId="8207"/>
    <cellStyle name="Note 2 5 4 20 2" xfId="8208"/>
    <cellStyle name="Note 2 5 4 20 2 2" xfId="21118"/>
    <cellStyle name="Note 2 5 4 20 2 2 2" xfId="41186"/>
    <cellStyle name="Note 2 5 4 20 2 3" xfId="28400"/>
    <cellStyle name="Note 2 5 4 20 3" xfId="18037"/>
    <cellStyle name="Note 2 5 4 20 3 2" xfId="38105"/>
    <cellStyle name="Note 2 5 4 20 4" xfId="28399"/>
    <cellStyle name="Note 2 5 4 21" xfId="8209"/>
    <cellStyle name="Note 2 5 4 21 2" xfId="8210"/>
    <cellStyle name="Note 2 5 4 21 2 2" xfId="21119"/>
    <cellStyle name="Note 2 5 4 21 2 2 2" xfId="41187"/>
    <cellStyle name="Note 2 5 4 21 2 3" xfId="28402"/>
    <cellStyle name="Note 2 5 4 21 3" xfId="18404"/>
    <cellStyle name="Note 2 5 4 21 3 2" xfId="38472"/>
    <cellStyle name="Note 2 5 4 21 4" xfId="28401"/>
    <cellStyle name="Note 2 5 4 22" xfId="8211"/>
    <cellStyle name="Note 2 5 4 22 2" xfId="8212"/>
    <cellStyle name="Note 2 5 4 22 2 2" xfId="21120"/>
    <cellStyle name="Note 2 5 4 22 2 2 2" xfId="41188"/>
    <cellStyle name="Note 2 5 4 22 2 3" xfId="28404"/>
    <cellStyle name="Note 2 5 4 22 3" xfId="18537"/>
    <cellStyle name="Note 2 5 4 22 3 2" xfId="38605"/>
    <cellStyle name="Note 2 5 4 22 4" xfId="28403"/>
    <cellStyle name="Note 2 5 4 23" xfId="8213"/>
    <cellStyle name="Note 2 5 4 23 2" xfId="8214"/>
    <cellStyle name="Note 2 5 4 23 2 2" xfId="21121"/>
    <cellStyle name="Note 2 5 4 23 2 2 2" xfId="41189"/>
    <cellStyle name="Note 2 5 4 23 2 3" xfId="28406"/>
    <cellStyle name="Note 2 5 4 23 3" xfId="18648"/>
    <cellStyle name="Note 2 5 4 23 3 2" xfId="38716"/>
    <cellStyle name="Note 2 5 4 23 4" xfId="28405"/>
    <cellStyle name="Note 2 5 4 24" xfId="8215"/>
    <cellStyle name="Note 2 5 4 24 2" xfId="8216"/>
    <cellStyle name="Note 2 5 4 24 2 2" xfId="21122"/>
    <cellStyle name="Note 2 5 4 24 2 2 2" xfId="41190"/>
    <cellStyle name="Note 2 5 4 24 2 3" xfId="28408"/>
    <cellStyle name="Note 2 5 4 24 3" xfId="18748"/>
    <cellStyle name="Note 2 5 4 24 3 2" xfId="38816"/>
    <cellStyle name="Note 2 5 4 24 4" xfId="28407"/>
    <cellStyle name="Note 2 5 4 25" xfId="8217"/>
    <cellStyle name="Note 2 5 4 25 2" xfId="8218"/>
    <cellStyle name="Note 2 5 4 25 2 2" xfId="21123"/>
    <cellStyle name="Note 2 5 4 25 2 2 2" xfId="41191"/>
    <cellStyle name="Note 2 5 4 25 2 3" xfId="28410"/>
    <cellStyle name="Note 2 5 4 25 3" xfId="18848"/>
    <cellStyle name="Note 2 5 4 25 3 2" xfId="38916"/>
    <cellStyle name="Note 2 5 4 25 4" xfId="28409"/>
    <cellStyle name="Note 2 5 4 26" xfId="8219"/>
    <cellStyle name="Note 2 5 4 26 2" xfId="21106"/>
    <cellStyle name="Note 2 5 4 26 2 2" xfId="41174"/>
    <cellStyle name="Note 2 5 4 26 3" xfId="28411"/>
    <cellStyle name="Note 2 5 4 27" xfId="14037"/>
    <cellStyle name="Note 2 5 4 27 2" xfId="34105"/>
    <cellStyle name="Note 2 5 4 28" xfId="28376"/>
    <cellStyle name="Note 2 5 4 3" xfId="8220"/>
    <cellStyle name="Note 2 5 4 3 2" xfId="8221"/>
    <cellStyle name="Note 2 5 4 3 2 2" xfId="21124"/>
    <cellStyle name="Note 2 5 4 3 2 2 2" xfId="41192"/>
    <cellStyle name="Note 2 5 4 3 2 3" xfId="28413"/>
    <cellStyle name="Note 2 5 4 3 3" xfId="14791"/>
    <cellStyle name="Note 2 5 4 3 3 2" xfId="34859"/>
    <cellStyle name="Note 2 5 4 3 4" xfId="28412"/>
    <cellStyle name="Note 2 5 4 4" xfId="8222"/>
    <cellStyle name="Note 2 5 4 4 2" xfId="8223"/>
    <cellStyle name="Note 2 5 4 4 2 2" xfId="21125"/>
    <cellStyle name="Note 2 5 4 4 2 2 2" xfId="41193"/>
    <cellStyle name="Note 2 5 4 4 2 3" xfId="28415"/>
    <cellStyle name="Note 2 5 4 4 3" xfId="14916"/>
    <cellStyle name="Note 2 5 4 4 3 2" xfId="34984"/>
    <cellStyle name="Note 2 5 4 4 4" xfId="28414"/>
    <cellStyle name="Note 2 5 4 5" xfId="8224"/>
    <cellStyle name="Note 2 5 4 5 2" xfId="8225"/>
    <cellStyle name="Note 2 5 4 5 2 2" xfId="21126"/>
    <cellStyle name="Note 2 5 4 5 2 2 2" xfId="41194"/>
    <cellStyle name="Note 2 5 4 5 2 3" xfId="28417"/>
    <cellStyle name="Note 2 5 4 5 3" xfId="15085"/>
    <cellStyle name="Note 2 5 4 5 3 2" xfId="35153"/>
    <cellStyle name="Note 2 5 4 5 4" xfId="28416"/>
    <cellStyle name="Note 2 5 4 6" xfId="8226"/>
    <cellStyle name="Note 2 5 4 6 2" xfId="8227"/>
    <cellStyle name="Note 2 5 4 6 2 2" xfId="21127"/>
    <cellStyle name="Note 2 5 4 6 2 2 2" xfId="41195"/>
    <cellStyle name="Note 2 5 4 6 2 3" xfId="28419"/>
    <cellStyle name="Note 2 5 4 6 3" xfId="14181"/>
    <cellStyle name="Note 2 5 4 6 3 2" xfId="34249"/>
    <cellStyle name="Note 2 5 4 6 4" xfId="28418"/>
    <cellStyle name="Note 2 5 4 7" xfId="8228"/>
    <cellStyle name="Note 2 5 4 7 2" xfId="8229"/>
    <cellStyle name="Note 2 5 4 7 2 2" xfId="21128"/>
    <cellStyle name="Note 2 5 4 7 2 2 2" xfId="41196"/>
    <cellStyle name="Note 2 5 4 7 2 3" xfId="28421"/>
    <cellStyle name="Note 2 5 4 7 3" xfId="15217"/>
    <cellStyle name="Note 2 5 4 7 3 2" xfId="35285"/>
    <cellStyle name="Note 2 5 4 7 4" xfId="28420"/>
    <cellStyle name="Note 2 5 4 8" xfId="8230"/>
    <cellStyle name="Note 2 5 4 8 2" xfId="8231"/>
    <cellStyle name="Note 2 5 4 8 2 2" xfId="21129"/>
    <cellStyle name="Note 2 5 4 8 2 2 2" xfId="41197"/>
    <cellStyle name="Note 2 5 4 8 2 3" xfId="28423"/>
    <cellStyle name="Note 2 5 4 8 3" xfId="16582"/>
    <cellStyle name="Note 2 5 4 8 3 2" xfId="36650"/>
    <cellStyle name="Note 2 5 4 8 4" xfId="28422"/>
    <cellStyle name="Note 2 5 4 9" xfId="8232"/>
    <cellStyle name="Note 2 5 4 9 2" xfId="8233"/>
    <cellStyle name="Note 2 5 4 9 2 2" xfId="21130"/>
    <cellStyle name="Note 2 5 4 9 2 2 2" xfId="41198"/>
    <cellStyle name="Note 2 5 4 9 2 3" xfId="28425"/>
    <cellStyle name="Note 2 5 4 9 3" xfId="16786"/>
    <cellStyle name="Note 2 5 4 9 3 2" xfId="36854"/>
    <cellStyle name="Note 2 5 4 9 4" xfId="28424"/>
    <cellStyle name="Note 2 5 5" xfId="8234"/>
    <cellStyle name="Note 2 5 5 2" xfId="8235"/>
    <cellStyle name="Note 2 5 5 2 2" xfId="21131"/>
    <cellStyle name="Note 2 5 5 2 2 2" xfId="41199"/>
    <cellStyle name="Note 2 5 5 2 3" xfId="28427"/>
    <cellStyle name="Note 2 5 5 3" xfId="14534"/>
    <cellStyle name="Note 2 5 5 3 2" xfId="34602"/>
    <cellStyle name="Note 2 5 5 4" xfId="28426"/>
    <cellStyle name="Note 2 5 6" xfId="8236"/>
    <cellStyle name="Note 2 5 6 2" xfId="8237"/>
    <cellStyle name="Note 2 5 6 2 2" xfId="21132"/>
    <cellStyle name="Note 2 5 6 2 2 2" xfId="41200"/>
    <cellStyle name="Note 2 5 6 2 3" xfId="28429"/>
    <cellStyle name="Note 2 5 6 3" xfId="14220"/>
    <cellStyle name="Note 2 5 6 3 2" xfId="34288"/>
    <cellStyle name="Note 2 5 6 4" xfId="28428"/>
    <cellStyle name="Note 2 5 7" xfId="8238"/>
    <cellStyle name="Note 2 5 7 2" xfId="8239"/>
    <cellStyle name="Note 2 5 7 2 2" xfId="21133"/>
    <cellStyle name="Note 2 5 7 2 2 2" xfId="41201"/>
    <cellStyle name="Note 2 5 7 2 3" xfId="28431"/>
    <cellStyle name="Note 2 5 7 3" xfId="14471"/>
    <cellStyle name="Note 2 5 7 3 2" xfId="34539"/>
    <cellStyle name="Note 2 5 7 4" xfId="28430"/>
    <cellStyle name="Note 2 5 8" xfId="8240"/>
    <cellStyle name="Note 2 5 8 2" xfId="8241"/>
    <cellStyle name="Note 2 5 8 2 2" xfId="21134"/>
    <cellStyle name="Note 2 5 8 2 2 2" xfId="41202"/>
    <cellStyle name="Note 2 5 8 2 3" xfId="28433"/>
    <cellStyle name="Note 2 5 8 3" xfId="14615"/>
    <cellStyle name="Note 2 5 8 3 2" xfId="34683"/>
    <cellStyle name="Note 2 5 8 4" xfId="28432"/>
    <cellStyle name="Note 2 5 9" xfId="8242"/>
    <cellStyle name="Note 2 5 9 2" xfId="8243"/>
    <cellStyle name="Note 2 5 9 2 2" xfId="21135"/>
    <cellStyle name="Note 2 5 9 2 2 2" xfId="41203"/>
    <cellStyle name="Note 2 5 9 2 3" xfId="28435"/>
    <cellStyle name="Note 2 5 9 3" xfId="14156"/>
    <cellStyle name="Note 2 5 9 3 2" xfId="34224"/>
    <cellStyle name="Note 2 5 9 4" xfId="28434"/>
    <cellStyle name="Note 2 5_2011-2012" xfId="8244"/>
    <cellStyle name="Note 2 6" xfId="8245"/>
    <cellStyle name="Note 2 6 10" xfId="8246"/>
    <cellStyle name="Note 2 6 10 2" xfId="8247"/>
    <cellStyle name="Note 2 6 10 2 2" xfId="21137"/>
    <cellStyle name="Note 2 6 10 2 2 2" xfId="41205"/>
    <cellStyle name="Note 2 6 10 2 3" xfId="28438"/>
    <cellStyle name="Note 2 6 10 3" xfId="16450"/>
    <cellStyle name="Note 2 6 10 3 2" xfId="36518"/>
    <cellStyle name="Note 2 6 10 4" xfId="28437"/>
    <cellStyle name="Note 2 6 11" xfId="8248"/>
    <cellStyle name="Note 2 6 11 2" xfId="8249"/>
    <cellStyle name="Note 2 6 11 2 2" xfId="21138"/>
    <cellStyle name="Note 2 6 11 2 2 2" xfId="41206"/>
    <cellStyle name="Note 2 6 11 2 3" xfId="28440"/>
    <cellStyle name="Note 2 6 11 3" xfId="16643"/>
    <cellStyle name="Note 2 6 11 3 2" xfId="36711"/>
    <cellStyle name="Note 2 6 11 4" xfId="28439"/>
    <cellStyle name="Note 2 6 12" xfId="8250"/>
    <cellStyle name="Note 2 6 12 2" xfId="8251"/>
    <cellStyle name="Note 2 6 12 2 2" xfId="21139"/>
    <cellStyle name="Note 2 6 12 2 2 2" xfId="41207"/>
    <cellStyle name="Note 2 6 12 2 3" xfId="28442"/>
    <cellStyle name="Note 2 6 12 3" xfId="16507"/>
    <cellStyle name="Note 2 6 12 3 2" xfId="36575"/>
    <cellStyle name="Note 2 6 12 4" xfId="28441"/>
    <cellStyle name="Note 2 6 13" xfId="8252"/>
    <cellStyle name="Note 2 6 13 2" xfId="8253"/>
    <cellStyle name="Note 2 6 13 2 2" xfId="21140"/>
    <cellStyle name="Note 2 6 13 2 2 2" xfId="41208"/>
    <cellStyle name="Note 2 6 13 2 3" xfId="28444"/>
    <cellStyle name="Note 2 6 13 3" xfId="16706"/>
    <cellStyle name="Note 2 6 13 3 2" xfId="36774"/>
    <cellStyle name="Note 2 6 13 4" xfId="28443"/>
    <cellStyle name="Note 2 6 14" xfId="8254"/>
    <cellStyle name="Note 2 6 14 2" xfId="8255"/>
    <cellStyle name="Note 2 6 14 2 2" xfId="21141"/>
    <cellStyle name="Note 2 6 14 2 2 2" xfId="41209"/>
    <cellStyle name="Note 2 6 14 2 3" xfId="28446"/>
    <cellStyle name="Note 2 6 14 3" xfId="16882"/>
    <cellStyle name="Note 2 6 14 3 2" xfId="36950"/>
    <cellStyle name="Note 2 6 14 4" xfId="28445"/>
    <cellStyle name="Note 2 6 15" xfId="8256"/>
    <cellStyle name="Note 2 6 15 2" xfId="8257"/>
    <cellStyle name="Note 2 6 15 2 2" xfId="21142"/>
    <cellStyle name="Note 2 6 15 2 2 2" xfId="41210"/>
    <cellStyle name="Note 2 6 15 2 3" xfId="28448"/>
    <cellStyle name="Note 2 6 15 3" xfId="17021"/>
    <cellStyle name="Note 2 6 15 3 2" xfId="37089"/>
    <cellStyle name="Note 2 6 15 4" xfId="28447"/>
    <cellStyle name="Note 2 6 16" xfId="8258"/>
    <cellStyle name="Note 2 6 16 2" xfId="8259"/>
    <cellStyle name="Note 2 6 16 2 2" xfId="21143"/>
    <cellStyle name="Note 2 6 16 2 2 2" xfId="41211"/>
    <cellStyle name="Note 2 6 16 2 3" xfId="28450"/>
    <cellStyle name="Note 2 6 16 3" xfId="15594"/>
    <cellStyle name="Note 2 6 16 3 2" xfId="35662"/>
    <cellStyle name="Note 2 6 16 4" xfId="28449"/>
    <cellStyle name="Note 2 6 17" xfId="8260"/>
    <cellStyle name="Note 2 6 17 2" xfId="8261"/>
    <cellStyle name="Note 2 6 17 2 2" xfId="21144"/>
    <cellStyle name="Note 2 6 17 2 2 2" xfId="41212"/>
    <cellStyle name="Note 2 6 17 2 3" xfId="28452"/>
    <cellStyle name="Note 2 6 17 3" xfId="15472"/>
    <cellStyle name="Note 2 6 17 3 2" xfId="35540"/>
    <cellStyle name="Note 2 6 17 4" xfId="28451"/>
    <cellStyle name="Note 2 6 18" xfId="8262"/>
    <cellStyle name="Note 2 6 18 2" xfId="8263"/>
    <cellStyle name="Note 2 6 18 2 2" xfId="21145"/>
    <cellStyle name="Note 2 6 18 2 2 2" xfId="41213"/>
    <cellStyle name="Note 2 6 18 2 3" xfId="28454"/>
    <cellStyle name="Note 2 6 18 3" xfId="15784"/>
    <cellStyle name="Note 2 6 18 3 2" xfId="35852"/>
    <cellStyle name="Note 2 6 18 4" xfId="28453"/>
    <cellStyle name="Note 2 6 19" xfId="8264"/>
    <cellStyle name="Note 2 6 19 2" xfId="8265"/>
    <cellStyle name="Note 2 6 19 2 2" xfId="21146"/>
    <cellStyle name="Note 2 6 19 2 2 2" xfId="41214"/>
    <cellStyle name="Note 2 6 19 2 3" xfId="28456"/>
    <cellStyle name="Note 2 6 19 3" xfId="17616"/>
    <cellStyle name="Note 2 6 19 3 2" xfId="37684"/>
    <cellStyle name="Note 2 6 19 4" xfId="28455"/>
    <cellStyle name="Note 2 6 2" xfId="8266"/>
    <cellStyle name="Note 2 6 2 10" xfId="8267"/>
    <cellStyle name="Note 2 6 2 10 2" xfId="8268"/>
    <cellStyle name="Note 2 6 2 10 2 2" xfId="21148"/>
    <cellStyle name="Note 2 6 2 10 2 2 2" xfId="41216"/>
    <cellStyle name="Note 2 6 2 10 2 3" xfId="28459"/>
    <cellStyle name="Note 2 6 2 10 3" xfId="16950"/>
    <cellStyle name="Note 2 6 2 10 3 2" xfId="37018"/>
    <cellStyle name="Note 2 6 2 10 4" xfId="28458"/>
    <cellStyle name="Note 2 6 2 11" xfId="8269"/>
    <cellStyle name="Note 2 6 2 11 2" xfId="8270"/>
    <cellStyle name="Note 2 6 2 11 2 2" xfId="21149"/>
    <cellStyle name="Note 2 6 2 11 2 2 2" xfId="41217"/>
    <cellStyle name="Note 2 6 2 11 2 3" xfId="28461"/>
    <cellStyle name="Note 2 6 2 11 3" xfId="17095"/>
    <cellStyle name="Note 2 6 2 11 3 2" xfId="37163"/>
    <cellStyle name="Note 2 6 2 11 4" xfId="28460"/>
    <cellStyle name="Note 2 6 2 12" xfId="8271"/>
    <cellStyle name="Note 2 6 2 12 2" xfId="8272"/>
    <cellStyle name="Note 2 6 2 12 2 2" xfId="21150"/>
    <cellStyle name="Note 2 6 2 12 2 2 2" xfId="41218"/>
    <cellStyle name="Note 2 6 2 12 2 3" xfId="28463"/>
    <cellStyle name="Note 2 6 2 12 3" xfId="17267"/>
    <cellStyle name="Note 2 6 2 12 3 2" xfId="37335"/>
    <cellStyle name="Note 2 6 2 12 4" xfId="28462"/>
    <cellStyle name="Note 2 6 2 13" xfId="8273"/>
    <cellStyle name="Note 2 6 2 13 2" xfId="8274"/>
    <cellStyle name="Note 2 6 2 13 2 2" xfId="21151"/>
    <cellStyle name="Note 2 6 2 13 2 2 2" xfId="41219"/>
    <cellStyle name="Note 2 6 2 13 2 3" xfId="28465"/>
    <cellStyle name="Note 2 6 2 13 3" xfId="17431"/>
    <cellStyle name="Note 2 6 2 13 3 2" xfId="37499"/>
    <cellStyle name="Note 2 6 2 13 4" xfId="28464"/>
    <cellStyle name="Note 2 6 2 14" xfId="8275"/>
    <cellStyle name="Note 2 6 2 14 2" xfId="8276"/>
    <cellStyle name="Note 2 6 2 14 2 2" xfId="21152"/>
    <cellStyle name="Note 2 6 2 14 2 2 2" xfId="41220"/>
    <cellStyle name="Note 2 6 2 14 2 3" xfId="28467"/>
    <cellStyle name="Note 2 6 2 14 3" xfId="17557"/>
    <cellStyle name="Note 2 6 2 14 3 2" xfId="37625"/>
    <cellStyle name="Note 2 6 2 14 4" xfId="28466"/>
    <cellStyle name="Note 2 6 2 15" xfId="8277"/>
    <cellStyle name="Note 2 6 2 15 2" xfId="8278"/>
    <cellStyle name="Note 2 6 2 15 2 2" xfId="21153"/>
    <cellStyle name="Note 2 6 2 15 2 2 2" xfId="41221"/>
    <cellStyle name="Note 2 6 2 15 2 3" xfId="28469"/>
    <cellStyle name="Note 2 6 2 15 3" xfId="17637"/>
    <cellStyle name="Note 2 6 2 15 3 2" xfId="37705"/>
    <cellStyle name="Note 2 6 2 15 4" xfId="28468"/>
    <cellStyle name="Note 2 6 2 16" xfId="8279"/>
    <cellStyle name="Note 2 6 2 16 2" xfId="8280"/>
    <cellStyle name="Note 2 6 2 16 2 2" xfId="21154"/>
    <cellStyle name="Note 2 6 2 16 2 2 2" xfId="41222"/>
    <cellStyle name="Note 2 6 2 16 2 3" xfId="28471"/>
    <cellStyle name="Note 2 6 2 16 3" xfId="17807"/>
    <cellStyle name="Note 2 6 2 16 3 2" xfId="37875"/>
    <cellStyle name="Note 2 6 2 16 4" xfId="28470"/>
    <cellStyle name="Note 2 6 2 17" xfId="8281"/>
    <cellStyle name="Note 2 6 2 17 2" xfId="8282"/>
    <cellStyle name="Note 2 6 2 17 2 2" xfId="21155"/>
    <cellStyle name="Note 2 6 2 17 2 2 2" xfId="41223"/>
    <cellStyle name="Note 2 6 2 17 2 3" xfId="28473"/>
    <cellStyle name="Note 2 6 2 17 3" xfId="17945"/>
    <cellStyle name="Note 2 6 2 17 3 2" xfId="38013"/>
    <cellStyle name="Note 2 6 2 17 4" xfId="28472"/>
    <cellStyle name="Note 2 6 2 18" xfId="8283"/>
    <cellStyle name="Note 2 6 2 18 2" xfId="8284"/>
    <cellStyle name="Note 2 6 2 18 2 2" xfId="21156"/>
    <cellStyle name="Note 2 6 2 18 2 2 2" xfId="41224"/>
    <cellStyle name="Note 2 6 2 18 2 3" xfId="28475"/>
    <cellStyle name="Note 2 6 2 18 3" xfId="18084"/>
    <cellStyle name="Note 2 6 2 18 3 2" xfId="38152"/>
    <cellStyle name="Note 2 6 2 18 4" xfId="28474"/>
    <cellStyle name="Note 2 6 2 19" xfId="8285"/>
    <cellStyle name="Note 2 6 2 19 2" xfId="8286"/>
    <cellStyle name="Note 2 6 2 19 2 2" xfId="21157"/>
    <cellStyle name="Note 2 6 2 19 2 2 2" xfId="41225"/>
    <cellStyle name="Note 2 6 2 19 2 3" xfId="28477"/>
    <cellStyle name="Note 2 6 2 19 3" xfId="18202"/>
    <cellStyle name="Note 2 6 2 19 3 2" xfId="38270"/>
    <cellStyle name="Note 2 6 2 19 4" xfId="28476"/>
    <cellStyle name="Note 2 6 2 2" xfId="8287"/>
    <cellStyle name="Note 2 6 2 2 2" xfId="8288"/>
    <cellStyle name="Note 2 6 2 2 2 2" xfId="21158"/>
    <cellStyle name="Note 2 6 2 2 2 2 2" xfId="41226"/>
    <cellStyle name="Note 2 6 2 2 2 3" xfId="28479"/>
    <cellStyle name="Note 2 6 2 2 3" xfId="14670"/>
    <cellStyle name="Note 2 6 2 2 3 2" xfId="34738"/>
    <cellStyle name="Note 2 6 2 2 4" xfId="28478"/>
    <cellStyle name="Note 2 6 2 20" xfId="8289"/>
    <cellStyle name="Note 2 6 2 20 2" xfId="8290"/>
    <cellStyle name="Note 2 6 2 20 2 2" xfId="21159"/>
    <cellStyle name="Note 2 6 2 20 2 2 2" xfId="41227"/>
    <cellStyle name="Note 2 6 2 20 2 3" xfId="28481"/>
    <cellStyle name="Note 2 6 2 20 3" xfId="16247"/>
    <cellStyle name="Note 2 6 2 20 3 2" xfId="36315"/>
    <cellStyle name="Note 2 6 2 20 4" xfId="28480"/>
    <cellStyle name="Note 2 6 2 21" xfId="8291"/>
    <cellStyle name="Note 2 6 2 21 2" xfId="8292"/>
    <cellStyle name="Note 2 6 2 21 2 2" xfId="21160"/>
    <cellStyle name="Note 2 6 2 21 2 2 2" xfId="41228"/>
    <cellStyle name="Note 2 6 2 21 2 3" xfId="28483"/>
    <cellStyle name="Note 2 6 2 21 3" xfId="18407"/>
    <cellStyle name="Note 2 6 2 21 3 2" xfId="38475"/>
    <cellStyle name="Note 2 6 2 21 4" xfId="28482"/>
    <cellStyle name="Note 2 6 2 22" xfId="8293"/>
    <cellStyle name="Note 2 6 2 22 2" xfId="8294"/>
    <cellStyle name="Note 2 6 2 22 2 2" xfId="21161"/>
    <cellStyle name="Note 2 6 2 22 2 2 2" xfId="41229"/>
    <cellStyle name="Note 2 6 2 22 2 3" xfId="28485"/>
    <cellStyle name="Note 2 6 2 22 3" xfId="18540"/>
    <cellStyle name="Note 2 6 2 22 3 2" xfId="38608"/>
    <cellStyle name="Note 2 6 2 22 4" xfId="28484"/>
    <cellStyle name="Note 2 6 2 23" xfId="8295"/>
    <cellStyle name="Note 2 6 2 23 2" xfId="8296"/>
    <cellStyle name="Note 2 6 2 23 2 2" xfId="21162"/>
    <cellStyle name="Note 2 6 2 23 2 2 2" xfId="41230"/>
    <cellStyle name="Note 2 6 2 23 2 3" xfId="28487"/>
    <cellStyle name="Note 2 6 2 23 3" xfId="18651"/>
    <cellStyle name="Note 2 6 2 23 3 2" xfId="38719"/>
    <cellStyle name="Note 2 6 2 23 4" xfId="28486"/>
    <cellStyle name="Note 2 6 2 24" xfId="8297"/>
    <cellStyle name="Note 2 6 2 24 2" xfId="8298"/>
    <cellStyle name="Note 2 6 2 24 2 2" xfId="21163"/>
    <cellStyle name="Note 2 6 2 24 2 2 2" xfId="41231"/>
    <cellStyle name="Note 2 6 2 24 2 3" xfId="28489"/>
    <cellStyle name="Note 2 6 2 24 3" xfId="18751"/>
    <cellStyle name="Note 2 6 2 24 3 2" xfId="38819"/>
    <cellStyle name="Note 2 6 2 24 4" xfId="28488"/>
    <cellStyle name="Note 2 6 2 25" xfId="8299"/>
    <cellStyle name="Note 2 6 2 25 2" xfId="8300"/>
    <cellStyle name="Note 2 6 2 25 2 2" xfId="21164"/>
    <cellStyle name="Note 2 6 2 25 2 2 2" xfId="41232"/>
    <cellStyle name="Note 2 6 2 25 2 3" xfId="28491"/>
    <cellStyle name="Note 2 6 2 25 3" xfId="18851"/>
    <cellStyle name="Note 2 6 2 25 3 2" xfId="38919"/>
    <cellStyle name="Note 2 6 2 25 4" xfId="28490"/>
    <cellStyle name="Note 2 6 2 26" xfId="8301"/>
    <cellStyle name="Note 2 6 2 26 2" xfId="21147"/>
    <cellStyle name="Note 2 6 2 26 2 2" xfId="41215"/>
    <cellStyle name="Note 2 6 2 26 3" xfId="28492"/>
    <cellStyle name="Note 2 6 2 27" xfId="14133"/>
    <cellStyle name="Note 2 6 2 27 2" xfId="34201"/>
    <cellStyle name="Note 2 6 2 28" xfId="28457"/>
    <cellStyle name="Note 2 6 2 3" xfId="8302"/>
    <cellStyle name="Note 2 6 2 3 2" xfId="8303"/>
    <cellStyle name="Note 2 6 2 3 2 2" xfId="21165"/>
    <cellStyle name="Note 2 6 2 3 2 2 2" xfId="41233"/>
    <cellStyle name="Note 2 6 2 3 2 3" xfId="28494"/>
    <cellStyle name="Note 2 6 2 3 3" xfId="14794"/>
    <cellStyle name="Note 2 6 2 3 3 2" xfId="34862"/>
    <cellStyle name="Note 2 6 2 3 4" xfId="28493"/>
    <cellStyle name="Note 2 6 2 4" xfId="8304"/>
    <cellStyle name="Note 2 6 2 4 2" xfId="8305"/>
    <cellStyle name="Note 2 6 2 4 2 2" xfId="21166"/>
    <cellStyle name="Note 2 6 2 4 2 2 2" xfId="41234"/>
    <cellStyle name="Note 2 6 2 4 2 3" xfId="28496"/>
    <cellStyle name="Note 2 6 2 4 3" xfId="14919"/>
    <cellStyle name="Note 2 6 2 4 3 2" xfId="34987"/>
    <cellStyle name="Note 2 6 2 4 4" xfId="28495"/>
    <cellStyle name="Note 2 6 2 5" xfId="8306"/>
    <cellStyle name="Note 2 6 2 5 2" xfId="8307"/>
    <cellStyle name="Note 2 6 2 5 2 2" xfId="21167"/>
    <cellStyle name="Note 2 6 2 5 2 2 2" xfId="41235"/>
    <cellStyle name="Note 2 6 2 5 2 3" xfId="28498"/>
    <cellStyle name="Note 2 6 2 5 3" xfId="15088"/>
    <cellStyle name="Note 2 6 2 5 3 2" xfId="35156"/>
    <cellStyle name="Note 2 6 2 5 4" xfId="28497"/>
    <cellStyle name="Note 2 6 2 6" xfId="8308"/>
    <cellStyle name="Note 2 6 2 6 2" xfId="8309"/>
    <cellStyle name="Note 2 6 2 6 2 2" xfId="21168"/>
    <cellStyle name="Note 2 6 2 6 2 2 2" xfId="41236"/>
    <cellStyle name="Note 2 6 2 6 2 3" xfId="28500"/>
    <cellStyle name="Note 2 6 2 6 3" xfId="14248"/>
    <cellStyle name="Note 2 6 2 6 3 2" xfId="34316"/>
    <cellStyle name="Note 2 6 2 6 4" xfId="28499"/>
    <cellStyle name="Note 2 6 2 7" xfId="8310"/>
    <cellStyle name="Note 2 6 2 7 2" xfId="8311"/>
    <cellStyle name="Note 2 6 2 7 2 2" xfId="21169"/>
    <cellStyle name="Note 2 6 2 7 2 2 2" xfId="41237"/>
    <cellStyle name="Note 2 6 2 7 2 3" xfId="28502"/>
    <cellStyle name="Note 2 6 2 7 3" xfId="15220"/>
    <cellStyle name="Note 2 6 2 7 3 2" xfId="35288"/>
    <cellStyle name="Note 2 6 2 7 4" xfId="28501"/>
    <cellStyle name="Note 2 6 2 8" xfId="8312"/>
    <cellStyle name="Note 2 6 2 8 2" xfId="8313"/>
    <cellStyle name="Note 2 6 2 8 2 2" xfId="21170"/>
    <cellStyle name="Note 2 6 2 8 2 2 2" xfId="41238"/>
    <cellStyle name="Note 2 6 2 8 2 3" xfId="28504"/>
    <cellStyle name="Note 2 6 2 8 3" xfId="16585"/>
    <cellStyle name="Note 2 6 2 8 3 2" xfId="36653"/>
    <cellStyle name="Note 2 6 2 8 4" xfId="28503"/>
    <cellStyle name="Note 2 6 2 9" xfId="8314"/>
    <cellStyle name="Note 2 6 2 9 2" xfId="8315"/>
    <cellStyle name="Note 2 6 2 9 2 2" xfId="21171"/>
    <cellStyle name="Note 2 6 2 9 2 2 2" xfId="41239"/>
    <cellStyle name="Note 2 6 2 9 2 3" xfId="28506"/>
    <cellStyle name="Note 2 6 2 9 3" xfId="16789"/>
    <cellStyle name="Note 2 6 2 9 3 2" xfId="36857"/>
    <cellStyle name="Note 2 6 2 9 4" xfId="28505"/>
    <cellStyle name="Note 2 6 20" xfId="8316"/>
    <cellStyle name="Note 2 6 20 2" xfId="8317"/>
    <cellStyle name="Note 2 6 20 2 2" xfId="21172"/>
    <cellStyle name="Note 2 6 20 2 2 2" xfId="41240"/>
    <cellStyle name="Note 2 6 20 2 3" xfId="28508"/>
    <cellStyle name="Note 2 6 20 3" xfId="17740"/>
    <cellStyle name="Note 2 6 20 3 2" xfId="37808"/>
    <cellStyle name="Note 2 6 20 4" xfId="28507"/>
    <cellStyle name="Note 2 6 21" xfId="8318"/>
    <cellStyle name="Note 2 6 21 2" xfId="8319"/>
    <cellStyle name="Note 2 6 21 2 2" xfId="21173"/>
    <cellStyle name="Note 2 6 21 2 2 2" xfId="41241"/>
    <cellStyle name="Note 2 6 21 2 3" xfId="28510"/>
    <cellStyle name="Note 2 6 21 3" xfId="17868"/>
    <cellStyle name="Note 2 6 21 3 2" xfId="37936"/>
    <cellStyle name="Note 2 6 21 4" xfId="28509"/>
    <cellStyle name="Note 2 6 22" xfId="8320"/>
    <cellStyle name="Note 2 6 22 2" xfId="8321"/>
    <cellStyle name="Note 2 6 22 2 2" xfId="21174"/>
    <cellStyle name="Note 2 6 22 2 2 2" xfId="41242"/>
    <cellStyle name="Note 2 6 22 2 3" xfId="28512"/>
    <cellStyle name="Note 2 6 22 3" xfId="15922"/>
    <cellStyle name="Note 2 6 22 3 2" xfId="35990"/>
    <cellStyle name="Note 2 6 22 4" xfId="28511"/>
    <cellStyle name="Note 2 6 23" xfId="8322"/>
    <cellStyle name="Note 2 6 23 2" xfId="8323"/>
    <cellStyle name="Note 2 6 23 2 2" xfId="21175"/>
    <cellStyle name="Note 2 6 23 2 2 2" xfId="41243"/>
    <cellStyle name="Note 2 6 23 2 3" xfId="28514"/>
    <cellStyle name="Note 2 6 23 3" xfId="18309"/>
    <cellStyle name="Note 2 6 23 3 2" xfId="38377"/>
    <cellStyle name="Note 2 6 23 4" xfId="28513"/>
    <cellStyle name="Note 2 6 24" xfId="8324"/>
    <cellStyle name="Note 2 6 24 2" xfId="8325"/>
    <cellStyle name="Note 2 6 24 2 2" xfId="21176"/>
    <cellStyle name="Note 2 6 24 2 2 2" xfId="41244"/>
    <cellStyle name="Note 2 6 24 2 3" xfId="28516"/>
    <cellStyle name="Note 2 6 24 3" xfId="15849"/>
    <cellStyle name="Note 2 6 24 3 2" xfId="35917"/>
    <cellStyle name="Note 2 6 24 4" xfId="28515"/>
    <cellStyle name="Note 2 6 25" xfId="8326"/>
    <cellStyle name="Note 2 6 25 2" xfId="8327"/>
    <cellStyle name="Note 2 6 25 2 2" xfId="21177"/>
    <cellStyle name="Note 2 6 25 2 2 2" xfId="41245"/>
    <cellStyle name="Note 2 6 25 2 3" xfId="28518"/>
    <cellStyle name="Note 2 6 25 3" xfId="18332"/>
    <cellStyle name="Note 2 6 25 3 2" xfId="38400"/>
    <cellStyle name="Note 2 6 25 4" xfId="28517"/>
    <cellStyle name="Note 2 6 26" xfId="8328"/>
    <cellStyle name="Note 2 6 26 2" xfId="8329"/>
    <cellStyle name="Note 2 6 26 2 2" xfId="21178"/>
    <cellStyle name="Note 2 6 26 2 2 2" xfId="41246"/>
    <cellStyle name="Note 2 6 26 2 3" xfId="28520"/>
    <cellStyle name="Note 2 6 26 3" xfId="18478"/>
    <cellStyle name="Note 2 6 26 3 2" xfId="38546"/>
    <cellStyle name="Note 2 6 26 4" xfId="28519"/>
    <cellStyle name="Note 2 6 27" xfId="8330"/>
    <cellStyle name="Note 2 6 27 2" xfId="8331"/>
    <cellStyle name="Note 2 6 27 2 2" xfId="21179"/>
    <cellStyle name="Note 2 6 27 2 2 2" xfId="41247"/>
    <cellStyle name="Note 2 6 27 2 3" xfId="28522"/>
    <cellStyle name="Note 2 6 27 3" xfId="18591"/>
    <cellStyle name="Note 2 6 27 3 2" xfId="38659"/>
    <cellStyle name="Note 2 6 27 4" xfId="28521"/>
    <cellStyle name="Note 2 6 28" xfId="8332"/>
    <cellStyle name="Note 2 6 28 2" xfId="21136"/>
    <cellStyle name="Note 2 6 28 2 2" xfId="41204"/>
    <cellStyle name="Note 2 6 28 3" xfId="28523"/>
    <cellStyle name="Note 2 6 29" xfId="13901"/>
    <cellStyle name="Note 2 6 29 2" xfId="33969"/>
    <cellStyle name="Note 2 6 3" xfId="8333"/>
    <cellStyle name="Note 2 6 3 2" xfId="8334"/>
    <cellStyle name="Note 2 6 3 2 2" xfId="21180"/>
    <cellStyle name="Note 2 6 3 2 2 2" xfId="41248"/>
    <cellStyle name="Note 2 6 3 2 3" xfId="28525"/>
    <cellStyle name="Note 2 6 3 3" xfId="14612"/>
    <cellStyle name="Note 2 6 3 3 2" xfId="34680"/>
    <cellStyle name="Note 2 6 3 4" xfId="28524"/>
    <cellStyle name="Note 2 6 30" xfId="28436"/>
    <cellStyle name="Note 2 6 4" xfId="8335"/>
    <cellStyle name="Note 2 6 4 2" xfId="8336"/>
    <cellStyle name="Note 2 6 4 2 2" xfId="21181"/>
    <cellStyle name="Note 2 6 4 2 2 2" xfId="41249"/>
    <cellStyle name="Note 2 6 4 2 3" xfId="28527"/>
    <cellStyle name="Note 2 6 4 3" xfId="14301"/>
    <cellStyle name="Note 2 6 4 3 2" xfId="34369"/>
    <cellStyle name="Note 2 6 4 4" xfId="28526"/>
    <cellStyle name="Note 2 6 5" xfId="8337"/>
    <cellStyle name="Note 2 6 5 2" xfId="8338"/>
    <cellStyle name="Note 2 6 5 2 2" xfId="21182"/>
    <cellStyle name="Note 2 6 5 2 2 2" xfId="41250"/>
    <cellStyle name="Note 2 6 5 2 3" xfId="28529"/>
    <cellStyle name="Note 2 6 5 3" xfId="14180"/>
    <cellStyle name="Note 2 6 5 3 2" xfId="34248"/>
    <cellStyle name="Note 2 6 5 4" xfId="28528"/>
    <cellStyle name="Note 2 6 6" xfId="8339"/>
    <cellStyle name="Note 2 6 6 2" xfId="8340"/>
    <cellStyle name="Note 2 6 6 2 2" xfId="21183"/>
    <cellStyle name="Note 2 6 6 2 2 2" xfId="41251"/>
    <cellStyle name="Note 2 6 6 2 3" xfId="28531"/>
    <cellStyle name="Note 2 6 6 3" xfId="14435"/>
    <cellStyle name="Note 2 6 6 3 2" xfId="34503"/>
    <cellStyle name="Note 2 6 6 4" xfId="28530"/>
    <cellStyle name="Note 2 6 7" xfId="8341"/>
    <cellStyle name="Note 2 6 7 2" xfId="8342"/>
    <cellStyle name="Note 2 6 7 2 2" xfId="21184"/>
    <cellStyle name="Note 2 6 7 2 2 2" xfId="41252"/>
    <cellStyle name="Note 2 6 7 2 3" xfId="28533"/>
    <cellStyle name="Note 2 6 7 3" xfId="14436"/>
    <cellStyle name="Note 2 6 7 3 2" xfId="34504"/>
    <cellStyle name="Note 2 6 7 4" xfId="28532"/>
    <cellStyle name="Note 2 6 8" xfId="8343"/>
    <cellStyle name="Note 2 6 8 2" xfId="8344"/>
    <cellStyle name="Note 2 6 8 2 2" xfId="21185"/>
    <cellStyle name="Note 2 6 8 2 2 2" xfId="41253"/>
    <cellStyle name="Note 2 6 8 2 3" xfId="28535"/>
    <cellStyle name="Note 2 6 8 3" xfId="15150"/>
    <cellStyle name="Note 2 6 8 3 2" xfId="35218"/>
    <cellStyle name="Note 2 6 8 4" xfId="28534"/>
    <cellStyle name="Note 2 6 9" xfId="8345"/>
    <cellStyle name="Note 2 6 9 2" xfId="8346"/>
    <cellStyle name="Note 2 6 9 2 2" xfId="21186"/>
    <cellStyle name="Note 2 6 9 2 2 2" xfId="41254"/>
    <cellStyle name="Note 2 6 9 2 3" xfId="28537"/>
    <cellStyle name="Note 2 6 9 3" xfId="15307"/>
    <cellStyle name="Note 2 6 9 3 2" xfId="35375"/>
    <cellStyle name="Note 2 6 9 4" xfId="28536"/>
    <cellStyle name="Note 2 7" xfId="8347"/>
    <cellStyle name="Note 2 7 10" xfId="8348"/>
    <cellStyle name="Note 2 7 10 2" xfId="8349"/>
    <cellStyle name="Note 2 7 10 2 2" xfId="21188"/>
    <cellStyle name="Note 2 7 10 2 2 2" xfId="41256"/>
    <cellStyle name="Note 2 7 10 2 3" xfId="28540"/>
    <cellStyle name="Note 2 7 10 3" xfId="16451"/>
    <cellStyle name="Note 2 7 10 3 2" xfId="36519"/>
    <cellStyle name="Note 2 7 10 4" xfId="28539"/>
    <cellStyle name="Note 2 7 11" xfId="8350"/>
    <cellStyle name="Note 2 7 11 2" xfId="8351"/>
    <cellStyle name="Note 2 7 11 2 2" xfId="21189"/>
    <cellStyle name="Note 2 7 11 2 2 2" xfId="41257"/>
    <cellStyle name="Note 2 7 11 2 3" xfId="28542"/>
    <cellStyle name="Note 2 7 11 3" xfId="16644"/>
    <cellStyle name="Note 2 7 11 3 2" xfId="36712"/>
    <cellStyle name="Note 2 7 11 4" xfId="28541"/>
    <cellStyle name="Note 2 7 12" xfId="8352"/>
    <cellStyle name="Note 2 7 12 2" xfId="8353"/>
    <cellStyle name="Note 2 7 12 2 2" xfId="21190"/>
    <cellStyle name="Note 2 7 12 2 2 2" xfId="41258"/>
    <cellStyle name="Note 2 7 12 2 3" xfId="28544"/>
    <cellStyle name="Note 2 7 12 3" xfId="16007"/>
    <cellStyle name="Note 2 7 12 3 2" xfId="36075"/>
    <cellStyle name="Note 2 7 12 4" xfId="28543"/>
    <cellStyle name="Note 2 7 13" xfId="8354"/>
    <cellStyle name="Note 2 7 13 2" xfId="8355"/>
    <cellStyle name="Note 2 7 13 2 2" xfId="21191"/>
    <cellStyle name="Note 2 7 13 2 2 2" xfId="41259"/>
    <cellStyle name="Note 2 7 13 2 3" xfId="28546"/>
    <cellStyle name="Note 2 7 13 3" xfId="15710"/>
    <cellStyle name="Note 2 7 13 3 2" xfId="35778"/>
    <cellStyle name="Note 2 7 13 4" xfId="28545"/>
    <cellStyle name="Note 2 7 14" xfId="8356"/>
    <cellStyle name="Note 2 7 14 2" xfId="8357"/>
    <cellStyle name="Note 2 7 14 2 2" xfId="21192"/>
    <cellStyle name="Note 2 7 14 2 2 2" xfId="41260"/>
    <cellStyle name="Note 2 7 14 2 3" xfId="28548"/>
    <cellStyle name="Note 2 7 14 3" xfId="16381"/>
    <cellStyle name="Note 2 7 14 3 2" xfId="36449"/>
    <cellStyle name="Note 2 7 14 4" xfId="28547"/>
    <cellStyle name="Note 2 7 15" xfId="8358"/>
    <cellStyle name="Note 2 7 15 2" xfId="8359"/>
    <cellStyle name="Note 2 7 15 2 2" xfId="21193"/>
    <cellStyle name="Note 2 7 15 2 2 2" xfId="41261"/>
    <cellStyle name="Note 2 7 15 2 3" xfId="28550"/>
    <cellStyle name="Note 2 7 15 3" xfId="15405"/>
    <cellStyle name="Note 2 7 15 3 2" xfId="35473"/>
    <cellStyle name="Note 2 7 15 4" xfId="28549"/>
    <cellStyle name="Note 2 7 16" xfId="8360"/>
    <cellStyle name="Note 2 7 16 2" xfId="8361"/>
    <cellStyle name="Note 2 7 16 2 2" xfId="21194"/>
    <cellStyle name="Note 2 7 16 2 2 2" xfId="41262"/>
    <cellStyle name="Note 2 7 16 2 3" xfId="28552"/>
    <cellStyle name="Note 2 7 16 3" xfId="16196"/>
    <cellStyle name="Note 2 7 16 3 2" xfId="36264"/>
    <cellStyle name="Note 2 7 16 4" xfId="28551"/>
    <cellStyle name="Note 2 7 17" xfId="8362"/>
    <cellStyle name="Note 2 7 17 2" xfId="8363"/>
    <cellStyle name="Note 2 7 17 2 2" xfId="21195"/>
    <cellStyle name="Note 2 7 17 2 2 2" xfId="41263"/>
    <cellStyle name="Note 2 7 17 2 3" xfId="28554"/>
    <cellStyle name="Note 2 7 17 3" xfId="15956"/>
    <cellStyle name="Note 2 7 17 3 2" xfId="36024"/>
    <cellStyle name="Note 2 7 17 4" xfId="28553"/>
    <cellStyle name="Note 2 7 18" xfId="8364"/>
    <cellStyle name="Note 2 7 18 2" xfId="8365"/>
    <cellStyle name="Note 2 7 18 2 2" xfId="21196"/>
    <cellStyle name="Note 2 7 18 2 2 2" xfId="41264"/>
    <cellStyle name="Note 2 7 18 2 3" xfId="28556"/>
    <cellStyle name="Note 2 7 18 3" xfId="16033"/>
    <cellStyle name="Note 2 7 18 3 2" xfId="36101"/>
    <cellStyle name="Note 2 7 18 4" xfId="28555"/>
    <cellStyle name="Note 2 7 19" xfId="8366"/>
    <cellStyle name="Note 2 7 19 2" xfId="8367"/>
    <cellStyle name="Note 2 7 19 2 2" xfId="21197"/>
    <cellStyle name="Note 2 7 19 2 2 2" xfId="41265"/>
    <cellStyle name="Note 2 7 19 2 3" xfId="28558"/>
    <cellStyle name="Note 2 7 19 3" xfId="16398"/>
    <cellStyle name="Note 2 7 19 3 2" xfId="36466"/>
    <cellStyle name="Note 2 7 19 4" xfId="28557"/>
    <cellStyle name="Note 2 7 2" xfId="8368"/>
    <cellStyle name="Note 2 7 2 10" xfId="8369"/>
    <cellStyle name="Note 2 7 2 10 2" xfId="8370"/>
    <cellStyle name="Note 2 7 2 10 2 2" xfId="21199"/>
    <cellStyle name="Note 2 7 2 10 2 2 2" xfId="41267"/>
    <cellStyle name="Note 2 7 2 10 2 3" xfId="28561"/>
    <cellStyle name="Note 2 7 2 10 3" xfId="16951"/>
    <cellStyle name="Note 2 7 2 10 3 2" xfId="37019"/>
    <cellStyle name="Note 2 7 2 10 4" xfId="28560"/>
    <cellStyle name="Note 2 7 2 11" xfId="8371"/>
    <cellStyle name="Note 2 7 2 11 2" xfId="8372"/>
    <cellStyle name="Note 2 7 2 11 2 2" xfId="21200"/>
    <cellStyle name="Note 2 7 2 11 2 2 2" xfId="41268"/>
    <cellStyle name="Note 2 7 2 11 2 3" xfId="28563"/>
    <cellStyle name="Note 2 7 2 11 3" xfId="17096"/>
    <cellStyle name="Note 2 7 2 11 3 2" xfId="37164"/>
    <cellStyle name="Note 2 7 2 11 4" xfId="28562"/>
    <cellStyle name="Note 2 7 2 12" xfId="8373"/>
    <cellStyle name="Note 2 7 2 12 2" xfId="8374"/>
    <cellStyle name="Note 2 7 2 12 2 2" xfId="21201"/>
    <cellStyle name="Note 2 7 2 12 2 2 2" xfId="41269"/>
    <cellStyle name="Note 2 7 2 12 2 3" xfId="28565"/>
    <cellStyle name="Note 2 7 2 12 3" xfId="17268"/>
    <cellStyle name="Note 2 7 2 12 3 2" xfId="37336"/>
    <cellStyle name="Note 2 7 2 12 4" xfId="28564"/>
    <cellStyle name="Note 2 7 2 13" xfId="8375"/>
    <cellStyle name="Note 2 7 2 13 2" xfId="8376"/>
    <cellStyle name="Note 2 7 2 13 2 2" xfId="21202"/>
    <cellStyle name="Note 2 7 2 13 2 2 2" xfId="41270"/>
    <cellStyle name="Note 2 7 2 13 2 3" xfId="28567"/>
    <cellStyle name="Note 2 7 2 13 3" xfId="17432"/>
    <cellStyle name="Note 2 7 2 13 3 2" xfId="37500"/>
    <cellStyle name="Note 2 7 2 13 4" xfId="28566"/>
    <cellStyle name="Note 2 7 2 14" xfId="8377"/>
    <cellStyle name="Note 2 7 2 14 2" xfId="8378"/>
    <cellStyle name="Note 2 7 2 14 2 2" xfId="21203"/>
    <cellStyle name="Note 2 7 2 14 2 2 2" xfId="41271"/>
    <cellStyle name="Note 2 7 2 14 2 3" xfId="28569"/>
    <cellStyle name="Note 2 7 2 14 3" xfId="17558"/>
    <cellStyle name="Note 2 7 2 14 3 2" xfId="37626"/>
    <cellStyle name="Note 2 7 2 14 4" xfId="28568"/>
    <cellStyle name="Note 2 7 2 15" xfId="8379"/>
    <cellStyle name="Note 2 7 2 15 2" xfId="8380"/>
    <cellStyle name="Note 2 7 2 15 2 2" xfId="21204"/>
    <cellStyle name="Note 2 7 2 15 2 2 2" xfId="41272"/>
    <cellStyle name="Note 2 7 2 15 2 3" xfId="28571"/>
    <cellStyle name="Note 2 7 2 15 3" xfId="15496"/>
    <cellStyle name="Note 2 7 2 15 3 2" xfId="35564"/>
    <cellStyle name="Note 2 7 2 15 4" xfId="28570"/>
    <cellStyle name="Note 2 7 2 16" xfId="8381"/>
    <cellStyle name="Note 2 7 2 16 2" xfId="8382"/>
    <cellStyle name="Note 2 7 2 16 2 2" xfId="21205"/>
    <cellStyle name="Note 2 7 2 16 2 2 2" xfId="41273"/>
    <cellStyle name="Note 2 7 2 16 2 3" xfId="28573"/>
    <cellStyle name="Note 2 7 2 16 3" xfId="17808"/>
    <cellStyle name="Note 2 7 2 16 3 2" xfId="37876"/>
    <cellStyle name="Note 2 7 2 16 4" xfId="28572"/>
    <cellStyle name="Note 2 7 2 17" xfId="8383"/>
    <cellStyle name="Note 2 7 2 17 2" xfId="8384"/>
    <cellStyle name="Note 2 7 2 17 2 2" xfId="21206"/>
    <cellStyle name="Note 2 7 2 17 2 2 2" xfId="41274"/>
    <cellStyle name="Note 2 7 2 17 2 3" xfId="28575"/>
    <cellStyle name="Note 2 7 2 17 3" xfId="17946"/>
    <cellStyle name="Note 2 7 2 17 3 2" xfId="38014"/>
    <cellStyle name="Note 2 7 2 17 4" xfId="28574"/>
    <cellStyle name="Note 2 7 2 18" xfId="8385"/>
    <cellStyle name="Note 2 7 2 18 2" xfId="8386"/>
    <cellStyle name="Note 2 7 2 18 2 2" xfId="21207"/>
    <cellStyle name="Note 2 7 2 18 2 2 2" xfId="41275"/>
    <cellStyle name="Note 2 7 2 18 2 3" xfId="28577"/>
    <cellStyle name="Note 2 7 2 18 3" xfId="18085"/>
    <cellStyle name="Note 2 7 2 18 3 2" xfId="38153"/>
    <cellStyle name="Note 2 7 2 18 4" xfId="28576"/>
    <cellStyle name="Note 2 7 2 19" xfId="8387"/>
    <cellStyle name="Note 2 7 2 19 2" xfId="8388"/>
    <cellStyle name="Note 2 7 2 19 2 2" xfId="21208"/>
    <cellStyle name="Note 2 7 2 19 2 2 2" xfId="41276"/>
    <cellStyle name="Note 2 7 2 19 2 3" xfId="28579"/>
    <cellStyle name="Note 2 7 2 19 3" xfId="18203"/>
    <cellStyle name="Note 2 7 2 19 3 2" xfId="38271"/>
    <cellStyle name="Note 2 7 2 19 4" xfId="28578"/>
    <cellStyle name="Note 2 7 2 2" xfId="8389"/>
    <cellStyle name="Note 2 7 2 2 2" xfId="8390"/>
    <cellStyle name="Note 2 7 2 2 2 2" xfId="21209"/>
    <cellStyle name="Note 2 7 2 2 2 2 2" xfId="41277"/>
    <cellStyle name="Note 2 7 2 2 2 3" xfId="28581"/>
    <cellStyle name="Note 2 7 2 2 3" xfId="14671"/>
    <cellStyle name="Note 2 7 2 2 3 2" xfId="34739"/>
    <cellStyle name="Note 2 7 2 2 4" xfId="28580"/>
    <cellStyle name="Note 2 7 2 20" xfId="8391"/>
    <cellStyle name="Note 2 7 2 20 2" xfId="8392"/>
    <cellStyle name="Note 2 7 2 20 2 2" xfId="21210"/>
    <cellStyle name="Note 2 7 2 20 2 2 2" xfId="41278"/>
    <cellStyle name="Note 2 7 2 20 2 3" xfId="28583"/>
    <cellStyle name="Note 2 7 2 20 3" xfId="16422"/>
    <cellStyle name="Note 2 7 2 20 3 2" xfId="36490"/>
    <cellStyle name="Note 2 7 2 20 4" xfId="28582"/>
    <cellStyle name="Note 2 7 2 21" xfId="8393"/>
    <cellStyle name="Note 2 7 2 21 2" xfId="8394"/>
    <cellStyle name="Note 2 7 2 21 2 2" xfId="21211"/>
    <cellStyle name="Note 2 7 2 21 2 2 2" xfId="41279"/>
    <cellStyle name="Note 2 7 2 21 2 3" xfId="28585"/>
    <cellStyle name="Note 2 7 2 21 3" xfId="18408"/>
    <cellStyle name="Note 2 7 2 21 3 2" xfId="38476"/>
    <cellStyle name="Note 2 7 2 21 4" xfId="28584"/>
    <cellStyle name="Note 2 7 2 22" xfId="8395"/>
    <cellStyle name="Note 2 7 2 22 2" xfId="8396"/>
    <cellStyle name="Note 2 7 2 22 2 2" xfId="21212"/>
    <cellStyle name="Note 2 7 2 22 2 2 2" xfId="41280"/>
    <cellStyle name="Note 2 7 2 22 2 3" xfId="28587"/>
    <cellStyle name="Note 2 7 2 22 3" xfId="18541"/>
    <cellStyle name="Note 2 7 2 22 3 2" xfId="38609"/>
    <cellStyle name="Note 2 7 2 22 4" xfId="28586"/>
    <cellStyle name="Note 2 7 2 23" xfId="8397"/>
    <cellStyle name="Note 2 7 2 23 2" xfId="8398"/>
    <cellStyle name="Note 2 7 2 23 2 2" xfId="21213"/>
    <cellStyle name="Note 2 7 2 23 2 2 2" xfId="41281"/>
    <cellStyle name="Note 2 7 2 23 2 3" xfId="28589"/>
    <cellStyle name="Note 2 7 2 23 3" xfId="18652"/>
    <cellStyle name="Note 2 7 2 23 3 2" xfId="38720"/>
    <cellStyle name="Note 2 7 2 23 4" xfId="28588"/>
    <cellStyle name="Note 2 7 2 24" xfId="8399"/>
    <cellStyle name="Note 2 7 2 24 2" xfId="8400"/>
    <cellStyle name="Note 2 7 2 24 2 2" xfId="21214"/>
    <cellStyle name="Note 2 7 2 24 2 2 2" xfId="41282"/>
    <cellStyle name="Note 2 7 2 24 2 3" xfId="28591"/>
    <cellStyle name="Note 2 7 2 24 3" xfId="18752"/>
    <cellStyle name="Note 2 7 2 24 3 2" xfId="38820"/>
    <cellStyle name="Note 2 7 2 24 4" xfId="28590"/>
    <cellStyle name="Note 2 7 2 25" xfId="8401"/>
    <cellStyle name="Note 2 7 2 25 2" xfId="8402"/>
    <cellStyle name="Note 2 7 2 25 2 2" xfId="21215"/>
    <cellStyle name="Note 2 7 2 25 2 2 2" xfId="41283"/>
    <cellStyle name="Note 2 7 2 25 2 3" xfId="28593"/>
    <cellStyle name="Note 2 7 2 25 3" xfId="18852"/>
    <cellStyle name="Note 2 7 2 25 3 2" xfId="38920"/>
    <cellStyle name="Note 2 7 2 25 4" xfId="28592"/>
    <cellStyle name="Note 2 7 2 26" xfId="8403"/>
    <cellStyle name="Note 2 7 2 26 2" xfId="21198"/>
    <cellStyle name="Note 2 7 2 26 2 2" xfId="41266"/>
    <cellStyle name="Note 2 7 2 26 3" xfId="28594"/>
    <cellStyle name="Note 2 7 2 27" xfId="14139"/>
    <cellStyle name="Note 2 7 2 27 2" xfId="34207"/>
    <cellStyle name="Note 2 7 2 28" xfId="28559"/>
    <cellStyle name="Note 2 7 2 3" xfId="8404"/>
    <cellStyle name="Note 2 7 2 3 2" xfId="8405"/>
    <cellStyle name="Note 2 7 2 3 2 2" xfId="21216"/>
    <cellStyle name="Note 2 7 2 3 2 2 2" xfId="41284"/>
    <cellStyle name="Note 2 7 2 3 2 3" xfId="28596"/>
    <cellStyle name="Note 2 7 2 3 3" xfId="14795"/>
    <cellStyle name="Note 2 7 2 3 3 2" xfId="34863"/>
    <cellStyle name="Note 2 7 2 3 4" xfId="28595"/>
    <cellStyle name="Note 2 7 2 4" xfId="8406"/>
    <cellStyle name="Note 2 7 2 4 2" xfId="8407"/>
    <cellStyle name="Note 2 7 2 4 2 2" xfId="21217"/>
    <cellStyle name="Note 2 7 2 4 2 2 2" xfId="41285"/>
    <cellStyle name="Note 2 7 2 4 2 3" xfId="28598"/>
    <cellStyle name="Note 2 7 2 4 3" xfId="14920"/>
    <cellStyle name="Note 2 7 2 4 3 2" xfId="34988"/>
    <cellStyle name="Note 2 7 2 4 4" xfId="28597"/>
    <cellStyle name="Note 2 7 2 5" xfId="8408"/>
    <cellStyle name="Note 2 7 2 5 2" xfId="8409"/>
    <cellStyle name="Note 2 7 2 5 2 2" xfId="21218"/>
    <cellStyle name="Note 2 7 2 5 2 2 2" xfId="41286"/>
    <cellStyle name="Note 2 7 2 5 2 3" xfId="28600"/>
    <cellStyle name="Note 2 7 2 5 3" xfId="15089"/>
    <cellStyle name="Note 2 7 2 5 3 2" xfId="35157"/>
    <cellStyle name="Note 2 7 2 5 4" xfId="28599"/>
    <cellStyle name="Note 2 7 2 6" xfId="8410"/>
    <cellStyle name="Note 2 7 2 6 2" xfId="8411"/>
    <cellStyle name="Note 2 7 2 6 2 2" xfId="21219"/>
    <cellStyle name="Note 2 7 2 6 2 2 2" xfId="41287"/>
    <cellStyle name="Note 2 7 2 6 2 3" xfId="28602"/>
    <cellStyle name="Note 2 7 2 6 3" xfId="14290"/>
    <cellStyle name="Note 2 7 2 6 3 2" xfId="34358"/>
    <cellStyle name="Note 2 7 2 6 4" xfId="28601"/>
    <cellStyle name="Note 2 7 2 7" xfId="8412"/>
    <cellStyle name="Note 2 7 2 7 2" xfId="8413"/>
    <cellStyle name="Note 2 7 2 7 2 2" xfId="21220"/>
    <cellStyle name="Note 2 7 2 7 2 2 2" xfId="41288"/>
    <cellStyle name="Note 2 7 2 7 2 3" xfId="28604"/>
    <cellStyle name="Note 2 7 2 7 3" xfId="15221"/>
    <cellStyle name="Note 2 7 2 7 3 2" xfId="35289"/>
    <cellStyle name="Note 2 7 2 7 4" xfId="28603"/>
    <cellStyle name="Note 2 7 2 8" xfId="8414"/>
    <cellStyle name="Note 2 7 2 8 2" xfId="8415"/>
    <cellStyle name="Note 2 7 2 8 2 2" xfId="21221"/>
    <cellStyle name="Note 2 7 2 8 2 2 2" xfId="41289"/>
    <cellStyle name="Note 2 7 2 8 2 3" xfId="28606"/>
    <cellStyle name="Note 2 7 2 8 3" xfId="16586"/>
    <cellStyle name="Note 2 7 2 8 3 2" xfId="36654"/>
    <cellStyle name="Note 2 7 2 8 4" xfId="28605"/>
    <cellStyle name="Note 2 7 2 9" xfId="8416"/>
    <cellStyle name="Note 2 7 2 9 2" xfId="8417"/>
    <cellStyle name="Note 2 7 2 9 2 2" xfId="21222"/>
    <cellStyle name="Note 2 7 2 9 2 2 2" xfId="41290"/>
    <cellStyle name="Note 2 7 2 9 2 3" xfId="28608"/>
    <cellStyle name="Note 2 7 2 9 3" xfId="16790"/>
    <cellStyle name="Note 2 7 2 9 3 2" xfId="36858"/>
    <cellStyle name="Note 2 7 2 9 4" xfId="28607"/>
    <cellStyle name="Note 2 7 20" xfId="8418"/>
    <cellStyle name="Note 2 7 20 2" xfId="8419"/>
    <cellStyle name="Note 2 7 20 2 2" xfId="21223"/>
    <cellStyle name="Note 2 7 20 2 2 2" xfId="41291"/>
    <cellStyle name="Note 2 7 20 2 3" xfId="28610"/>
    <cellStyle name="Note 2 7 20 3" xfId="15460"/>
    <cellStyle name="Note 2 7 20 3 2" xfId="35528"/>
    <cellStyle name="Note 2 7 20 4" xfId="28609"/>
    <cellStyle name="Note 2 7 21" xfId="8420"/>
    <cellStyle name="Note 2 7 21 2" xfId="8421"/>
    <cellStyle name="Note 2 7 21 2 2" xfId="21224"/>
    <cellStyle name="Note 2 7 21 2 2 2" xfId="41292"/>
    <cellStyle name="Note 2 7 21 2 3" xfId="28612"/>
    <cellStyle name="Note 2 7 21 3" xfId="16049"/>
    <cellStyle name="Note 2 7 21 3 2" xfId="36117"/>
    <cellStyle name="Note 2 7 21 4" xfId="28611"/>
    <cellStyle name="Note 2 7 22" xfId="8422"/>
    <cellStyle name="Note 2 7 22 2" xfId="8423"/>
    <cellStyle name="Note 2 7 22 2 2" xfId="21225"/>
    <cellStyle name="Note 2 7 22 2 2 2" xfId="41293"/>
    <cellStyle name="Note 2 7 22 2 3" xfId="28614"/>
    <cellStyle name="Note 2 7 22 3" xfId="15575"/>
    <cellStyle name="Note 2 7 22 3 2" xfId="35643"/>
    <cellStyle name="Note 2 7 22 4" xfId="28613"/>
    <cellStyle name="Note 2 7 23" xfId="8424"/>
    <cellStyle name="Note 2 7 23 2" xfId="8425"/>
    <cellStyle name="Note 2 7 23 2 2" xfId="21226"/>
    <cellStyle name="Note 2 7 23 2 2 2" xfId="41294"/>
    <cellStyle name="Note 2 7 23 2 3" xfId="28616"/>
    <cellStyle name="Note 2 7 23 3" xfId="15590"/>
    <cellStyle name="Note 2 7 23 3 2" xfId="35658"/>
    <cellStyle name="Note 2 7 23 4" xfId="28615"/>
    <cellStyle name="Note 2 7 24" xfId="8426"/>
    <cellStyle name="Note 2 7 24 2" xfId="8427"/>
    <cellStyle name="Note 2 7 24 2 2" xfId="21227"/>
    <cellStyle name="Note 2 7 24 2 2 2" xfId="41295"/>
    <cellStyle name="Note 2 7 24 2 3" xfId="28618"/>
    <cellStyle name="Note 2 7 24 3" xfId="16696"/>
    <cellStyle name="Note 2 7 24 3 2" xfId="36764"/>
    <cellStyle name="Note 2 7 24 4" xfId="28617"/>
    <cellStyle name="Note 2 7 25" xfId="8428"/>
    <cellStyle name="Note 2 7 25 2" xfId="8429"/>
    <cellStyle name="Note 2 7 25 2 2" xfId="21228"/>
    <cellStyle name="Note 2 7 25 2 2 2" xfId="41296"/>
    <cellStyle name="Note 2 7 25 2 3" xfId="28620"/>
    <cellStyle name="Note 2 7 25 3" xfId="16192"/>
    <cellStyle name="Note 2 7 25 3 2" xfId="36260"/>
    <cellStyle name="Note 2 7 25 4" xfId="28619"/>
    <cellStyle name="Note 2 7 26" xfId="8430"/>
    <cellStyle name="Note 2 7 26 2" xfId="8431"/>
    <cellStyle name="Note 2 7 26 2 2" xfId="21229"/>
    <cellStyle name="Note 2 7 26 2 2 2" xfId="41297"/>
    <cellStyle name="Note 2 7 26 2 3" xfId="28622"/>
    <cellStyle name="Note 2 7 26 3" xfId="18285"/>
    <cellStyle name="Note 2 7 26 3 2" xfId="38353"/>
    <cellStyle name="Note 2 7 26 4" xfId="28621"/>
    <cellStyle name="Note 2 7 27" xfId="8432"/>
    <cellStyle name="Note 2 7 27 2" xfId="8433"/>
    <cellStyle name="Note 2 7 27 2 2" xfId="21230"/>
    <cellStyle name="Note 2 7 27 2 2 2" xfId="41298"/>
    <cellStyle name="Note 2 7 27 2 3" xfId="28624"/>
    <cellStyle name="Note 2 7 27 3" xfId="16410"/>
    <cellStyle name="Note 2 7 27 3 2" xfId="36478"/>
    <cellStyle name="Note 2 7 27 4" xfId="28623"/>
    <cellStyle name="Note 2 7 28" xfId="8434"/>
    <cellStyle name="Note 2 7 28 2" xfId="21187"/>
    <cellStyle name="Note 2 7 28 2 2" xfId="41255"/>
    <cellStyle name="Note 2 7 28 3" xfId="28625"/>
    <cellStyle name="Note 2 7 29" xfId="13902"/>
    <cellStyle name="Note 2 7 29 2" xfId="33970"/>
    <cellStyle name="Note 2 7 3" xfId="8435"/>
    <cellStyle name="Note 2 7 3 2" xfId="8436"/>
    <cellStyle name="Note 2 7 3 2 2" xfId="21231"/>
    <cellStyle name="Note 2 7 3 2 2 2" xfId="41299"/>
    <cellStyle name="Note 2 7 3 2 3" xfId="28627"/>
    <cellStyle name="Note 2 7 3 3" xfId="14420"/>
    <cellStyle name="Note 2 7 3 3 2" xfId="34488"/>
    <cellStyle name="Note 2 7 3 4" xfId="28626"/>
    <cellStyle name="Note 2 7 30" xfId="28538"/>
    <cellStyle name="Note 2 7 4" xfId="8437"/>
    <cellStyle name="Note 2 7 4 2" xfId="8438"/>
    <cellStyle name="Note 2 7 4 2 2" xfId="21232"/>
    <cellStyle name="Note 2 7 4 2 2 2" xfId="41300"/>
    <cellStyle name="Note 2 7 4 2 3" xfId="28629"/>
    <cellStyle name="Note 2 7 4 3" xfId="14535"/>
    <cellStyle name="Note 2 7 4 3 2" xfId="34603"/>
    <cellStyle name="Note 2 7 4 4" xfId="28628"/>
    <cellStyle name="Note 2 7 5" xfId="8439"/>
    <cellStyle name="Note 2 7 5 2" xfId="8440"/>
    <cellStyle name="Note 2 7 5 2 2" xfId="21233"/>
    <cellStyle name="Note 2 7 5 2 2 2" xfId="41301"/>
    <cellStyle name="Note 2 7 5 2 3" xfId="28631"/>
    <cellStyle name="Note 2 7 5 3" xfId="14125"/>
    <cellStyle name="Note 2 7 5 3 2" xfId="34193"/>
    <cellStyle name="Note 2 7 5 4" xfId="28630"/>
    <cellStyle name="Note 2 7 6" xfId="8441"/>
    <cellStyle name="Note 2 7 6 2" xfId="8442"/>
    <cellStyle name="Note 2 7 6 2 2" xfId="21234"/>
    <cellStyle name="Note 2 7 6 2 2 2" xfId="41302"/>
    <cellStyle name="Note 2 7 6 2 3" xfId="28633"/>
    <cellStyle name="Note 2 7 6 3" xfId="14146"/>
    <cellStyle name="Note 2 7 6 3 2" xfId="34214"/>
    <cellStyle name="Note 2 7 6 4" xfId="28632"/>
    <cellStyle name="Note 2 7 7" xfId="8443"/>
    <cellStyle name="Note 2 7 7 2" xfId="8444"/>
    <cellStyle name="Note 2 7 7 2 2" xfId="21235"/>
    <cellStyle name="Note 2 7 7 2 2 2" xfId="41303"/>
    <cellStyle name="Note 2 7 7 2 3" xfId="28635"/>
    <cellStyle name="Note 2 7 7 3" xfId="14161"/>
    <cellStyle name="Note 2 7 7 3 2" xfId="34229"/>
    <cellStyle name="Note 2 7 7 4" xfId="28634"/>
    <cellStyle name="Note 2 7 8" xfId="8445"/>
    <cellStyle name="Note 2 7 8 2" xfId="8446"/>
    <cellStyle name="Note 2 7 8 2 2" xfId="21236"/>
    <cellStyle name="Note 2 7 8 2 2 2" xfId="41304"/>
    <cellStyle name="Note 2 7 8 2 3" xfId="28637"/>
    <cellStyle name="Note 2 7 8 3" xfId="13988"/>
    <cellStyle name="Note 2 7 8 3 2" xfId="34056"/>
    <cellStyle name="Note 2 7 8 4" xfId="28636"/>
    <cellStyle name="Note 2 7 9" xfId="8447"/>
    <cellStyle name="Note 2 7 9 2" xfId="8448"/>
    <cellStyle name="Note 2 7 9 2 2" xfId="21237"/>
    <cellStyle name="Note 2 7 9 2 2 2" xfId="41305"/>
    <cellStyle name="Note 2 7 9 2 3" xfId="28639"/>
    <cellStyle name="Note 2 7 9 3" xfId="15308"/>
    <cellStyle name="Note 2 7 9 3 2" xfId="35376"/>
    <cellStyle name="Note 2 7 9 4" xfId="28638"/>
    <cellStyle name="Note 2 8" xfId="8449"/>
    <cellStyle name="Note 2 8 10" xfId="8450"/>
    <cellStyle name="Note 2 8 10 2" xfId="8451"/>
    <cellStyle name="Note 2 8 10 2 2" xfId="21239"/>
    <cellStyle name="Note 2 8 10 2 2 2" xfId="41307"/>
    <cellStyle name="Note 2 8 10 2 3" xfId="28642"/>
    <cellStyle name="Note 2 8 10 3" xfId="16452"/>
    <cellStyle name="Note 2 8 10 3 2" xfId="36520"/>
    <cellStyle name="Note 2 8 10 4" xfId="28641"/>
    <cellStyle name="Note 2 8 11" xfId="8452"/>
    <cellStyle name="Note 2 8 11 2" xfId="8453"/>
    <cellStyle name="Note 2 8 11 2 2" xfId="21240"/>
    <cellStyle name="Note 2 8 11 2 2 2" xfId="41308"/>
    <cellStyle name="Note 2 8 11 2 3" xfId="28644"/>
    <cellStyle name="Note 2 8 11 3" xfId="16645"/>
    <cellStyle name="Note 2 8 11 3 2" xfId="36713"/>
    <cellStyle name="Note 2 8 11 4" xfId="28643"/>
    <cellStyle name="Note 2 8 12" xfId="8454"/>
    <cellStyle name="Note 2 8 12 2" xfId="8455"/>
    <cellStyle name="Note 2 8 12 2 2" xfId="21241"/>
    <cellStyle name="Note 2 8 12 2 2 2" xfId="41309"/>
    <cellStyle name="Note 2 8 12 2 3" xfId="28646"/>
    <cellStyle name="Note 2 8 12 3" xfId="16008"/>
    <cellStyle name="Note 2 8 12 3 2" xfId="36076"/>
    <cellStyle name="Note 2 8 12 4" xfId="28645"/>
    <cellStyle name="Note 2 8 13" xfId="8456"/>
    <cellStyle name="Note 2 8 13 2" xfId="8457"/>
    <cellStyle name="Note 2 8 13 2 2" xfId="21242"/>
    <cellStyle name="Note 2 8 13 2 2 2" xfId="41310"/>
    <cellStyle name="Note 2 8 13 2 3" xfId="28648"/>
    <cellStyle name="Note 2 8 13 3" xfId="16707"/>
    <cellStyle name="Note 2 8 13 3 2" xfId="36775"/>
    <cellStyle name="Note 2 8 13 4" xfId="28647"/>
    <cellStyle name="Note 2 8 14" xfId="8458"/>
    <cellStyle name="Note 2 8 14 2" xfId="8459"/>
    <cellStyle name="Note 2 8 14 2 2" xfId="21243"/>
    <cellStyle name="Note 2 8 14 2 2 2" xfId="41311"/>
    <cellStyle name="Note 2 8 14 2 3" xfId="28650"/>
    <cellStyle name="Note 2 8 14 3" xfId="15759"/>
    <cellStyle name="Note 2 8 14 3 2" xfId="35827"/>
    <cellStyle name="Note 2 8 14 4" xfId="28649"/>
    <cellStyle name="Note 2 8 15" xfId="8460"/>
    <cellStyle name="Note 2 8 15 2" xfId="8461"/>
    <cellStyle name="Note 2 8 15 2 2" xfId="21244"/>
    <cellStyle name="Note 2 8 15 2 2 2" xfId="41312"/>
    <cellStyle name="Note 2 8 15 2 3" xfId="28652"/>
    <cellStyle name="Note 2 8 15 3" xfId="15652"/>
    <cellStyle name="Note 2 8 15 3 2" xfId="35720"/>
    <cellStyle name="Note 2 8 15 4" xfId="28651"/>
    <cellStyle name="Note 2 8 16" xfId="8462"/>
    <cellStyle name="Note 2 8 16 2" xfId="8463"/>
    <cellStyle name="Note 2 8 16 2 2" xfId="21245"/>
    <cellStyle name="Note 2 8 16 2 2 2" xfId="41313"/>
    <cellStyle name="Note 2 8 16 2 3" xfId="28654"/>
    <cellStyle name="Note 2 8 16 3" xfId="15868"/>
    <cellStyle name="Note 2 8 16 3 2" xfId="35936"/>
    <cellStyle name="Note 2 8 16 4" xfId="28653"/>
    <cellStyle name="Note 2 8 17" xfId="8464"/>
    <cellStyle name="Note 2 8 17 2" xfId="8465"/>
    <cellStyle name="Note 2 8 17 2 2" xfId="21246"/>
    <cellStyle name="Note 2 8 17 2 2 2" xfId="41314"/>
    <cellStyle name="Note 2 8 17 2 3" xfId="28656"/>
    <cellStyle name="Note 2 8 17 3" xfId="15507"/>
    <cellStyle name="Note 2 8 17 3 2" xfId="35575"/>
    <cellStyle name="Note 2 8 17 4" xfId="28655"/>
    <cellStyle name="Note 2 8 18" xfId="8466"/>
    <cellStyle name="Note 2 8 18 2" xfId="8467"/>
    <cellStyle name="Note 2 8 18 2 2" xfId="21247"/>
    <cellStyle name="Note 2 8 18 2 2 2" xfId="41315"/>
    <cellStyle name="Note 2 8 18 2 3" xfId="28658"/>
    <cellStyle name="Note 2 8 18 3" xfId="17171"/>
    <cellStyle name="Note 2 8 18 3 2" xfId="37239"/>
    <cellStyle name="Note 2 8 18 4" xfId="28657"/>
    <cellStyle name="Note 2 8 19" xfId="8468"/>
    <cellStyle name="Note 2 8 19 2" xfId="8469"/>
    <cellStyle name="Note 2 8 19 2 2" xfId="21248"/>
    <cellStyle name="Note 2 8 19 2 2 2" xfId="41316"/>
    <cellStyle name="Note 2 8 19 2 3" xfId="28660"/>
    <cellStyle name="Note 2 8 19 3" xfId="15729"/>
    <cellStyle name="Note 2 8 19 3 2" xfId="35797"/>
    <cellStyle name="Note 2 8 19 4" xfId="28659"/>
    <cellStyle name="Note 2 8 2" xfId="8470"/>
    <cellStyle name="Note 2 8 2 10" xfId="8471"/>
    <cellStyle name="Note 2 8 2 10 2" xfId="8472"/>
    <cellStyle name="Note 2 8 2 10 2 2" xfId="21250"/>
    <cellStyle name="Note 2 8 2 10 2 2 2" xfId="41318"/>
    <cellStyle name="Note 2 8 2 10 2 3" xfId="28663"/>
    <cellStyle name="Note 2 8 2 10 3" xfId="16952"/>
    <cellStyle name="Note 2 8 2 10 3 2" xfId="37020"/>
    <cellStyle name="Note 2 8 2 10 4" xfId="28662"/>
    <cellStyle name="Note 2 8 2 11" xfId="8473"/>
    <cellStyle name="Note 2 8 2 11 2" xfId="8474"/>
    <cellStyle name="Note 2 8 2 11 2 2" xfId="21251"/>
    <cellStyle name="Note 2 8 2 11 2 2 2" xfId="41319"/>
    <cellStyle name="Note 2 8 2 11 2 3" xfId="28665"/>
    <cellStyle name="Note 2 8 2 11 3" xfId="17097"/>
    <cellStyle name="Note 2 8 2 11 3 2" xfId="37165"/>
    <cellStyle name="Note 2 8 2 11 4" xfId="28664"/>
    <cellStyle name="Note 2 8 2 12" xfId="8475"/>
    <cellStyle name="Note 2 8 2 12 2" xfId="8476"/>
    <cellStyle name="Note 2 8 2 12 2 2" xfId="21252"/>
    <cellStyle name="Note 2 8 2 12 2 2 2" xfId="41320"/>
    <cellStyle name="Note 2 8 2 12 2 3" xfId="28667"/>
    <cellStyle name="Note 2 8 2 12 3" xfId="17269"/>
    <cellStyle name="Note 2 8 2 12 3 2" xfId="37337"/>
    <cellStyle name="Note 2 8 2 12 4" xfId="28666"/>
    <cellStyle name="Note 2 8 2 13" xfId="8477"/>
    <cellStyle name="Note 2 8 2 13 2" xfId="8478"/>
    <cellStyle name="Note 2 8 2 13 2 2" xfId="21253"/>
    <cellStyle name="Note 2 8 2 13 2 2 2" xfId="41321"/>
    <cellStyle name="Note 2 8 2 13 2 3" xfId="28669"/>
    <cellStyle name="Note 2 8 2 13 3" xfId="17433"/>
    <cellStyle name="Note 2 8 2 13 3 2" xfId="37501"/>
    <cellStyle name="Note 2 8 2 13 4" xfId="28668"/>
    <cellStyle name="Note 2 8 2 14" xfId="8479"/>
    <cellStyle name="Note 2 8 2 14 2" xfId="8480"/>
    <cellStyle name="Note 2 8 2 14 2 2" xfId="21254"/>
    <cellStyle name="Note 2 8 2 14 2 2 2" xfId="41322"/>
    <cellStyle name="Note 2 8 2 14 2 3" xfId="28671"/>
    <cellStyle name="Note 2 8 2 14 3" xfId="17559"/>
    <cellStyle name="Note 2 8 2 14 3 2" xfId="37627"/>
    <cellStyle name="Note 2 8 2 14 4" xfId="28670"/>
    <cellStyle name="Note 2 8 2 15" xfId="8481"/>
    <cellStyle name="Note 2 8 2 15 2" xfId="8482"/>
    <cellStyle name="Note 2 8 2 15 2 2" xfId="21255"/>
    <cellStyle name="Note 2 8 2 15 2 2 2" xfId="41323"/>
    <cellStyle name="Note 2 8 2 15 2 3" xfId="28673"/>
    <cellStyle name="Note 2 8 2 15 3" xfId="16898"/>
    <cellStyle name="Note 2 8 2 15 3 2" xfId="36966"/>
    <cellStyle name="Note 2 8 2 15 4" xfId="28672"/>
    <cellStyle name="Note 2 8 2 16" xfId="8483"/>
    <cellStyle name="Note 2 8 2 16 2" xfId="8484"/>
    <cellStyle name="Note 2 8 2 16 2 2" xfId="21256"/>
    <cellStyle name="Note 2 8 2 16 2 2 2" xfId="41324"/>
    <cellStyle name="Note 2 8 2 16 2 3" xfId="28675"/>
    <cellStyle name="Note 2 8 2 16 3" xfId="17809"/>
    <cellStyle name="Note 2 8 2 16 3 2" xfId="37877"/>
    <cellStyle name="Note 2 8 2 16 4" xfId="28674"/>
    <cellStyle name="Note 2 8 2 17" xfId="8485"/>
    <cellStyle name="Note 2 8 2 17 2" xfId="8486"/>
    <cellStyle name="Note 2 8 2 17 2 2" xfId="21257"/>
    <cellStyle name="Note 2 8 2 17 2 2 2" xfId="41325"/>
    <cellStyle name="Note 2 8 2 17 2 3" xfId="28677"/>
    <cellStyle name="Note 2 8 2 17 3" xfId="17947"/>
    <cellStyle name="Note 2 8 2 17 3 2" xfId="38015"/>
    <cellStyle name="Note 2 8 2 17 4" xfId="28676"/>
    <cellStyle name="Note 2 8 2 18" xfId="8487"/>
    <cellStyle name="Note 2 8 2 18 2" xfId="8488"/>
    <cellStyle name="Note 2 8 2 18 2 2" xfId="21258"/>
    <cellStyle name="Note 2 8 2 18 2 2 2" xfId="41326"/>
    <cellStyle name="Note 2 8 2 18 2 3" xfId="28679"/>
    <cellStyle name="Note 2 8 2 18 3" xfId="18086"/>
    <cellStyle name="Note 2 8 2 18 3 2" xfId="38154"/>
    <cellStyle name="Note 2 8 2 18 4" xfId="28678"/>
    <cellStyle name="Note 2 8 2 19" xfId="8489"/>
    <cellStyle name="Note 2 8 2 19 2" xfId="8490"/>
    <cellStyle name="Note 2 8 2 19 2 2" xfId="21259"/>
    <cellStyle name="Note 2 8 2 19 2 2 2" xfId="41327"/>
    <cellStyle name="Note 2 8 2 19 2 3" xfId="28681"/>
    <cellStyle name="Note 2 8 2 19 3" xfId="18204"/>
    <cellStyle name="Note 2 8 2 19 3 2" xfId="38272"/>
    <cellStyle name="Note 2 8 2 19 4" xfId="28680"/>
    <cellStyle name="Note 2 8 2 2" xfId="8491"/>
    <cellStyle name="Note 2 8 2 2 2" xfId="8492"/>
    <cellStyle name="Note 2 8 2 2 2 2" xfId="21260"/>
    <cellStyle name="Note 2 8 2 2 2 2 2" xfId="41328"/>
    <cellStyle name="Note 2 8 2 2 2 3" xfId="28683"/>
    <cellStyle name="Note 2 8 2 2 3" xfId="14672"/>
    <cellStyle name="Note 2 8 2 2 3 2" xfId="34740"/>
    <cellStyle name="Note 2 8 2 2 4" xfId="28682"/>
    <cellStyle name="Note 2 8 2 20" xfId="8493"/>
    <cellStyle name="Note 2 8 2 20 2" xfId="8494"/>
    <cellStyle name="Note 2 8 2 20 2 2" xfId="21261"/>
    <cellStyle name="Note 2 8 2 20 2 2 2" xfId="41329"/>
    <cellStyle name="Note 2 8 2 20 2 3" xfId="28685"/>
    <cellStyle name="Note 2 8 2 20 3" xfId="17146"/>
    <cellStyle name="Note 2 8 2 20 3 2" xfId="37214"/>
    <cellStyle name="Note 2 8 2 20 4" xfId="28684"/>
    <cellStyle name="Note 2 8 2 21" xfId="8495"/>
    <cellStyle name="Note 2 8 2 21 2" xfId="8496"/>
    <cellStyle name="Note 2 8 2 21 2 2" xfId="21262"/>
    <cellStyle name="Note 2 8 2 21 2 2 2" xfId="41330"/>
    <cellStyle name="Note 2 8 2 21 2 3" xfId="28687"/>
    <cellStyle name="Note 2 8 2 21 3" xfId="18409"/>
    <cellStyle name="Note 2 8 2 21 3 2" xfId="38477"/>
    <cellStyle name="Note 2 8 2 21 4" xfId="28686"/>
    <cellStyle name="Note 2 8 2 22" xfId="8497"/>
    <cellStyle name="Note 2 8 2 22 2" xfId="8498"/>
    <cellStyle name="Note 2 8 2 22 2 2" xfId="21263"/>
    <cellStyle name="Note 2 8 2 22 2 2 2" xfId="41331"/>
    <cellStyle name="Note 2 8 2 22 2 3" xfId="28689"/>
    <cellStyle name="Note 2 8 2 22 3" xfId="18542"/>
    <cellStyle name="Note 2 8 2 22 3 2" xfId="38610"/>
    <cellStyle name="Note 2 8 2 22 4" xfId="28688"/>
    <cellStyle name="Note 2 8 2 23" xfId="8499"/>
    <cellStyle name="Note 2 8 2 23 2" xfId="8500"/>
    <cellStyle name="Note 2 8 2 23 2 2" xfId="21264"/>
    <cellStyle name="Note 2 8 2 23 2 2 2" xfId="41332"/>
    <cellStyle name="Note 2 8 2 23 2 3" xfId="28691"/>
    <cellStyle name="Note 2 8 2 23 3" xfId="18653"/>
    <cellStyle name="Note 2 8 2 23 3 2" xfId="38721"/>
    <cellStyle name="Note 2 8 2 23 4" xfId="28690"/>
    <cellStyle name="Note 2 8 2 24" xfId="8501"/>
    <cellStyle name="Note 2 8 2 24 2" xfId="8502"/>
    <cellStyle name="Note 2 8 2 24 2 2" xfId="21265"/>
    <cellStyle name="Note 2 8 2 24 2 2 2" xfId="41333"/>
    <cellStyle name="Note 2 8 2 24 2 3" xfId="28693"/>
    <cellStyle name="Note 2 8 2 24 3" xfId="18753"/>
    <cellStyle name="Note 2 8 2 24 3 2" xfId="38821"/>
    <cellStyle name="Note 2 8 2 24 4" xfId="28692"/>
    <cellStyle name="Note 2 8 2 25" xfId="8503"/>
    <cellStyle name="Note 2 8 2 25 2" xfId="8504"/>
    <cellStyle name="Note 2 8 2 25 2 2" xfId="21266"/>
    <cellStyle name="Note 2 8 2 25 2 2 2" xfId="41334"/>
    <cellStyle name="Note 2 8 2 25 2 3" xfId="28695"/>
    <cellStyle name="Note 2 8 2 25 3" xfId="18853"/>
    <cellStyle name="Note 2 8 2 25 3 2" xfId="38921"/>
    <cellStyle name="Note 2 8 2 25 4" xfId="28694"/>
    <cellStyle name="Note 2 8 2 26" xfId="8505"/>
    <cellStyle name="Note 2 8 2 26 2" xfId="21249"/>
    <cellStyle name="Note 2 8 2 26 2 2" xfId="41317"/>
    <cellStyle name="Note 2 8 2 26 3" xfId="28696"/>
    <cellStyle name="Note 2 8 2 27" xfId="14265"/>
    <cellStyle name="Note 2 8 2 27 2" xfId="34333"/>
    <cellStyle name="Note 2 8 2 28" xfId="28661"/>
    <cellStyle name="Note 2 8 2 3" xfId="8506"/>
    <cellStyle name="Note 2 8 2 3 2" xfId="8507"/>
    <cellStyle name="Note 2 8 2 3 2 2" xfId="21267"/>
    <cellStyle name="Note 2 8 2 3 2 2 2" xfId="41335"/>
    <cellStyle name="Note 2 8 2 3 2 3" xfId="28698"/>
    <cellStyle name="Note 2 8 2 3 3" xfId="14796"/>
    <cellStyle name="Note 2 8 2 3 3 2" xfId="34864"/>
    <cellStyle name="Note 2 8 2 3 4" xfId="28697"/>
    <cellStyle name="Note 2 8 2 4" xfId="8508"/>
    <cellStyle name="Note 2 8 2 4 2" xfId="8509"/>
    <cellStyle name="Note 2 8 2 4 2 2" xfId="21268"/>
    <cellStyle name="Note 2 8 2 4 2 2 2" xfId="41336"/>
    <cellStyle name="Note 2 8 2 4 2 3" xfId="28700"/>
    <cellStyle name="Note 2 8 2 4 3" xfId="14921"/>
    <cellStyle name="Note 2 8 2 4 3 2" xfId="34989"/>
    <cellStyle name="Note 2 8 2 4 4" xfId="28699"/>
    <cellStyle name="Note 2 8 2 5" xfId="8510"/>
    <cellStyle name="Note 2 8 2 5 2" xfId="8511"/>
    <cellStyle name="Note 2 8 2 5 2 2" xfId="21269"/>
    <cellStyle name="Note 2 8 2 5 2 2 2" xfId="41337"/>
    <cellStyle name="Note 2 8 2 5 2 3" xfId="28702"/>
    <cellStyle name="Note 2 8 2 5 3" xfId="15090"/>
    <cellStyle name="Note 2 8 2 5 3 2" xfId="35158"/>
    <cellStyle name="Note 2 8 2 5 4" xfId="28701"/>
    <cellStyle name="Note 2 8 2 6" xfId="8512"/>
    <cellStyle name="Note 2 8 2 6 2" xfId="8513"/>
    <cellStyle name="Note 2 8 2 6 2 2" xfId="21270"/>
    <cellStyle name="Note 2 8 2 6 2 2 2" xfId="41338"/>
    <cellStyle name="Note 2 8 2 6 2 3" xfId="28704"/>
    <cellStyle name="Note 2 8 2 6 3" xfId="14500"/>
    <cellStyle name="Note 2 8 2 6 3 2" xfId="34568"/>
    <cellStyle name="Note 2 8 2 6 4" xfId="28703"/>
    <cellStyle name="Note 2 8 2 7" xfId="8514"/>
    <cellStyle name="Note 2 8 2 7 2" xfId="8515"/>
    <cellStyle name="Note 2 8 2 7 2 2" xfId="21271"/>
    <cellStyle name="Note 2 8 2 7 2 2 2" xfId="41339"/>
    <cellStyle name="Note 2 8 2 7 2 3" xfId="28706"/>
    <cellStyle name="Note 2 8 2 7 3" xfId="15222"/>
    <cellStyle name="Note 2 8 2 7 3 2" xfId="35290"/>
    <cellStyle name="Note 2 8 2 7 4" xfId="28705"/>
    <cellStyle name="Note 2 8 2 8" xfId="8516"/>
    <cellStyle name="Note 2 8 2 8 2" xfId="8517"/>
    <cellStyle name="Note 2 8 2 8 2 2" xfId="21272"/>
    <cellStyle name="Note 2 8 2 8 2 2 2" xfId="41340"/>
    <cellStyle name="Note 2 8 2 8 2 3" xfId="28708"/>
    <cellStyle name="Note 2 8 2 8 3" xfId="16587"/>
    <cellStyle name="Note 2 8 2 8 3 2" xfId="36655"/>
    <cellStyle name="Note 2 8 2 8 4" xfId="28707"/>
    <cellStyle name="Note 2 8 2 9" xfId="8518"/>
    <cellStyle name="Note 2 8 2 9 2" xfId="8519"/>
    <cellStyle name="Note 2 8 2 9 2 2" xfId="21273"/>
    <cellStyle name="Note 2 8 2 9 2 2 2" xfId="41341"/>
    <cellStyle name="Note 2 8 2 9 2 3" xfId="28710"/>
    <cellStyle name="Note 2 8 2 9 3" xfId="16791"/>
    <cellStyle name="Note 2 8 2 9 3 2" xfId="36859"/>
    <cellStyle name="Note 2 8 2 9 4" xfId="28709"/>
    <cellStyle name="Note 2 8 20" xfId="8520"/>
    <cellStyle name="Note 2 8 20 2" xfId="8521"/>
    <cellStyle name="Note 2 8 20 2 2" xfId="21274"/>
    <cellStyle name="Note 2 8 20 2 2 2" xfId="41342"/>
    <cellStyle name="Note 2 8 20 2 3" xfId="28712"/>
    <cellStyle name="Note 2 8 20 3" xfId="16180"/>
    <cellStyle name="Note 2 8 20 3 2" xfId="36248"/>
    <cellStyle name="Note 2 8 20 4" xfId="28711"/>
    <cellStyle name="Note 2 8 21" xfId="8522"/>
    <cellStyle name="Note 2 8 21 2" xfId="8523"/>
    <cellStyle name="Note 2 8 21 2 2" xfId="21275"/>
    <cellStyle name="Note 2 8 21 2 2 2" xfId="41343"/>
    <cellStyle name="Note 2 8 21 2 3" xfId="28714"/>
    <cellStyle name="Note 2 8 21 3" xfId="17869"/>
    <cellStyle name="Note 2 8 21 3 2" xfId="37937"/>
    <cellStyle name="Note 2 8 21 4" xfId="28713"/>
    <cellStyle name="Note 2 8 22" xfId="8524"/>
    <cellStyle name="Note 2 8 22 2" xfId="8525"/>
    <cellStyle name="Note 2 8 22 2 2" xfId="21276"/>
    <cellStyle name="Note 2 8 22 2 2 2" xfId="41344"/>
    <cellStyle name="Note 2 8 22 2 3" xfId="28716"/>
    <cellStyle name="Note 2 8 22 3" xfId="15431"/>
    <cellStyle name="Note 2 8 22 3 2" xfId="35499"/>
    <cellStyle name="Note 2 8 22 4" xfId="28715"/>
    <cellStyle name="Note 2 8 23" xfId="8526"/>
    <cellStyle name="Note 2 8 23 2" xfId="8527"/>
    <cellStyle name="Note 2 8 23 2 2" xfId="21277"/>
    <cellStyle name="Note 2 8 23 2 2 2" xfId="41345"/>
    <cellStyle name="Note 2 8 23 2 3" xfId="28718"/>
    <cellStyle name="Note 2 8 23 3" xfId="18287"/>
    <cellStyle name="Note 2 8 23 3 2" xfId="38355"/>
    <cellStyle name="Note 2 8 23 4" xfId="28717"/>
    <cellStyle name="Note 2 8 24" xfId="8528"/>
    <cellStyle name="Note 2 8 24 2" xfId="8529"/>
    <cellStyle name="Note 2 8 24 2 2" xfId="21278"/>
    <cellStyle name="Note 2 8 24 2 2 2" xfId="41346"/>
    <cellStyle name="Note 2 8 24 2 3" xfId="28720"/>
    <cellStyle name="Note 2 8 24 3" xfId="16879"/>
    <cellStyle name="Note 2 8 24 3 2" xfId="36947"/>
    <cellStyle name="Note 2 8 24 4" xfId="28719"/>
    <cellStyle name="Note 2 8 25" xfId="8530"/>
    <cellStyle name="Note 2 8 25 2" xfId="8531"/>
    <cellStyle name="Note 2 8 25 2 2" xfId="21279"/>
    <cellStyle name="Note 2 8 25 2 2 2" xfId="41347"/>
    <cellStyle name="Note 2 8 25 2 3" xfId="28722"/>
    <cellStyle name="Note 2 8 25 3" xfId="18333"/>
    <cellStyle name="Note 2 8 25 3 2" xfId="38401"/>
    <cellStyle name="Note 2 8 25 4" xfId="28721"/>
    <cellStyle name="Note 2 8 26" xfId="8532"/>
    <cellStyle name="Note 2 8 26 2" xfId="8533"/>
    <cellStyle name="Note 2 8 26 2 2" xfId="21280"/>
    <cellStyle name="Note 2 8 26 2 2 2" xfId="41348"/>
    <cellStyle name="Note 2 8 26 2 3" xfId="28724"/>
    <cellStyle name="Note 2 8 26 3" xfId="18479"/>
    <cellStyle name="Note 2 8 26 3 2" xfId="38547"/>
    <cellStyle name="Note 2 8 26 4" xfId="28723"/>
    <cellStyle name="Note 2 8 27" xfId="8534"/>
    <cellStyle name="Note 2 8 27 2" xfId="8535"/>
    <cellStyle name="Note 2 8 27 2 2" xfId="21281"/>
    <cellStyle name="Note 2 8 27 2 2 2" xfId="41349"/>
    <cellStyle name="Note 2 8 27 2 3" xfId="28726"/>
    <cellStyle name="Note 2 8 27 3" xfId="18592"/>
    <cellStyle name="Note 2 8 27 3 2" xfId="38660"/>
    <cellStyle name="Note 2 8 27 4" xfId="28725"/>
    <cellStyle name="Note 2 8 28" xfId="8536"/>
    <cellStyle name="Note 2 8 28 2" xfId="21238"/>
    <cellStyle name="Note 2 8 28 2 2" xfId="41306"/>
    <cellStyle name="Note 2 8 28 3" xfId="28727"/>
    <cellStyle name="Note 2 8 29" xfId="13903"/>
    <cellStyle name="Note 2 8 29 2" xfId="33971"/>
    <cellStyle name="Note 2 8 3" xfId="8537"/>
    <cellStyle name="Note 2 8 3 2" xfId="8538"/>
    <cellStyle name="Note 2 8 3 2 2" xfId="21282"/>
    <cellStyle name="Note 2 8 3 2 2 2" xfId="41350"/>
    <cellStyle name="Note 2 8 3 2 3" xfId="28729"/>
    <cellStyle name="Note 2 8 3 3" xfId="14369"/>
    <cellStyle name="Note 2 8 3 3 2" xfId="34437"/>
    <cellStyle name="Note 2 8 3 4" xfId="28728"/>
    <cellStyle name="Note 2 8 30" xfId="28640"/>
    <cellStyle name="Note 2 8 4" xfId="8539"/>
    <cellStyle name="Note 2 8 4 2" xfId="8540"/>
    <cellStyle name="Note 2 8 4 2 2" xfId="21283"/>
    <cellStyle name="Note 2 8 4 2 2 2" xfId="41351"/>
    <cellStyle name="Note 2 8 4 2 3" xfId="28731"/>
    <cellStyle name="Note 2 8 4 3" xfId="14434"/>
    <cellStyle name="Note 2 8 4 3 2" xfId="34502"/>
    <cellStyle name="Note 2 8 4 4" xfId="28730"/>
    <cellStyle name="Note 2 8 5" xfId="8541"/>
    <cellStyle name="Note 2 8 5 2" xfId="8542"/>
    <cellStyle name="Note 2 8 5 2 2" xfId="21284"/>
    <cellStyle name="Note 2 8 5 2 2 2" xfId="41352"/>
    <cellStyle name="Note 2 8 5 2 3" xfId="28733"/>
    <cellStyle name="Note 2 8 5 3" xfId="14041"/>
    <cellStyle name="Note 2 8 5 3 2" xfId="34109"/>
    <cellStyle name="Note 2 8 5 4" xfId="28732"/>
    <cellStyle name="Note 2 8 6" xfId="8543"/>
    <cellStyle name="Note 2 8 6 2" xfId="8544"/>
    <cellStyle name="Note 2 8 6 2 2" xfId="21285"/>
    <cellStyle name="Note 2 8 6 2 2 2" xfId="41353"/>
    <cellStyle name="Note 2 8 6 2 3" xfId="28735"/>
    <cellStyle name="Note 2 8 6 3" xfId="14316"/>
    <cellStyle name="Note 2 8 6 3 2" xfId="34384"/>
    <cellStyle name="Note 2 8 6 4" xfId="28734"/>
    <cellStyle name="Note 2 8 7" xfId="8545"/>
    <cellStyle name="Note 2 8 7 2" xfId="8546"/>
    <cellStyle name="Note 2 8 7 2 2" xfId="21286"/>
    <cellStyle name="Note 2 8 7 2 2 2" xfId="41354"/>
    <cellStyle name="Note 2 8 7 2 3" xfId="28737"/>
    <cellStyle name="Note 2 8 7 3" xfId="14595"/>
    <cellStyle name="Note 2 8 7 3 2" xfId="34663"/>
    <cellStyle name="Note 2 8 7 4" xfId="28736"/>
    <cellStyle name="Note 2 8 8" xfId="8547"/>
    <cellStyle name="Note 2 8 8 2" xfId="8548"/>
    <cellStyle name="Note 2 8 8 2 2" xfId="21287"/>
    <cellStyle name="Note 2 8 8 2 2 2" xfId="41355"/>
    <cellStyle name="Note 2 8 8 2 3" xfId="28739"/>
    <cellStyle name="Note 2 8 8 3" xfId="14454"/>
    <cellStyle name="Note 2 8 8 3 2" xfId="34522"/>
    <cellStyle name="Note 2 8 8 4" xfId="28738"/>
    <cellStyle name="Note 2 8 9" xfId="8549"/>
    <cellStyle name="Note 2 8 9 2" xfId="8550"/>
    <cellStyle name="Note 2 8 9 2 2" xfId="21288"/>
    <cellStyle name="Note 2 8 9 2 2 2" xfId="41356"/>
    <cellStyle name="Note 2 8 9 2 3" xfId="28741"/>
    <cellStyle name="Note 2 8 9 3" xfId="15309"/>
    <cellStyle name="Note 2 8 9 3 2" xfId="35377"/>
    <cellStyle name="Note 2 8 9 4" xfId="28740"/>
    <cellStyle name="Note 2 9" xfId="8551"/>
    <cellStyle name="Note 2 9 10" xfId="8552"/>
    <cellStyle name="Note 2 9 10 2" xfId="8553"/>
    <cellStyle name="Note 2 9 10 2 2" xfId="21290"/>
    <cellStyle name="Note 2 9 10 2 2 2" xfId="41358"/>
    <cellStyle name="Note 2 9 10 2 3" xfId="28744"/>
    <cellStyle name="Note 2 9 10 3" xfId="16937"/>
    <cellStyle name="Note 2 9 10 3 2" xfId="37005"/>
    <cellStyle name="Note 2 9 10 4" xfId="28743"/>
    <cellStyle name="Note 2 9 11" xfId="8554"/>
    <cellStyle name="Note 2 9 11 2" xfId="8555"/>
    <cellStyle name="Note 2 9 11 2 2" xfId="21291"/>
    <cellStyle name="Note 2 9 11 2 2 2" xfId="41359"/>
    <cellStyle name="Note 2 9 11 2 3" xfId="28746"/>
    <cellStyle name="Note 2 9 11 3" xfId="17082"/>
    <cellStyle name="Note 2 9 11 3 2" xfId="37150"/>
    <cellStyle name="Note 2 9 11 4" xfId="28745"/>
    <cellStyle name="Note 2 9 12" xfId="8556"/>
    <cellStyle name="Note 2 9 12 2" xfId="8557"/>
    <cellStyle name="Note 2 9 12 2 2" xfId="21292"/>
    <cellStyle name="Note 2 9 12 2 2 2" xfId="41360"/>
    <cellStyle name="Note 2 9 12 2 3" xfId="28748"/>
    <cellStyle name="Note 2 9 12 3" xfId="17254"/>
    <cellStyle name="Note 2 9 12 3 2" xfId="37322"/>
    <cellStyle name="Note 2 9 12 4" xfId="28747"/>
    <cellStyle name="Note 2 9 13" xfId="8558"/>
    <cellStyle name="Note 2 9 13 2" xfId="8559"/>
    <cellStyle name="Note 2 9 13 2 2" xfId="21293"/>
    <cellStyle name="Note 2 9 13 2 2 2" xfId="41361"/>
    <cellStyle name="Note 2 9 13 2 3" xfId="28750"/>
    <cellStyle name="Note 2 9 13 3" xfId="17418"/>
    <cellStyle name="Note 2 9 13 3 2" xfId="37486"/>
    <cellStyle name="Note 2 9 13 4" xfId="28749"/>
    <cellStyle name="Note 2 9 14" xfId="8560"/>
    <cellStyle name="Note 2 9 14 2" xfId="8561"/>
    <cellStyle name="Note 2 9 14 2 2" xfId="21294"/>
    <cellStyle name="Note 2 9 14 2 2 2" xfId="41362"/>
    <cellStyle name="Note 2 9 14 2 3" xfId="28752"/>
    <cellStyle name="Note 2 9 14 3" xfId="17544"/>
    <cellStyle name="Note 2 9 14 3 2" xfId="37612"/>
    <cellStyle name="Note 2 9 14 4" xfId="28751"/>
    <cellStyle name="Note 2 9 15" xfId="8562"/>
    <cellStyle name="Note 2 9 15 2" xfId="8563"/>
    <cellStyle name="Note 2 9 15 2 2" xfId="21295"/>
    <cellStyle name="Note 2 9 15 2 2 2" xfId="41363"/>
    <cellStyle name="Note 2 9 15 2 3" xfId="28754"/>
    <cellStyle name="Note 2 9 15 3" xfId="17635"/>
    <cellStyle name="Note 2 9 15 3 2" xfId="37703"/>
    <cellStyle name="Note 2 9 15 4" xfId="28753"/>
    <cellStyle name="Note 2 9 16" xfId="8564"/>
    <cellStyle name="Note 2 9 16 2" xfId="8565"/>
    <cellStyle name="Note 2 9 16 2 2" xfId="21296"/>
    <cellStyle name="Note 2 9 16 2 2 2" xfId="41364"/>
    <cellStyle name="Note 2 9 16 2 3" xfId="28756"/>
    <cellStyle name="Note 2 9 16 3" xfId="17794"/>
    <cellStyle name="Note 2 9 16 3 2" xfId="37862"/>
    <cellStyle name="Note 2 9 16 4" xfId="28755"/>
    <cellStyle name="Note 2 9 17" xfId="8566"/>
    <cellStyle name="Note 2 9 17 2" xfId="8567"/>
    <cellStyle name="Note 2 9 17 2 2" xfId="21297"/>
    <cellStyle name="Note 2 9 17 2 2 2" xfId="41365"/>
    <cellStyle name="Note 2 9 17 2 3" xfId="28758"/>
    <cellStyle name="Note 2 9 17 3" xfId="17932"/>
    <cellStyle name="Note 2 9 17 3 2" xfId="38000"/>
    <cellStyle name="Note 2 9 17 4" xfId="28757"/>
    <cellStyle name="Note 2 9 18" xfId="8568"/>
    <cellStyle name="Note 2 9 18 2" xfId="8569"/>
    <cellStyle name="Note 2 9 18 2 2" xfId="21298"/>
    <cellStyle name="Note 2 9 18 2 2 2" xfId="41366"/>
    <cellStyle name="Note 2 9 18 2 3" xfId="28760"/>
    <cellStyle name="Note 2 9 18 3" xfId="18071"/>
    <cellStyle name="Note 2 9 18 3 2" xfId="38139"/>
    <cellStyle name="Note 2 9 18 4" xfId="28759"/>
    <cellStyle name="Note 2 9 19" xfId="8570"/>
    <cellStyle name="Note 2 9 19 2" xfId="8571"/>
    <cellStyle name="Note 2 9 19 2 2" xfId="21299"/>
    <cellStyle name="Note 2 9 19 2 2 2" xfId="41367"/>
    <cellStyle name="Note 2 9 19 2 3" xfId="28762"/>
    <cellStyle name="Note 2 9 19 3" xfId="18189"/>
    <cellStyle name="Note 2 9 19 3 2" xfId="38257"/>
    <cellStyle name="Note 2 9 19 4" xfId="28761"/>
    <cellStyle name="Note 2 9 2" xfId="8572"/>
    <cellStyle name="Note 2 9 2 2" xfId="8573"/>
    <cellStyle name="Note 2 9 2 2 2" xfId="21300"/>
    <cellStyle name="Note 2 9 2 2 2 2" xfId="41368"/>
    <cellStyle name="Note 2 9 2 2 3" xfId="28764"/>
    <cellStyle name="Note 2 9 2 3" xfId="14657"/>
    <cellStyle name="Note 2 9 2 3 2" xfId="34725"/>
    <cellStyle name="Note 2 9 2 4" xfId="28763"/>
    <cellStyle name="Note 2 9 20" xfId="8574"/>
    <cellStyle name="Note 2 9 20 2" xfId="8575"/>
    <cellStyle name="Note 2 9 20 2 2" xfId="21301"/>
    <cellStyle name="Note 2 9 20 2 2 2" xfId="41369"/>
    <cellStyle name="Note 2 9 20 2 3" xfId="28766"/>
    <cellStyle name="Note 2 9 20 3" xfId="15845"/>
    <cellStyle name="Note 2 9 20 3 2" xfId="35913"/>
    <cellStyle name="Note 2 9 20 4" xfId="28765"/>
    <cellStyle name="Note 2 9 21" xfId="8576"/>
    <cellStyle name="Note 2 9 21 2" xfId="8577"/>
    <cellStyle name="Note 2 9 21 2 2" xfId="21302"/>
    <cellStyle name="Note 2 9 21 2 2 2" xfId="41370"/>
    <cellStyle name="Note 2 9 21 2 3" xfId="28768"/>
    <cellStyle name="Note 2 9 21 3" xfId="18394"/>
    <cellStyle name="Note 2 9 21 3 2" xfId="38462"/>
    <cellStyle name="Note 2 9 21 4" xfId="28767"/>
    <cellStyle name="Note 2 9 22" xfId="8578"/>
    <cellStyle name="Note 2 9 22 2" xfId="8579"/>
    <cellStyle name="Note 2 9 22 2 2" xfId="21303"/>
    <cellStyle name="Note 2 9 22 2 2 2" xfId="41371"/>
    <cellStyle name="Note 2 9 22 2 3" xfId="28770"/>
    <cellStyle name="Note 2 9 22 3" xfId="18527"/>
    <cellStyle name="Note 2 9 22 3 2" xfId="38595"/>
    <cellStyle name="Note 2 9 22 4" xfId="28769"/>
    <cellStyle name="Note 2 9 23" xfId="8580"/>
    <cellStyle name="Note 2 9 23 2" xfId="8581"/>
    <cellStyle name="Note 2 9 23 2 2" xfId="21304"/>
    <cellStyle name="Note 2 9 23 2 2 2" xfId="41372"/>
    <cellStyle name="Note 2 9 23 2 3" xfId="28772"/>
    <cellStyle name="Note 2 9 23 3" xfId="18638"/>
    <cellStyle name="Note 2 9 23 3 2" xfId="38706"/>
    <cellStyle name="Note 2 9 23 4" xfId="28771"/>
    <cellStyle name="Note 2 9 24" xfId="8582"/>
    <cellStyle name="Note 2 9 24 2" xfId="8583"/>
    <cellStyle name="Note 2 9 24 2 2" xfId="21305"/>
    <cellStyle name="Note 2 9 24 2 2 2" xfId="41373"/>
    <cellStyle name="Note 2 9 24 2 3" xfId="28774"/>
    <cellStyle name="Note 2 9 24 3" xfId="18738"/>
    <cellStyle name="Note 2 9 24 3 2" xfId="38806"/>
    <cellStyle name="Note 2 9 24 4" xfId="28773"/>
    <cellStyle name="Note 2 9 25" xfId="8584"/>
    <cellStyle name="Note 2 9 25 2" xfId="8585"/>
    <cellStyle name="Note 2 9 25 2 2" xfId="21306"/>
    <cellStyle name="Note 2 9 25 2 2 2" xfId="41374"/>
    <cellStyle name="Note 2 9 25 2 3" xfId="28776"/>
    <cellStyle name="Note 2 9 25 3" xfId="18838"/>
    <cellStyle name="Note 2 9 25 3 2" xfId="38906"/>
    <cellStyle name="Note 2 9 25 4" xfId="28775"/>
    <cellStyle name="Note 2 9 26" xfId="8586"/>
    <cellStyle name="Note 2 9 26 2" xfId="21289"/>
    <cellStyle name="Note 2 9 26 2 2" xfId="41357"/>
    <cellStyle name="Note 2 9 26 3" xfId="28777"/>
    <cellStyle name="Note 2 9 27" xfId="14504"/>
    <cellStyle name="Note 2 9 27 2" xfId="34572"/>
    <cellStyle name="Note 2 9 28" xfId="28742"/>
    <cellStyle name="Note 2 9 3" xfId="8587"/>
    <cellStyle name="Note 2 9 3 2" xfId="8588"/>
    <cellStyle name="Note 2 9 3 2 2" xfId="21307"/>
    <cellStyle name="Note 2 9 3 2 2 2" xfId="41375"/>
    <cellStyle name="Note 2 9 3 2 3" xfId="28779"/>
    <cellStyle name="Note 2 9 3 3" xfId="14781"/>
    <cellStyle name="Note 2 9 3 3 2" xfId="34849"/>
    <cellStyle name="Note 2 9 3 4" xfId="28778"/>
    <cellStyle name="Note 2 9 4" xfId="8589"/>
    <cellStyle name="Note 2 9 4 2" xfId="8590"/>
    <cellStyle name="Note 2 9 4 2 2" xfId="21308"/>
    <cellStyle name="Note 2 9 4 2 2 2" xfId="41376"/>
    <cellStyle name="Note 2 9 4 2 3" xfId="28781"/>
    <cellStyle name="Note 2 9 4 3" xfId="14906"/>
    <cellStyle name="Note 2 9 4 3 2" xfId="34974"/>
    <cellStyle name="Note 2 9 4 4" xfId="28780"/>
    <cellStyle name="Note 2 9 5" xfId="8591"/>
    <cellStyle name="Note 2 9 5 2" xfId="8592"/>
    <cellStyle name="Note 2 9 5 2 2" xfId="21309"/>
    <cellStyle name="Note 2 9 5 2 2 2" xfId="41377"/>
    <cellStyle name="Note 2 9 5 2 3" xfId="28783"/>
    <cellStyle name="Note 2 9 5 3" xfId="15075"/>
    <cellStyle name="Note 2 9 5 3 2" xfId="35143"/>
    <cellStyle name="Note 2 9 5 4" xfId="28782"/>
    <cellStyle name="Note 2 9 6" xfId="8593"/>
    <cellStyle name="Note 2 9 6 2" xfId="8594"/>
    <cellStyle name="Note 2 9 6 2 2" xfId="21310"/>
    <cellStyle name="Note 2 9 6 2 2 2" xfId="41378"/>
    <cellStyle name="Note 2 9 6 2 3" xfId="28785"/>
    <cellStyle name="Note 2 9 6 3" xfId="14485"/>
    <cellStyle name="Note 2 9 6 3 2" xfId="34553"/>
    <cellStyle name="Note 2 9 6 4" xfId="28784"/>
    <cellStyle name="Note 2 9 7" xfId="8595"/>
    <cellStyle name="Note 2 9 7 2" xfId="8596"/>
    <cellStyle name="Note 2 9 7 2 2" xfId="21311"/>
    <cellStyle name="Note 2 9 7 2 2 2" xfId="41379"/>
    <cellStyle name="Note 2 9 7 2 3" xfId="28787"/>
    <cellStyle name="Note 2 9 7 3" xfId="15207"/>
    <cellStyle name="Note 2 9 7 3 2" xfId="35275"/>
    <cellStyle name="Note 2 9 7 4" xfId="28786"/>
    <cellStyle name="Note 2 9 8" xfId="8597"/>
    <cellStyle name="Note 2 9 8 2" xfId="8598"/>
    <cellStyle name="Note 2 9 8 2 2" xfId="21312"/>
    <cellStyle name="Note 2 9 8 2 2 2" xfId="41380"/>
    <cellStyle name="Note 2 9 8 2 3" xfId="28789"/>
    <cellStyle name="Note 2 9 8 3" xfId="16572"/>
    <cellStyle name="Note 2 9 8 3 2" xfId="36640"/>
    <cellStyle name="Note 2 9 8 4" xfId="28788"/>
    <cellStyle name="Note 2 9 9" xfId="8599"/>
    <cellStyle name="Note 2 9 9 2" xfId="8600"/>
    <cellStyle name="Note 2 9 9 2 2" xfId="21313"/>
    <cellStyle name="Note 2 9 9 2 2 2" xfId="41381"/>
    <cellStyle name="Note 2 9 9 2 3" xfId="28791"/>
    <cellStyle name="Note 2 9 9 3" xfId="16776"/>
    <cellStyle name="Note 2 9 9 3 2" xfId="36844"/>
    <cellStyle name="Note 2 9 9 4" xfId="28790"/>
    <cellStyle name="Note 2_2011-2012" xfId="8601"/>
    <cellStyle name="Note 3" xfId="8602"/>
    <cellStyle name="Note 3 10" xfId="8603"/>
    <cellStyle name="Note 3 10 2" xfId="8604"/>
    <cellStyle name="Note 3 10 2 2" xfId="21315"/>
    <cellStyle name="Note 3 10 2 2 2" xfId="41383"/>
    <cellStyle name="Note 3 10 2 3" xfId="28794"/>
    <cellStyle name="Note 3 10 3" xfId="14276"/>
    <cellStyle name="Note 3 10 3 2" xfId="34344"/>
    <cellStyle name="Note 3 10 4" xfId="28793"/>
    <cellStyle name="Note 3 11" xfId="8605"/>
    <cellStyle name="Note 3 11 2" xfId="8606"/>
    <cellStyle name="Note 3 11 2 2" xfId="21316"/>
    <cellStyle name="Note 3 11 2 2 2" xfId="41384"/>
    <cellStyle name="Note 3 11 2 3" xfId="28796"/>
    <cellStyle name="Note 3 11 3" xfId="14216"/>
    <cellStyle name="Note 3 11 3 2" xfId="34284"/>
    <cellStyle name="Note 3 11 4" xfId="28795"/>
    <cellStyle name="Note 3 12" xfId="8607"/>
    <cellStyle name="Note 3 12 2" xfId="8608"/>
    <cellStyle name="Note 3 12 2 2" xfId="21317"/>
    <cellStyle name="Note 3 12 2 2 2" xfId="41385"/>
    <cellStyle name="Note 3 12 2 3" xfId="28798"/>
    <cellStyle name="Note 3 12 3" xfId="14392"/>
    <cellStyle name="Note 3 12 3 2" xfId="34460"/>
    <cellStyle name="Note 3 12 4" xfId="28797"/>
    <cellStyle name="Note 3 13" xfId="8609"/>
    <cellStyle name="Note 3 13 2" xfId="8610"/>
    <cellStyle name="Note 3 13 2 2" xfId="21318"/>
    <cellStyle name="Note 3 13 2 2 2" xfId="41386"/>
    <cellStyle name="Note 3 13 2 3" xfId="28800"/>
    <cellStyle name="Note 3 13 3" xfId="15310"/>
    <cellStyle name="Note 3 13 3 2" xfId="35378"/>
    <cellStyle name="Note 3 13 4" xfId="28799"/>
    <cellStyle name="Note 3 14" xfId="8611"/>
    <cellStyle name="Note 3 14 2" xfId="8612"/>
    <cellStyle name="Note 3 14 2 2" xfId="21319"/>
    <cellStyle name="Note 3 14 2 2 2" xfId="41387"/>
    <cellStyle name="Note 3 14 2 3" xfId="28802"/>
    <cellStyle name="Note 3 14 3" xfId="16453"/>
    <cellStyle name="Note 3 14 3 2" xfId="36521"/>
    <cellStyle name="Note 3 14 4" xfId="28801"/>
    <cellStyle name="Note 3 15" xfId="8613"/>
    <cellStyle name="Note 3 15 2" xfId="8614"/>
    <cellStyle name="Note 3 15 2 2" xfId="21320"/>
    <cellStyle name="Note 3 15 2 2 2" xfId="41388"/>
    <cellStyle name="Note 3 15 2 3" xfId="28804"/>
    <cellStyle name="Note 3 15 3" xfId="16646"/>
    <cellStyle name="Note 3 15 3 2" xfId="36714"/>
    <cellStyle name="Note 3 15 4" xfId="28803"/>
    <cellStyle name="Note 3 16" xfId="8615"/>
    <cellStyle name="Note 3 16 2" xfId="8616"/>
    <cellStyle name="Note 3 16 2 2" xfId="21321"/>
    <cellStyle name="Note 3 16 2 2 2" xfId="41389"/>
    <cellStyle name="Note 3 16 2 3" xfId="28806"/>
    <cellStyle name="Note 3 16 3" xfId="16009"/>
    <cellStyle name="Note 3 16 3 2" xfId="36077"/>
    <cellStyle name="Note 3 16 4" xfId="28805"/>
    <cellStyle name="Note 3 17" xfId="8617"/>
    <cellStyle name="Note 3 17 2" xfId="8618"/>
    <cellStyle name="Note 3 17 2 2" xfId="21322"/>
    <cellStyle name="Note 3 17 2 2 2" xfId="41390"/>
    <cellStyle name="Note 3 17 2 3" xfId="28808"/>
    <cellStyle name="Note 3 17 3" xfId="16708"/>
    <cellStyle name="Note 3 17 3 2" xfId="36776"/>
    <cellStyle name="Note 3 17 4" xfId="28807"/>
    <cellStyle name="Note 3 18" xfId="8619"/>
    <cellStyle name="Note 3 18 2" xfId="8620"/>
    <cellStyle name="Note 3 18 2 2" xfId="21323"/>
    <cellStyle name="Note 3 18 2 2 2" xfId="41391"/>
    <cellStyle name="Note 3 18 2 3" xfId="28810"/>
    <cellStyle name="Note 3 18 3" xfId="16382"/>
    <cellStyle name="Note 3 18 3 2" xfId="36450"/>
    <cellStyle name="Note 3 18 4" xfId="28809"/>
    <cellStyle name="Note 3 19" xfId="8621"/>
    <cellStyle name="Note 3 19 2" xfId="8622"/>
    <cellStyle name="Note 3 19 2 2" xfId="21324"/>
    <cellStyle name="Note 3 19 2 2 2" xfId="41392"/>
    <cellStyle name="Note 3 19 2 3" xfId="28812"/>
    <cellStyle name="Note 3 19 3" xfId="15651"/>
    <cellStyle name="Note 3 19 3 2" xfId="35719"/>
    <cellStyle name="Note 3 19 4" xfId="28811"/>
    <cellStyle name="Note 3 2" xfId="8623"/>
    <cellStyle name="Note 3 2 10" xfId="8624"/>
    <cellStyle name="Note 3 2 10 2" xfId="8625"/>
    <cellStyle name="Note 3 2 10 2 2" xfId="21326"/>
    <cellStyle name="Note 3 2 10 2 2 2" xfId="41394"/>
    <cellStyle name="Note 3 2 10 2 3" xfId="28815"/>
    <cellStyle name="Note 3 2 10 3" xfId="15144"/>
    <cellStyle name="Note 3 2 10 3 2" xfId="35212"/>
    <cellStyle name="Note 3 2 10 4" xfId="28814"/>
    <cellStyle name="Note 3 2 11" xfId="8626"/>
    <cellStyle name="Note 3 2 11 2" xfId="8627"/>
    <cellStyle name="Note 3 2 11 2 2" xfId="21327"/>
    <cellStyle name="Note 3 2 11 2 2 2" xfId="41395"/>
    <cellStyle name="Note 3 2 11 2 3" xfId="28817"/>
    <cellStyle name="Note 3 2 11 3" xfId="15311"/>
    <cellStyle name="Note 3 2 11 3 2" xfId="35379"/>
    <cellStyle name="Note 3 2 11 4" xfId="28816"/>
    <cellStyle name="Note 3 2 12" xfId="8628"/>
    <cellStyle name="Note 3 2 12 2" xfId="8629"/>
    <cellStyle name="Note 3 2 12 2 2" xfId="21328"/>
    <cellStyle name="Note 3 2 12 2 2 2" xfId="41396"/>
    <cellStyle name="Note 3 2 12 2 3" xfId="28819"/>
    <cellStyle name="Note 3 2 12 3" xfId="16454"/>
    <cellStyle name="Note 3 2 12 3 2" xfId="36522"/>
    <cellStyle name="Note 3 2 12 4" xfId="28818"/>
    <cellStyle name="Note 3 2 13" xfId="8630"/>
    <cellStyle name="Note 3 2 13 2" xfId="8631"/>
    <cellStyle name="Note 3 2 13 2 2" xfId="21329"/>
    <cellStyle name="Note 3 2 13 2 2 2" xfId="41397"/>
    <cellStyle name="Note 3 2 13 2 3" xfId="28821"/>
    <cellStyle name="Note 3 2 13 3" xfId="16647"/>
    <cellStyle name="Note 3 2 13 3 2" xfId="36715"/>
    <cellStyle name="Note 3 2 13 4" xfId="28820"/>
    <cellStyle name="Note 3 2 14" xfId="8632"/>
    <cellStyle name="Note 3 2 14 2" xfId="8633"/>
    <cellStyle name="Note 3 2 14 2 2" xfId="21330"/>
    <cellStyle name="Note 3 2 14 2 2 2" xfId="41398"/>
    <cellStyle name="Note 3 2 14 2 3" xfId="28823"/>
    <cellStyle name="Note 3 2 14 3" xfId="16508"/>
    <cellStyle name="Note 3 2 14 3 2" xfId="36576"/>
    <cellStyle name="Note 3 2 14 4" xfId="28822"/>
    <cellStyle name="Note 3 2 15" xfId="8634"/>
    <cellStyle name="Note 3 2 15 2" xfId="8635"/>
    <cellStyle name="Note 3 2 15 2 2" xfId="21331"/>
    <cellStyle name="Note 3 2 15 2 2 2" xfId="41399"/>
    <cellStyle name="Note 3 2 15 2 3" xfId="28825"/>
    <cellStyle name="Note 3 2 15 3" xfId="16709"/>
    <cellStyle name="Note 3 2 15 3 2" xfId="36777"/>
    <cellStyle name="Note 3 2 15 4" xfId="28824"/>
    <cellStyle name="Note 3 2 16" xfId="8636"/>
    <cellStyle name="Note 3 2 16 2" xfId="8637"/>
    <cellStyle name="Note 3 2 16 2 2" xfId="21332"/>
    <cellStyle name="Note 3 2 16 2 2 2" xfId="41400"/>
    <cellStyle name="Note 3 2 16 2 3" xfId="28827"/>
    <cellStyle name="Note 3 2 16 3" xfId="16883"/>
    <cellStyle name="Note 3 2 16 3 2" xfId="36951"/>
    <cellStyle name="Note 3 2 16 4" xfId="28826"/>
    <cellStyle name="Note 3 2 17" xfId="8638"/>
    <cellStyle name="Note 3 2 17 2" xfId="8639"/>
    <cellStyle name="Note 3 2 17 2 2" xfId="21333"/>
    <cellStyle name="Note 3 2 17 2 2 2" xfId="41401"/>
    <cellStyle name="Note 3 2 17 2 3" xfId="28829"/>
    <cellStyle name="Note 3 2 17 3" xfId="17022"/>
    <cellStyle name="Note 3 2 17 3 2" xfId="37090"/>
    <cellStyle name="Note 3 2 17 4" xfId="28828"/>
    <cellStyle name="Note 3 2 18" xfId="8640"/>
    <cellStyle name="Note 3 2 18 2" xfId="8641"/>
    <cellStyle name="Note 3 2 18 2 2" xfId="21334"/>
    <cellStyle name="Note 3 2 18 2 2 2" xfId="41402"/>
    <cellStyle name="Note 3 2 18 2 3" xfId="28831"/>
    <cellStyle name="Note 3 2 18 3" xfId="17186"/>
    <cellStyle name="Note 3 2 18 3 2" xfId="37254"/>
    <cellStyle name="Note 3 2 18 4" xfId="28830"/>
    <cellStyle name="Note 3 2 19" xfId="8642"/>
    <cellStyle name="Note 3 2 19 2" xfId="8643"/>
    <cellStyle name="Note 3 2 19 2 2" xfId="21335"/>
    <cellStyle name="Note 3 2 19 2 2 2" xfId="41403"/>
    <cellStyle name="Note 3 2 19 2 3" xfId="28833"/>
    <cellStyle name="Note 3 2 19 3" xfId="15734"/>
    <cellStyle name="Note 3 2 19 3 2" xfId="35802"/>
    <cellStyle name="Note 3 2 19 4" xfId="28832"/>
    <cellStyle name="Note 3 2 2" xfId="8644"/>
    <cellStyle name="Note 3 2 2 10" xfId="8645"/>
    <cellStyle name="Note 3 2 2 10 2" xfId="8646"/>
    <cellStyle name="Note 3 2 2 10 2 2" xfId="21337"/>
    <cellStyle name="Note 3 2 2 10 2 2 2" xfId="41405"/>
    <cellStyle name="Note 3 2 2 10 2 3" xfId="28836"/>
    <cellStyle name="Note 3 2 2 10 3" xfId="16455"/>
    <cellStyle name="Note 3 2 2 10 3 2" xfId="36523"/>
    <cellStyle name="Note 3 2 2 10 4" xfId="28835"/>
    <cellStyle name="Note 3 2 2 11" xfId="8647"/>
    <cellStyle name="Note 3 2 2 11 2" xfId="8648"/>
    <cellStyle name="Note 3 2 2 11 2 2" xfId="21338"/>
    <cellStyle name="Note 3 2 2 11 2 2 2" xfId="41406"/>
    <cellStyle name="Note 3 2 2 11 2 3" xfId="28838"/>
    <cellStyle name="Note 3 2 2 11 3" xfId="16648"/>
    <cellStyle name="Note 3 2 2 11 3 2" xfId="36716"/>
    <cellStyle name="Note 3 2 2 11 4" xfId="28837"/>
    <cellStyle name="Note 3 2 2 12" xfId="8649"/>
    <cellStyle name="Note 3 2 2 12 2" xfId="8650"/>
    <cellStyle name="Note 3 2 2 12 2 2" xfId="21339"/>
    <cellStyle name="Note 3 2 2 12 2 2 2" xfId="41407"/>
    <cellStyle name="Note 3 2 2 12 2 3" xfId="28840"/>
    <cellStyle name="Note 3 2 2 12 3" xfId="16010"/>
    <cellStyle name="Note 3 2 2 12 3 2" xfId="36078"/>
    <cellStyle name="Note 3 2 2 12 4" xfId="28839"/>
    <cellStyle name="Note 3 2 2 13" xfId="8651"/>
    <cellStyle name="Note 3 2 2 13 2" xfId="8652"/>
    <cellStyle name="Note 3 2 2 13 2 2" xfId="21340"/>
    <cellStyle name="Note 3 2 2 13 2 2 2" xfId="41408"/>
    <cellStyle name="Note 3 2 2 13 2 3" xfId="28842"/>
    <cellStyle name="Note 3 2 2 13 3" xfId="16710"/>
    <cellStyle name="Note 3 2 2 13 3 2" xfId="36778"/>
    <cellStyle name="Note 3 2 2 13 4" xfId="28841"/>
    <cellStyle name="Note 3 2 2 14" xfId="8653"/>
    <cellStyle name="Note 3 2 2 14 2" xfId="8654"/>
    <cellStyle name="Note 3 2 2 14 2 2" xfId="21341"/>
    <cellStyle name="Note 3 2 2 14 2 2 2" xfId="41409"/>
    <cellStyle name="Note 3 2 2 14 2 3" xfId="28844"/>
    <cellStyle name="Note 3 2 2 14 3" xfId="16121"/>
    <cellStyle name="Note 3 2 2 14 3 2" xfId="36189"/>
    <cellStyle name="Note 3 2 2 14 4" xfId="28843"/>
    <cellStyle name="Note 3 2 2 15" xfId="8655"/>
    <cellStyle name="Note 3 2 2 15 2" xfId="8656"/>
    <cellStyle name="Note 3 2 2 15 2 2" xfId="21342"/>
    <cellStyle name="Note 3 2 2 15 2 2 2" xfId="41410"/>
    <cellStyle name="Note 3 2 2 15 2 3" xfId="28846"/>
    <cellStyle name="Note 3 2 2 15 3" xfId="15650"/>
    <cellStyle name="Note 3 2 2 15 3 2" xfId="35718"/>
    <cellStyle name="Note 3 2 2 15 4" xfId="28845"/>
    <cellStyle name="Note 3 2 2 16" xfId="8657"/>
    <cellStyle name="Note 3 2 2 16 2" xfId="8658"/>
    <cellStyle name="Note 3 2 2 16 2 2" xfId="21343"/>
    <cellStyle name="Note 3 2 2 16 2 2 2" xfId="41411"/>
    <cellStyle name="Note 3 2 2 16 2 3" xfId="28848"/>
    <cellStyle name="Note 3 2 2 16 3" xfId="17187"/>
    <cellStyle name="Note 3 2 2 16 3 2" xfId="37255"/>
    <cellStyle name="Note 3 2 2 16 4" xfId="28847"/>
    <cellStyle name="Note 3 2 2 17" xfId="8659"/>
    <cellStyle name="Note 3 2 2 17 2" xfId="8660"/>
    <cellStyle name="Note 3 2 2 17 2 2" xfId="21344"/>
    <cellStyle name="Note 3 2 2 17 2 2 2" xfId="41412"/>
    <cellStyle name="Note 3 2 2 17 2 3" xfId="28850"/>
    <cellStyle name="Note 3 2 2 17 3" xfId="17691"/>
    <cellStyle name="Note 3 2 2 17 3 2" xfId="37759"/>
    <cellStyle name="Note 3 2 2 17 4" xfId="28849"/>
    <cellStyle name="Note 3 2 2 18" xfId="8661"/>
    <cellStyle name="Note 3 2 2 18 2" xfId="8662"/>
    <cellStyle name="Note 3 2 2 18 2 2" xfId="21345"/>
    <cellStyle name="Note 3 2 2 18 2 2 2" xfId="41413"/>
    <cellStyle name="Note 3 2 2 18 2 3" xfId="28852"/>
    <cellStyle name="Note 3 2 2 18 3" xfId="17370"/>
    <cellStyle name="Note 3 2 2 18 3 2" xfId="37438"/>
    <cellStyle name="Note 3 2 2 18 4" xfId="28851"/>
    <cellStyle name="Note 3 2 2 19" xfId="8663"/>
    <cellStyle name="Note 3 2 2 19 2" xfId="8664"/>
    <cellStyle name="Note 3 2 2 19 2 2" xfId="21346"/>
    <cellStyle name="Note 3 2 2 19 2 2 2" xfId="41414"/>
    <cellStyle name="Note 3 2 2 19 2 3" xfId="28854"/>
    <cellStyle name="Note 3 2 2 19 3" xfId="15824"/>
    <cellStyle name="Note 3 2 2 19 3 2" xfId="35892"/>
    <cellStyle name="Note 3 2 2 19 4" xfId="28853"/>
    <cellStyle name="Note 3 2 2 2" xfId="8665"/>
    <cellStyle name="Note 3 2 2 2 10" xfId="8666"/>
    <cellStyle name="Note 3 2 2 2 10 2" xfId="8667"/>
    <cellStyle name="Note 3 2 2 2 10 2 2" xfId="21348"/>
    <cellStyle name="Note 3 2 2 2 10 2 2 2" xfId="41416"/>
    <cellStyle name="Note 3 2 2 2 10 2 3" xfId="28857"/>
    <cellStyle name="Note 3 2 2 2 10 3" xfId="16955"/>
    <cellStyle name="Note 3 2 2 2 10 3 2" xfId="37023"/>
    <cellStyle name="Note 3 2 2 2 10 4" xfId="28856"/>
    <cellStyle name="Note 3 2 2 2 11" xfId="8668"/>
    <cellStyle name="Note 3 2 2 2 11 2" xfId="8669"/>
    <cellStyle name="Note 3 2 2 2 11 2 2" xfId="21349"/>
    <cellStyle name="Note 3 2 2 2 11 2 2 2" xfId="41417"/>
    <cellStyle name="Note 3 2 2 2 11 2 3" xfId="28859"/>
    <cellStyle name="Note 3 2 2 2 11 3" xfId="17100"/>
    <cellStyle name="Note 3 2 2 2 11 3 2" xfId="37168"/>
    <cellStyle name="Note 3 2 2 2 11 4" xfId="28858"/>
    <cellStyle name="Note 3 2 2 2 12" xfId="8670"/>
    <cellStyle name="Note 3 2 2 2 12 2" xfId="8671"/>
    <cellStyle name="Note 3 2 2 2 12 2 2" xfId="21350"/>
    <cellStyle name="Note 3 2 2 2 12 2 2 2" xfId="41418"/>
    <cellStyle name="Note 3 2 2 2 12 2 3" xfId="28861"/>
    <cellStyle name="Note 3 2 2 2 12 3" xfId="17272"/>
    <cellStyle name="Note 3 2 2 2 12 3 2" xfId="37340"/>
    <cellStyle name="Note 3 2 2 2 12 4" xfId="28860"/>
    <cellStyle name="Note 3 2 2 2 13" xfId="8672"/>
    <cellStyle name="Note 3 2 2 2 13 2" xfId="8673"/>
    <cellStyle name="Note 3 2 2 2 13 2 2" xfId="21351"/>
    <cellStyle name="Note 3 2 2 2 13 2 2 2" xfId="41419"/>
    <cellStyle name="Note 3 2 2 2 13 2 3" xfId="28863"/>
    <cellStyle name="Note 3 2 2 2 13 3" xfId="17436"/>
    <cellStyle name="Note 3 2 2 2 13 3 2" xfId="37504"/>
    <cellStyle name="Note 3 2 2 2 13 4" xfId="28862"/>
    <cellStyle name="Note 3 2 2 2 14" xfId="8674"/>
    <cellStyle name="Note 3 2 2 2 14 2" xfId="8675"/>
    <cellStyle name="Note 3 2 2 2 14 2 2" xfId="21352"/>
    <cellStyle name="Note 3 2 2 2 14 2 2 2" xfId="41420"/>
    <cellStyle name="Note 3 2 2 2 14 2 3" xfId="28865"/>
    <cellStyle name="Note 3 2 2 2 14 3" xfId="17562"/>
    <cellStyle name="Note 3 2 2 2 14 3 2" xfId="37630"/>
    <cellStyle name="Note 3 2 2 2 14 4" xfId="28864"/>
    <cellStyle name="Note 3 2 2 2 15" xfId="8676"/>
    <cellStyle name="Note 3 2 2 2 15 2" xfId="8677"/>
    <cellStyle name="Note 3 2 2 2 15 2 2" xfId="21353"/>
    <cellStyle name="Note 3 2 2 2 15 2 2 2" xfId="41421"/>
    <cellStyle name="Note 3 2 2 2 15 2 3" xfId="28867"/>
    <cellStyle name="Note 3 2 2 2 15 3" xfId="17686"/>
    <cellStyle name="Note 3 2 2 2 15 3 2" xfId="37754"/>
    <cellStyle name="Note 3 2 2 2 15 4" xfId="28866"/>
    <cellStyle name="Note 3 2 2 2 16" xfId="8678"/>
    <cellStyle name="Note 3 2 2 2 16 2" xfId="8679"/>
    <cellStyle name="Note 3 2 2 2 16 2 2" xfId="21354"/>
    <cellStyle name="Note 3 2 2 2 16 2 2 2" xfId="41422"/>
    <cellStyle name="Note 3 2 2 2 16 2 3" xfId="28869"/>
    <cellStyle name="Note 3 2 2 2 16 3" xfId="17812"/>
    <cellStyle name="Note 3 2 2 2 16 3 2" xfId="37880"/>
    <cellStyle name="Note 3 2 2 2 16 4" xfId="28868"/>
    <cellStyle name="Note 3 2 2 2 17" xfId="8680"/>
    <cellStyle name="Note 3 2 2 2 17 2" xfId="8681"/>
    <cellStyle name="Note 3 2 2 2 17 2 2" xfId="21355"/>
    <cellStyle name="Note 3 2 2 2 17 2 2 2" xfId="41423"/>
    <cellStyle name="Note 3 2 2 2 17 2 3" xfId="28871"/>
    <cellStyle name="Note 3 2 2 2 17 3" xfId="17950"/>
    <cellStyle name="Note 3 2 2 2 17 3 2" xfId="38018"/>
    <cellStyle name="Note 3 2 2 2 17 4" xfId="28870"/>
    <cellStyle name="Note 3 2 2 2 18" xfId="8682"/>
    <cellStyle name="Note 3 2 2 2 18 2" xfId="8683"/>
    <cellStyle name="Note 3 2 2 2 18 2 2" xfId="21356"/>
    <cellStyle name="Note 3 2 2 2 18 2 2 2" xfId="41424"/>
    <cellStyle name="Note 3 2 2 2 18 2 3" xfId="28873"/>
    <cellStyle name="Note 3 2 2 2 18 3" xfId="18089"/>
    <cellStyle name="Note 3 2 2 2 18 3 2" xfId="38157"/>
    <cellStyle name="Note 3 2 2 2 18 4" xfId="28872"/>
    <cellStyle name="Note 3 2 2 2 19" xfId="8684"/>
    <cellStyle name="Note 3 2 2 2 19 2" xfId="8685"/>
    <cellStyle name="Note 3 2 2 2 19 2 2" xfId="21357"/>
    <cellStyle name="Note 3 2 2 2 19 2 2 2" xfId="41425"/>
    <cellStyle name="Note 3 2 2 2 19 2 3" xfId="28875"/>
    <cellStyle name="Note 3 2 2 2 19 3" xfId="18207"/>
    <cellStyle name="Note 3 2 2 2 19 3 2" xfId="38275"/>
    <cellStyle name="Note 3 2 2 2 19 4" xfId="28874"/>
    <cellStyle name="Note 3 2 2 2 2" xfId="8686"/>
    <cellStyle name="Note 3 2 2 2 2 2" xfId="8687"/>
    <cellStyle name="Note 3 2 2 2 2 2 2" xfId="21358"/>
    <cellStyle name="Note 3 2 2 2 2 2 2 2" xfId="41426"/>
    <cellStyle name="Note 3 2 2 2 2 2 3" xfId="28877"/>
    <cellStyle name="Note 3 2 2 2 2 3" xfId="14675"/>
    <cellStyle name="Note 3 2 2 2 2 3 2" xfId="34743"/>
    <cellStyle name="Note 3 2 2 2 2 4" xfId="28876"/>
    <cellStyle name="Note 3 2 2 2 20" xfId="8688"/>
    <cellStyle name="Note 3 2 2 2 20 2" xfId="8689"/>
    <cellStyle name="Note 3 2 2 2 20 2 2" xfId="21359"/>
    <cellStyle name="Note 3 2 2 2 20 2 2 2" xfId="41427"/>
    <cellStyle name="Note 3 2 2 2 20 2 3" xfId="28879"/>
    <cellStyle name="Note 3 2 2 2 20 3" xfId="16220"/>
    <cellStyle name="Note 3 2 2 2 20 3 2" xfId="36288"/>
    <cellStyle name="Note 3 2 2 2 20 4" xfId="28878"/>
    <cellStyle name="Note 3 2 2 2 21" xfId="8690"/>
    <cellStyle name="Note 3 2 2 2 21 2" xfId="8691"/>
    <cellStyle name="Note 3 2 2 2 21 2 2" xfId="21360"/>
    <cellStyle name="Note 3 2 2 2 21 2 2 2" xfId="41428"/>
    <cellStyle name="Note 3 2 2 2 21 2 3" xfId="28881"/>
    <cellStyle name="Note 3 2 2 2 21 3" xfId="18412"/>
    <cellStyle name="Note 3 2 2 2 21 3 2" xfId="38480"/>
    <cellStyle name="Note 3 2 2 2 21 4" xfId="28880"/>
    <cellStyle name="Note 3 2 2 2 22" xfId="8692"/>
    <cellStyle name="Note 3 2 2 2 22 2" xfId="8693"/>
    <cellStyle name="Note 3 2 2 2 22 2 2" xfId="21361"/>
    <cellStyle name="Note 3 2 2 2 22 2 2 2" xfId="41429"/>
    <cellStyle name="Note 3 2 2 2 22 2 3" xfId="28883"/>
    <cellStyle name="Note 3 2 2 2 22 3" xfId="18545"/>
    <cellStyle name="Note 3 2 2 2 22 3 2" xfId="38613"/>
    <cellStyle name="Note 3 2 2 2 22 4" xfId="28882"/>
    <cellStyle name="Note 3 2 2 2 23" xfId="8694"/>
    <cellStyle name="Note 3 2 2 2 23 2" xfId="8695"/>
    <cellStyle name="Note 3 2 2 2 23 2 2" xfId="21362"/>
    <cellStyle name="Note 3 2 2 2 23 2 2 2" xfId="41430"/>
    <cellStyle name="Note 3 2 2 2 23 2 3" xfId="28885"/>
    <cellStyle name="Note 3 2 2 2 23 3" xfId="18656"/>
    <cellStyle name="Note 3 2 2 2 23 3 2" xfId="38724"/>
    <cellStyle name="Note 3 2 2 2 23 4" xfId="28884"/>
    <cellStyle name="Note 3 2 2 2 24" xfId="8696"/>
    <cellStyle name="Note 3 2 2 2 24 2" xfId="8697"/>
    <cellStyle name="Note 3 2 2 2 24 2 2" xfId="21363"/>
    <cellStyle name="Note 3 2 2 2 24 2 2 2" xfId="41431"/>
    <cellStyle name="Note 3 2 2 2 24 2 3" xfId="28887"/>
    <cellStyle name="Note 3 2 2 2 24 3" xfId="18756"/>
    <cellStyle name="Note 3 2 2 2 24 3 2" xfId="38824"/>
    <cellStyle name="Note 3 2 2 2 24 4" xfId="28886"/>
    <cellStyle name="Note 3 2 2 2 25" xfId="8698"/>
    <cellStyle name="Note 3 2 2 2 25 2" xfId="8699"/>
    <cellStyle name="Note 3 2 2 2 25 2 2" xfId="21364"/>
    <cellStyle name="Note 3 2 2 2 25 2 2 2" xfId="41432"/>
    <cellStyle name="Note 3 2 2 2 25 2 3" xfId="28889"/>
    <cellStyle name="Note 3 2 2 2 25 3" xfId="18856"/>
    <cellStyle name="Note 3 2 2 2 25 3 2" xfId="38924"/>
    <cellStyle name="Note 3 2 2 2 25 4" xfId="28888"/>
    <cellStyle name="Note 3 2 2 2 26" xfId="8700"/>
    <cellStyle name="Note 3 2 2 2 26 2" xfId="21347"/>
    <cellStyle name="Note 3 2 2 2 26 2 2" xfId="41415"/>
    <cellStyle name="Note 3 2 2 2 26 3" xfId="28890"/>
    <cellStyle name="Note 3 2 2 2 27" xfId="14296"/>
    <cellStyle name="Note 3 2 2 2 27 2" xfId="34364"/>
    <cellStyle name="Note 3 2 2 2 28" xfId="28855"/>
    <cellStyle name="Note 3 2 2 2 3" xfId="8701"/>
    <cellStyle name="Note 3 2 2 2 3 2" xfId="8702"/>
    <cellStyle name="Note 3 2 2 2 3 2 2" xfId="21365"/>
    <cellStyle name="Note 3 2 2 2 3 2 2 2" xfId="41433"/>
    <cellStyle name="Note 3 2 2 2 3 2 3" xfId="28892"/>
    <cellStyle name="Note 3 2 2 2 3 3" xfId="14799"/>
    <cellStyle name="Note 3 2 2 2 3 3 2" xfId="34867"/>
    <cellStyle name="Note 3 2 2 2 3 4" xfId="28891"/>
    <cellStyle name="Note 3 2 2 2 4" xfId="8703"/>
    <cellStyle name="Note 3 2 2 2 4 2" xfId="8704"/>
    <cellStyle name="Note 3 2 2 2 4 2 2" xfId="21366"/>
    <cellStyle name="Note 3 2 2 2 4 2 2 2" xfId="41434"/>
    <cellStyle name="Note 3 2 2 2 4 2 3" xfId="28894"/>
    <cellStyle name="Note 3 2 2 2 4 3" xfId="14924"/>
    <cellStyle name="Note 3 2 2 2 4 3 2" xfId="34992"/>
    <cellStyle name="Note 3 2 2 2 4 4" xfId="28893"/>
    <cellStyle name="Note 3 2 2 2 5" xfId="8705"/>
    <cellStyle name="Note 3 2 2 2 5 2" xfId="8706"/>
    <cellStyle name="Note 3 2 2 2 5 2 2" xfId="21367"/>
    <cellStyle name="Note 3 2 2 2 5 2 2 2" xfId="41435"/>
    <cellStyle name="Note 3 2 2 2 5 2 3" xfId="28896"/>
    <cellStyle name="Note 3 2 2 2 5 3" xfId="15093"/>
    <cellStyle name="Note 3 2 2 2 5 3 2" xfId="35161"/>
    <cellStyle name="Note 3 2 2 2 5 4" xfId="28895"/>
    <cellStyle name="Note 3 2 2 2 6" xfId="8707"/>
    <cellStyle name="Note 3 2 2 2 6 2" xfId="8708"/>
    <cellStyle name="Note 3 2 2 2 6 2 2" xfId="21368"/>
    <cellStyle name="Note 3 2 2 2 6 2 2 2" xfId="41436"/>
    <cellStyle name="Note 3 2 2 2 6 2 3" xfId="28898"/>
    <cellStyle name="Note 3 2 2 2 6 3" xfId="14196"/>
    <cellStyle name="Note 3 2 2 2 6 3 2" xfId="34264"/>
    <cellStyle name="Note 3 2 2 2 6 4" xfId="28897"/>
    <cellStyle name="Note 3 2 2 2 7" xfId="8709"/>
    <cellStyle name="Note 3 2 2 2 7 2" xfId="8710"/>
    <cellStyle name="Note 3 2 2 2 7 2 2" xfId="21369"/>
    <cellStyle name="Note 3 2 2 2 7 2 2 2" xfId="41437"/>
    <cellStyle name="Note 3 2 2 2 7 2 3" xfId="28900"/>
    <cellStyle name="Note 3 2 2 2 7 3" xfId="15225"/>
    <cellStyle name="Note 3 2 2 2 7 3 2" xfId="35293"/>
    <cellStyle name="Note 3 2 2 2 7 4" xfId="28899"/>
    <cellStyle name="Note 3 2 2 2 8" xfId="8711"/>
    <cellStyle name="Note 3 2 2 2 8 2" xfId="8712"/>
    <cellStyle name="Note 3 2 2 2 8 2 2" xfId="21370"/>
    <cellStyle name="Note 3 2 2 2 8 2 2 2" xfId="41438"/>
    <cellStyle name="Note 3 2 2 2 8 2 3" xfId="28902"/>
    <cellStyle name="Note 3 2 2 2 8 3" xfId="16590"/>
    <cellStyle name="Note 3 2 2 2 8 3 2" xfId="36658"/>
    <cellStyle name="Note 3 2 2 2 8 4" xfId="28901"/>
    <cellStyle name="Note 3 2 2 2 9" xfId="8713"/>
    <cellStyle name="Note 3 2 2 2 9 2" xfId="8714"/>
    <cellStyle name="Note 3 2 2 2 9 2 2" xfId="21371"/>
    <cellStyle name="Note 3 2 2 2 9 2 2 2" xfId="41439"/>
    <cellStyle name="Note 3 2 2 2 9 2 3" xfId="28904"/>
    <cellStyle name="Note 3 2 2 2 9 3" xfId="16794"/>
    <cellStyle name="Note 3 2 2 2 9 3 2" xfId="36862"/>
    <cellStyle name="Note 3 2 2 2 9 4" xfId="28903"/>
    <cellStyle name="Note 3 2 2 20" xfId="8715"/>
    <cellStyle name="Note 3 2 2 20 2" xfId="8716"/>
    <cellStyle name="Note 3 2 2 20 2 2" xfId="21372"/>
    <cellStyle name="Note 3 2 2 20 2 2 2" xfId="41440"/>
    <cellStyle name="Note 3 2 2 20 2 3" xfId="28906"/>
    <cellStyle name="Note 3 2 2 20 3" xfId="15974"/>
    <cellStyle name="Note 3 2 2 20 3 2" xfId="36042"/>
    <cellStyle name="Note 3 2 2 20 4" xfId="28905"/>
    <cellStyle name="Note 3 2 2 21" xfId="8717"/>
    <cellStyle name="Note 3 2 2 21 2" xfId="8718"/>
    <cellStyle name="Note 3 2 2 21 2 2" xfId="21373"/>
    <cellStyle name="Note 3 2 2 21 2 2 2" xfId="41441"/>
    <cellStyle name="Note 3 2 2 21 2 3" xfId="28908"/>
    <cellStyle name="Note 3 2 2 21 3" xfId="17872"/>
    <cellStyle name="Note 3 2 2 21 3 2" xfId="37940"/>
    <cellStyle name="Note 3 2 2 21 4" xfId="28907"/>
    <cellStyle name="Note 3 2 2 22" xfId="8719"/>
    <cellStyle name="Note 3 2 2 22 2" xfId="8720"/>
    <cellStyle name="Note 3 2 2 22 2 2" xfId="21374"/>
    <cellStyle name="Note 3 2 2 22 2 2 2" xfId="41442"/>
    <cellStyle name="Note 3 2 2 22 2 3" xfId="28910"/>
    <cellStyle name="Note 3 2 2 22 3" xfId="16281"/>
    <cellStyle name="Note 3 2 2 22 3 2" xfId="36349"/>
    <cellStyle name="Note 3 2 2 22 4" xfId="28909"/>
    <cellStyle name="Note 3 2 2 23" xfId="8721"/>
    <cellStyle name="Note 3 2 2 23 2" xfId="8722"/>
    <cellStyle name="Note 3 2 2 23 2 2" xfId="21375"/>
    <cellStyle name="Note 3 2 2 23 2 2 2" xfId="41443"/>
    <cellStyle name="Note 3 2 2 23 2 3" xfId="28912"/>
    <cellStyle name="Note 3 2 2 23 3" xfId="18310"/>
    <cellStyle name="Note 3 2 2 23 3 2" xfId="38378"/>
    <cellStyle name="Note 3 2 2 23 4" xfId="28911"/>
    <cellStyle name="Note 3 2 2 24" xfId="8723"/>
    <cellStyle name="Note 3 2 2 24 2" xfId="8724"/>
    <cellStyle name="Note 3 2 2 24 2 2" xfId="21376"/>
    <cellStyle name="Note 3 2 2 24 2 2 2" xfId="41444"/>
    <cellStyle name="Note 3 2 2 24 2 3" xfId="28914"/>
    <cellStyle name="Note 3 2 2 24 3" xfId="16414"/>
    <cellStyle name="Note 3 2 2 24 3 2" xfId="36482"/>
    <cellStyle name="Note 3 2 2 24 4" xfId="28913"/>
    <cellStyle name="Note 3 2 2 25" xfId="8725"/>
    <cellStyle name="Note 3 2 2 25 2" xfId="8726"/>
    <cellStyle name="Note 3 2 2 25 2 2" xfId="21377"/>
    <cellStyle name="Note 3 2 2 25 2 2 2" xfId="41445"/>
    <cellStyle name="Note 3 2 2 25 2 3" xfId="28916"/>
    <cellStyle name="Note 3 2 2 25 3" xfId="18336"/>
    <cellStyle name="Note 3 2 2 25 3 2" xfId="38404"/>
    <cellStyle name="Note 3 2 2 25 4" xfId="28915"/>
    <cellStyle name="Note 3 2 2 26" xfId="8727"/>
    <cellStyle name="Note 3 2 2 26 2" xfId="8728"/>
    <cellStyle name="Note 3 2 2 26 2 2" xfId="21378"/>
    <cellStyle name="Note 3 2 2 26 2 2 2" xfId="41446"/>
    <cellStyle name="Note 3 2 2 26 2 3" xfId="28918"/>
    <cellStyle name="Note 3 2 2 26 3" xfId="18482"/>
    <cellStyle name="Note 3 2 2 26 3 2" xfId="38550"/>
    <cellStyle name="Note 3 2 2 26 4" xfId="28917"/>
    <cellStyle name="Note 3 2 2 27" xfId="8729"/>
    <cellStyle name="Note 3 2 2 27 2" xfId="8730"/>
    <cellStyle name="Note 3 2 2 27 2 2" xfId="21379"/>
    <cellStyle name="Note 3 2 2 27 2 2 2" xfId="41447"/>
    <cellStyle name="Note 3 2 2 27 2 3" xfId="28920"/>
    <cellStyle name="Note 3 2 2 27 3" xfId="18595"/>
    <cellStyle name="Note 3 2 2 27 3 2" xfId="38663"/>
    <cellStyle name="Note 3 2 2 27 4" xfId="28919"/>
    <cellStyle name="Note 3 2 2 28" xfId="8731"/>
    <cellStyle name="Note 3 2 2 28 2" xfId="21336"/>
    <cellStyle name="Note 3 2 2 28 2 2" xfId="41404"/>
    <cellStyle name="Note 3 2 2 28 3" xfId="28921"/>
    <cellStyle name="Note 3 2 2 29" xfId="13906"/>
    <cellStyle name="Note 3 2 2 29 2" xfId="33974"/>
    <cellStyle name="Note 3 2 2 3" xfId="8732"/>
    <cellStyle name="Note 3 2 2 3 2" xfId="8733"/>
    <cellStyle name="Note 3 2 2 3 2 2" xfId="21380"/>
    <cellStyle name="Note 3 2 2 3 2 2 2" xfId="41448"/>
    <cellStyle name="Note 3 2 2 3 2 3" xfId="28923"/>
    <cellStyle name="Note 3 2 2 3 3" xfId="14027"/>
    <cellStyle name="Note 3 2 2 3 3 2" xfId="34095"/>
    <cellStyle name="Note 3 2 2 3 4" xfId="28922"/>
    <cellStyle name="Note 3 2 2 30" xfId="28834"/>
    <cellStyle name="Note 3 2 2 4" xfId="8734"/>
    <cellStyle name="Note 3 2 2 4 2" xfId="8735"/>
    <cellStyle name="Note 3 2 2 4 2 2" xfId="21381"/>
    <cellStyle name="Note 3 2 2 4 2 2 2" xfId="41449"/>
    <cellStyle name="Note 3 2 2 4 2 3" xfId="28925"/>
    <cellStyle name="Note 3 2 2 4 3" xfId="14178"/>
    <cellStyle name="Note 3 2 2 4 3 2" xfId="34246"/>
    <cellStyle name="Note 3 2 2 4 4" xfId="28924"/>
    <cellStyle name="Note 3 2 2 5" xfId="8736"/>
    <cellStyle name="Note 3 2 2 5 2" xfId="8737"/>
    <cellStyle name="Note 3 2 2 5 2 2" xfId="21382"/>
    <cellStyle name="Note 3 2 2 5 2 2 2" xfId="41450"/>
    <cellStyle name="Note 3 2 2 5 2 3" xfId="28927"/>
    <cellStyle name="Note 3 2 2 5 3" xfId="14135"/>
    <cellStyle name="Note 3 2 2 5 3 2" xfId="34203"/>
    <cellStyle name="Note 3 2 2 5 4" xfId="28926"/>
    <cellStyle name="Note 3 2 2 6" xfId="8738"/>
    <cellStyle name="Note 3 2 2 6 2" xfId="8739"/>
    <cellStyle name="Note 3 2 2 6 2 2" xfId="21383"/>
    <cellStyle name="Note 3 2 2 6 2 2 2" xfId="41451"/>
    <cellStyle name="Note 3 2 2 6 2 3" xfId="28929"/>
    <cellStyle name="Note 3 2 2 6 3" xfId="14365"/>
    <cellStyle name="Note 3 2 2 6 3 2" xfId="34433"/>
    <cellStyle name="Note 3 2 2 6 4" xfId="28928"/>
    <cellStyle name="Note 3 2 2 7" xfId="8740"/>
    <cellStyle name="Note 3 2 2 7 2" xfId="8741"/>
    <cellStyle name="Note 3 2 2 7 2 2" xfId="21384"/>
    <cellStyle name="Note 3 2 2 7 2 2 2" xfId="41452"/>
    <cellStyle name="Note 3 2 2 7 2 3" xfId="28931"/>
    <cellStyle name="Note 3 2 2 7 3" xfId="14129"/>
    <cellStyle name="Note 3 2 2 7 3 2" xfId="34197"/>
    <cellStyle name="Note 3 2 2 7 4" xfId="28930"/>
    <cellStyle name="Note 3 2 2 8" xfId="8742"/>
    <cellStyle name="Note 3 2 2 8 2" xfId="8743"/>
    <cellStyle name="Note 3 2 2 8 2 2" xfId="21385"/>
    <cellStyle name="Note 3 2 2 8 2 2 2" xfId="41453"/>
    <cellStyle name="Note 3 2 2 8 2 3" xfId="28933"/>
    <cellStyle name="Note 3 2 2 8 3" xfId="14598"/>
    <cellStyle name="Note 3 2 2 8 3 2" xfId="34666"/>
    <cellStyle name="Note 3 2 2 8 4" xfId="28932"/>
    <cellStyle name="Note 3 2 2 9" xfId="8744"/>
    <cellStyle name="Note 3 2 2 9 2" xfId="8745"/>
    <cellStyle name="Note 3 2 2 9 2 2" xfId="21386"/>
    <cellStyle name="Note 3 2 2 9 2 2 2" xfId="41454"/>
    <cellStyle name="Note 3 2 2 9 2 3" xfId="28935"/>
    <cellStyle name="Note 3 2 2 9 3" xfId="15312"/>
    <cellStyle name="Note 3 2 2 9 3 2" xfId="35380"/>
    <cellStyle name="Note 3 2 2 9 4" xfId="28934"/>
    <cellStyle name="Note 3 2 20" xfId="8746"/>
    <cellStyle name="Note 3 2 20 2" xfId="8747"/>
    <cellStyle name="Note 3 2 20 2 2" xfId="21387"/>
    <cellStyle name="Note 3 2 20 2 2 2" xfId="41455"/>
    <cellStyle name="Note 3 2 20 2 3" xfId="28937"/>
    <cellStyle name="Note 3 2 20 3" xfId="15432"/>
    <cellStyle name="Note 3 2 20 3 2" xfId="35500"/>
    <cellStyle name="Note 3 2 20 4" xfId="28936"/>
    <cellStyle name="Note 3 2 21" xfId="8748"/>
    <cellStyle name="Note 3 2 21 2" xfId="8749"/>
    <cellStyle name="Note 3 2 21 2 2" xfId="21388"/>
    <cellStyle name="Note 3 2 21 2 2 2" xfId="41456"/>
    <cellStyle name="Note 3 2 21 2 3" xfId="28939"/>
    <cellStyle name="Note 3 2 21 3" xfId="17618"/>
    <cellStyle name="Note 3 2 21 3 2" xfId="37686"/>
    <cellStyle name="Note 3 2 21 4" xfId="28938"/>
    <cellStyle name="Note 3 2 22" xfId="8750"/>
    <cellStyle name="Note 3 2 22 2" xfId="8751"/>
    <cellStyle name="Note 3 2 22 2 2" xfId="21389"/>
    <cellStyle name="Note 3 2 22 2 2 2" xfId="41457"/>
    <cellStyle name="Note 3 2 22 2 3" xfId="28941"/>
    <cellStyle name="Note 3 2 22 3" xfId="17741"/>
    <cellStyle name="Note 3 2 22 3 2" xfId="37809"/>
    <cellStyle name="Note 3 2 22 4" xfId="28940"/>
    <cellStyle name="Note 3 2 23" xfId="8752"/>
    <cellStyle name="Note 3 2 23 2" xfId="8753"/>
    <cellStyle name="Note 3 2 23 2 2" xfId="21390"/>
    <cellStyle name="Note 3 2 23 2 2 2" xfId="41458"/>
    <cellStyle name="Note 3 2 23 2 3" xfId="28943"/>
    <cellStyle name="Note 3 2 23 3" xfId="17871"/>
    <cellStyle name="Note 3 2 23 3 2" xfId="37939"/>
    <cellStyle name="Note 3 2 23 4" xfId="28942"/>
    <cellStyle name="Note 3 2 24" xfId="8754"/>
    <cellStyle name="Note 3 2 24 2" xfId="8755"/>
    <cellStyle name="Note 3 2 24 2 2" xfId="21391"/>
    <cellStyle name="Note 3 2 24 2 2 2" xfId="41459"/>
    <cellStyle name="Note 3 2 24 2 3" xfId="28945"/>
    <cellStyle name="Note 3 2 24 3" xfId="15766"/>
    <cellStyle name="Note 3 2 24 3 2" xfId="35834"/>
    <cellStyle name="Note 3 2 24 4" xfId="28944"/>
    <cellStyle name="Note 3 2 25" xfId="8756"/>
    <cellStyle name="Note 3 2 25 2" xfId="8757"/>
    <cellStyle name="Note 3 2 25 2 2" xfId="21392"/>
    <cellStyle name="Note 3 2 25 2 2 2" xfId="41460"/>
    <cellStyle name="Note 3 2 25 2 3" xfId="28947"/>
    <cellStyle name="Note 3 2 25 3" xfId="18279"/>
    <cellStyle name="Note 3 2 25 3 2" xfId="38347"/>
    <cellStyle name="Note 3 2 25 4" xfId="28946"/>
    <cellStyle name="Note 3 2 26" xfId="8758"/>
    <cellStyle name="Note 3 2 26 2" xfId="8759"/>
    <cellStyle name="Note 3 2 26 2 2" xfId="21393"/>
    <cellStyle name="Note 3 2 26 2 2 2" xfId="41461"/>
    <cellStyle name="Note 3 2 26 2 3" xfId="28949"/>
    <cellStyle name="Note 3 2 26 3" xfId="15483"/>
    <cellStyle name="Note 3 2 26 3 2" xfId="35551"/>
    <cellStyle name="Note 3 2 26 4" xfId="28948"/>
    <cellStyle name="Note 3 2 27" xfId="8760"/>
    <cellStyle name="Note 3 2 27 2" xfId="8761"/>
    <cellStyle name="Note 3 2 27 2 2" xfId="21394"/>
    <cellStyle name="Note 3 2 27 2 2 2" xfId="41462"/>
    <cellStyle name="Note 3 2 27 2 3" xfId="28951"/>
    <cellStyle name="Note 3 2 27 3" xfId="18335"/>
    <cellStyle name="Note 3 2 27 3 2" xfId="38403"/>
    <cellStyle name="Note 3 2 27 4" xfId="28950"/>
    <cellStyle name="Note 3 2 28" xfId="8762"/>
    <cellStyle name="Note 3 2 28 2" xfId="8763"/>
    <cellStyle name="Note 3 2 28 2 2" xfId="21395"/>
    <cellStyle name="Note 3 2 28 2 2 2" xfId="41463"/>
    <cellStyle name="Note 3 2 28 2 3" xfId="28953"/>
    <cellStyle name="Note 3 2 28 3" xfId="18481"/>
    <cellStyle name="Note 3 2 28 3 2" xfId="38549"/>
    <cellStyle name="Note 3 2 28 4" xfId="28952"/>
    <cellStyle name="Note 3 2 29" xfId="8764"/>
    <cellStyle name="Note 3 2 29 2" xfId="8765"/>
    <cellStyle name="Note 3 2 29 2 2" xfId="21396"/>
    <cellStyle name="Note 3 2 29 2 2 2" xfId="41464"/>
    <cellStyle name="Note 3 2 29 2 3" xfId="28955"/>
    <cellStyle name="Note 3 2 29 3" xfId="18594"/>
    <cellStyle name="Note 3 2 29 3 2" xfId="38662"/>
    <cellStyle name="Note 3 2 29 4" xfId="28954"/>
    <cellStyle name="Note 3 2 3" xfId="8766"/>
    <cellStyle name="Note 3 2 3 10" xfId="8767"/>
    <cellStyle name="Note 3 2 3 10 2" xfId="8768"/>
    <cellStyle name="Note 3 2 3 10 2 2" xfId="21398"/>
    <cellStyle name="Note 3 2 3 10 2 2 2" xfId="41466"/>
    <cellStyle name="Note 3 2 3 10 2 3" xfId="28958"/>
    <cellStyle name="Note 3 2 3 10 3" xfId="16456"/>
    <cellStyle name="Note 3 2 3 10 3 2" xfId="36524"/>
    <cellStyle name="Note 3 2 3 10 4" xfId="28957"/>
    <cellStyle name="Note 3 2 3 11" xfId="8769"/>
    <cellStyle name="Note 3 2 3 11 2" xfId="8770"/>
    <cellStyle name="Note 3 2 3 11 2 2" xfId="21399"/>
    <cellStyle name="Note 3 2 3 11 2 2 2" xfId="41467"/>
    <cellStyle name="Note 3 2 3 11 2 3" xfId="28960"/>
    <cellStyle name="Note 3 2 3 11 3" xfId="16649"/>
    <cellStyle name="Note 3 2 3 11 3 2" xfId="36717"/>
    <cellStyle name="Note 3 2 3 11 4" xfId="28959"/>
    <cellStyle name="Note 3 2 3 12" xfId="8771"/>
    <cellStyle name="Note 3 2 3 12 2" xfId="8772"/>
    <cellStyle name="Note 3 2 3 12 2 2" xfId="21400"/>
    <cellStyle name="Note 3 2 3 12 2 2 2" xfId="41468"/>
    <cellStyle name="Note 3 2 3 12 2 3" xfId="28962"/>
    <cellStyle name="Note 3 2 3 12 3" xfId="16011"/>
    <cellStyle name="Note 3 2 3 12 3 2" xfId="36079"/>
    <cellStyle name="Note 3 2 3 12 4" xfId="28961"/>
    <cellStyle name="Note 3 2 3 13" xfId="8773"/>
    <cellStyle name="Note 3 2 3 13 2" xfId="8774"/>
    <cellStyle name="Note 3 2 3 13 2 2" xfId="21401"/>
    <cellStyle name="Note 3 2 3 13 2 2 2" xfId="41469"/>
    <cellStyle name="Note 3 2 3 13 2 3" xfId="28964"/>
    <cellStyle name="Note 3 2 3 13 3" xfId="15932"/>
    <cellStyle name="Note 3 2 3 13 3 2" xfId="36000"/>
    <cellStyle name="Note 3 2 3 13 4" xfId="28963"/>
    <cellStyle name="Note 3 2 3 14" xfId="8775"/>
    <cellStyle name="Note 3 2 3 14 2" xfId="8776"/>
    <cellStyle name="Note 3 2 3 14 2 2" xfId="21402"/>
    <cellStyle name="Note 3 2 3 14 2 2 2" xfId="41470"/>
    <cellStyle name="Note 3 2 3 14 2 3" xfId="28966"/>
    <cellStyle name="Note 3 2 3 14 3" xfId="16122"/>
    <cellStyle name="Note 3 2 3 14 3 2" xfId="36190"/>
    <cellStyle name="Note 3 2 3 14 4" xfId="28965"/>
    <cellStyle name="Note 3 2 3 15" xfId="8777"/>
    <cellStyle name="Note 3 2 3 15 2" xfId="8778"/>
    <cellStyle name="Note 3 2 3 15 2 2" xfId="21403"/>
    <cellStyle name="Note 3 2 3 15 2 2 2" xfId="41471"/>
    <cellStyle name="Note 3 2 3 15 2 3" xfId="28968"/>
    <cellStyle name="Note 3 2 3 15 3" xfId="15948"/>
    <cellStyle name="Note 3 2 3 15 3 2" xfId="36016"/>
    <cellStyle name="Note 3 2 3 15 4" xfId="28967"/>
    <cellStyle name="Note 3 2 3 16" xfId="8779"/>
    <cellStyle name="Note 3 2 3 16 2" xfId="8780"/>
    <cellStyle name="Note 3 2 3 16 2 2" xfId="21404"/>
    <cellStyle name="Note 3 2 3 16 2 2 2" xfId="41472"/>
    <cellStyle name="Note 3 2 3 16 2 3" xfId="28970"/>
    <cellStyle name="Note 3 2 3 16 3" xfId="16197"/>
    <cellStyle name="Note 3 2 3 16 3 2" xfId="36265"/>
    <cellStyle name="Note 3 2 3 16 4" xfId="28969"/>
    <cellStyle name="Note 3 2 3 17" xfId="8781"/>
    <cellStyle name="Note 3 2 3 17 2" xfId="8782"/>
    <cellStyle name="Note 3 2 3 17 2 2" xfId="21405"/>
    <cellStyle name="Note 3 2 3 17 2 2 2" xfId="41473"/>
    <cellStyle name="Note 3 2 3 17 2 3" xfId="28972"/>
    <cellStyle name="Note 3 2 3 17 3" xfId="16095"/>
    <cellStyle name="Note 3 2 3 17 3 2" xfId="36163"/>
    <cellStyle name="Note 3 2 3 17 4" xfId="28971"/>
    <cellStyle name="Note 3 2 3 18" xfId="8783"/>
    <cellStyle name="Note 3 2 3 18 2" xfId="8784"/>
    <cellStyle name="Note 3 2 3 18 2 2" xfId="21406"/>
    <cellStyle name="Note 3 2 3 18 2 2 2" xfId="41474"/>
    <cellStyle name="Note 3 2 3 18 2 3" xfId="28974"/>
    <cellStyle name="Note 3 2 3 18 3" xfId="16864"/>
    <cellStyle name="Note 3 2 3 18 3 2" xfId="36932"/>
    <cellStyle name="Note 3 2 3 18 4" xfId="28973"/>
    <cellStyle name="Note 3 2 3 19" xfId="8785"/>
    <cellStyle name="Note 3 2 3 19 2" xfId="8786"/>
    <cellStyle name="Note 3 2 3 19 2 2" xfId="21407"/>
    <cellStyle name="Note 3 2 3 19 2 2 2" xfId="41475"/>
    <cellStyle name="Note 3 2 3 19 2 3" xfId="28976"/>
    <cellStyle name="Note 3 2 3 19 3" xfId="15787"/>
    <cellStyle name="Note 3 2 3 19 3 2" xfId="35855"/>
    <cellStyle name="Note 3 2 3 19 4" xfId="28975"/>
    <cellStyle name="Note 3 2 3 2" xfId="8787"/>
    <cellStyle name="Note 3 2 3 2 10" xfId="8788"/>
    <cellStyle name="Note 3 2 3 2 10 2" xfId="8789"/>
    <cellStyle name="Note 3 2 3 2 10 2 2" xfId="21409"/>
    <cellStyle name="Note 3 2 3 2 10 2 2 2" xfId="41477"/>
    <cellStyle name="Note 3 2 3 2 10 2 3" xfId="28979"/>
    <cellStyle name="Note 3 2 3 2 10 3" xfId="16956"/>
    <cellStyle name="Note 3 2 3 2 10 3 2" xfId="37024"/>
    <cellStyle name="Note 3 2 3 2 10 4" xfId="28978"/>
    <cellStyle name="Note 3 2 3 2 11" xfId="8790"/>
    <cellStyle name="Note 3 2 3 2 11 2" xfId="8791"/>
    <cellStyle name="Note 3 2 3 2 11 2 2" xfId="21410"/>
    <cellStyle name="Note 3 2 3 2 11 2 2 2" xfId="41478"/>
    <cellStyle name="Note 3 2 3 2 11 2 3" xfId="28981"/>
    <cellStyle name="Note 3 2 3 2 11 3" xfId="17101"/>
    <cellStyle name="Note 3 2 3 2 11 3 2" xfId="37169"/>
    <cellStyle name="Note 3 2 3 2 11 4" xfId="28980"/>
    <cellStyle name="Note 3 2 3 2 12" xfId="8792"/>
    <cellStyle name="Note 3 2 3 2 12 2" xfId="8793"/>
    <cellStyle name="Note 3 2 3 2 12 2 2" xfId="21411"/>
    <cellStyle name="Note 3 2 3 2 12 2 2 2" xfId="41479"/>
    <cellStyle name="Note 3 2 3 2 12 2 3" xfId="28983"/>
    <cellStyle name="Note 3 2 3 2 12 3" xfId="17273"/>
    <cellStyle name="Note 3 2 3 2 12 3 2" xfId="37341"/>
    <cellStyle name="Note 3 2 3 2 12 4" xfId="28982"/>
    <cellStyle name="Note 3 2 3 2 13" xfId="8794"/>
    <cellStyle name="Note 3 2 3 2 13 2" xfId="8795"/>
    <cellStyle name="Note 3 2 3 2 13 2 2" xfId="21412"/>
    <cellStyle name="Note 3 2 3 2 13 2 2 2" xfId="41480"/>
    <cellStyle name="Note 3 2 3 2 13 2 3" xfId="28985"/>
    <cellStyle name="Note 3 2 3 2 13 3" xfId="17437"/>
    <cellStyle name="Note 3 2 3 2 13 3 2" xfId="37505"/>
    <cellStyle name="Note 3 2 3 2 13 4" xfId="28984"/>
    <cellStyle name="Note 3 2 3 2 14" xfId="8796"/>
    <cellStyle name="Note 3 2 3 2 14 2" xfId="8797"/>
    <cellStyle name="Note 3 2 3 2 14 2 2" xfId="21413"/>
    <cellStyle name="Note 3 2 3 2 14 2 2 2" xfId="41481"/>
    <cellStyle name="Note 3 2 3 2 14 2 3" xfId="28987"/>
    <cellStyle name="Note 3 2 3 2 14 3" xfId="17563"/>
    <cellStyle name="Note 3 2 3 2 14 3 2" xfId="37631"/>
    <cellStyle name="Note 3 2 3 2 14 4" xfId="28986"/>
    <cellStyle name="Note 3 2 3 2 15" xfId="8798"/>
    <cellStyle name="Note 3 2 3 2 15 2" xfId="8799"/>
    <cellStyle name="Note 3 2 3 2 15 2 2" xfId="21414"/>
    <cellStyle name="Note 3 2 3 2 15 2 2 2" xfId="41482"/>
    <cellStyle name="Note 3 2 3 2 15 2 3" xfId="28989"/>
    <cellStyle name="Note 3 2 3 2 15 3" xfId="15942"/>
    <cellStyle name="Note 3 2 3 2 15 3 2" xfId="36010"/>
    <cellStyle name="Note 3 2 3 2 15 4" xfId="28988"/>
    <cellStyle name="Note 3 2 3 2 16" xfId="8800"/>
    <cellStyle name="Note 3 2 3 2 16 2" xfId="8801"/>
    <cellStyle name="Note 3 2 3 2 16 2 2" xfId="21415"/>
    <cellStyle name="Note 3 2 3 2 16 2 2 2" xfId="41483"/>
    <cellStyle name="Note 3 2 3 2 16 2 3" xfId="28991"/>
    <cellStyle name="Note 3 2 3 2 16 3" xfId="17813"/>
    <cellStyle name="Note 3 2 3 2 16 3 2" xfId="37881"/>
    <cellStyle name="Note 3 2 3 2 16 4" xfId="28990"/>
    <cellStyle name="Note 3 2 3 2 17" xfId="8802"/>
    <cellStyle name="Note 3 2 3 2 17 2" xfId="8803"/>
    <cellStyle name="Note 3 2 3 2 17 2 2" xfId="21416"/>
    <cellStyle name="Note 3 2 3 2 17 2 2 2" xfId="41484"/>
    <cellStyle name="Note 3 2 3 2 17 2 3" xfId="28993"/>
    <cellStyle name="Note 3 2 3 2 17 3" xfId="17951"/>
    <cellStyle name="Note 3 2 3 2 17 3 2" xfId="38019"/>
    <cellStyle name="Note 3 2 3 2 17 4" xfId="28992"/>
    <cellStyle name="Note 3 2 3 2 18" xfId="8804"/>
    <cellStyle name="Note 3 2 3 2 18 2" xfId="8805"/>
    <cellStyle name="Note 3 2 3 2 18 2 2" xfId="21417"/>
    <cellStyle name="Note 3 2 3 2 18 2 2 2" xfId="41485"/>
    <cellStyle name="Note 3 2 3 2 18 2 3" xfId="28995"/>
    <cellStyle name="Note 3 2 3 2 18 3" xfId="18090"/>
    <cellStyle name="Note 3 2 3 2 18 3 2" xfId="38158"/>
    <cellStyle name="Note 3 2 3 2 18 4" xfId="28994"/>
    <cellStyle name="Note 3 2 3 2 19" xfId="8806"/>
    <cellStyle name="Note 3 2 3 2 19 2" xfId="8807"/>
    <cellStyle name="Note 3 2 3 2 19 2 2" xfId="21418"/>
    <cellStyle name="Note 3 2 3 2 19 2 2 2" xfId="41486"/>
    <cellStyle name="Note 3 2 3 2 19 2 3" xfId="28997"/>
    <cellStyle name="Note 3 2 3 2 19 3" xfId="18208"/>
    <cellStyle name="Note 3 2 3 2 19 3 2" xfId="38276"/>
    <cellStyle name="Note 3 2 3 2 19 4" xfId="28996"/>
    <cellStyle name="Note 3 2 3 2 2" xfId="8808"/>
    <cellStyle name="Note 3 2 3 2 2 2" xfId="8809"/>
    <cellStyle name="Note 3 2 3 2 2 2 2" xfId="21419"/>
    <cellStyle name="Note 3 2 3 2 2 2 2 2" xfId="41487"/>
    <cellStyle name="Note 3 2 3 2 2 2 3" xfId="28999"/>
    <cellStyle name="Note 3 2 3 2 2 3" xfId="14676"/>
    <cellStyle name="Note 3 2 3 2 2 3 2" xfId="34744"/>
    <cellStyle name="Note 3 2 3 2 2 4" xfId="28998"/>
    <cellStyle name="Note 3 2 3 2 20" xfId="8810"/>
    <cellStyle name="Note 3 2 3 2 20 2" xfId="8811"/>
    <cellStyle name="Note 3 2 3 2 20 2 2" xfId="21420"/>
    <cellStyle name="Note 3 2 3 2 20 2 2 2" xfId="41488"/>
    <cellStyle name="Note 3 2 3 2 20 2 3" xfId="29001"/>
    <cellStyle name="Note 3 2 3 2 20 3" xfId="16700"/>
    <cellStyle name="Note 3 2 3 2 20 3 2" xfId="36768"/>
    <cellStyle name="Note 3 2 3 2 20 4" xfId="29000"/>
    <cellStyle name="Note 3 2 3 2 21" xfId="8812"/>
    <cellStyle name="Note 3 2 3 2 21 2" xfId="8813"/>
    <cellStyle name="Note 3 2 3 2 21 2 2" xfId="21421"/>
    <cellStyle name="Note 3 2 3 2 21 2 2 2" xfId="41489"/>
    <cellStyle name="Note 3 2 3 2 21 2 3" xfId="29003"/>
    <cellStyle name="Note 3 2 3 2 21 3" xfId="18413"/>
    <cellStyle name="Note 3 2 3 2 21 3 2" xfId="38481"/>
    <cellStyle name="Note 3 2 3 2 21 4" xfId="29002"/>
    <cellStyle name="Note 3 2 3 2 22" xfId="8814"/>
    <cellStyle name="Note 3 2 3 2 22 2" xfId="8815"/>
    <cellStyle name="Note 3 2 3 2 22 2 2" xfId="21422"/>
    <cellStyle name="Note 3 2 3 2 22 2 2 2" xfId="41490"/>
    <cellStyle name="Note 3 2 3 2 22 2 3" xfId="29005"/>
    <cellStyle name="Note 3 2 3 2 22 3" xfId="18546"/>
    <cellStyle name="Note 3 2 3 2 22 3 2" xfId="38614"/>
    <cellStyle name="Note 3 2 3 2 22 4" xfId="29004"/>
    <cellStyle name="Note 3 2 3 2 23" xfId="8816"/>
    <cellStyle name="Note 3 2 3 2 23 2" xfId="8817"/>
    <cellStyle name="Note 3 2 3 2 23 2 2" xfId="21423"/>
    <cellStyle name="Note 3 2 3 2 23 2 2 2" xfId="41491"/>
    <cellStyle name="Note 3 2 3 2 23 2 3" xfId="29007"/>
    <cellStyle name="Note 3 2 3 2 23 3" xfId="18657"/>
    <cellStyle name="Note 3 2 3 2 23 3 2" xfId="38725"/>
    <cellStyle name="Note 3 2 3 2 23 4" xfId="29006"/>
    <cellStyle name="Note 3 2 3 2 24" xfId="8818"/>
    <cellStyle name="Note 3 2 3 2 24 2" xfId="8819"/>
    <cellStyle name="Note 3 2 3 2 24 2 2" xfId="21424"/>
    <cellStyle name="Note 3 2 3 2 24 2 2 2" xfId="41492"/>
    <cellStyle name="Note 3 2 3 2 24 2 3" xfId="29009"/>
    <cellStyle name="Note 3 2 3 2 24 3" xfId="18757"/>
    <cellStyle name="Note 3 2 3 2 24 3 2" xfId="38825"/>
    <cellStyle name="Note 3 2 3 2 24 4" xfId="29008"/>
    <cellStyle name="Note 3 2 3 2 25" xfId="8820"/>
    <cellStyle name="Note 3 2 3 2 25 2" xfId="8821"/>
    <cellStyle name="Note 3 2 3 2 25 2 2" xfId="21425"/>
    <cellStyle name="Note 3 2 3 2 25 2 2 2" xfId="41493"/>
    <cellStyle name="Note 3 2 3 2 25 2 3" xfId="29011"/>
    <cellStyle name="Note 3 2 3 2 25 3" xfId="18857"/>
    <cellStyle name="Note 3 2 3 2 25 3 2" xfId="38925"/>
    <cellStyle name="Note 3 2 3 2 25 4" xfId="29010"/>
    <cellStyle name="Note 3 2 3 2 26" xfId="8822"/>
    <cellStyle name="Note 3 2 3 2 26 2" xfId="21408"/>
    <cellStyle name="Note 3 2 3 2 26 2 2" xfId="41476"/>
    <cellStyle name="Note 3 2 3 2 26 3" xfId="29012"/>
    <cellStyle name="Note 3 2 3 2 27" xfId="14422"/>
    <cellStyle name="Note 3 2 3 2 27 2" xfId="34490"/>
    <cellStyle name="Note 3 2 3 2 28" xfId="28977"/>
    <cellStyle name="Note 3 2 3 2 3" xfId="8823"/>
    <cellStyle name="Note 3 2 3 2 3 2" xfId="8824"/>
    <cellStyle name="Note 3 2 3 2 3 2 2" xfId="21426"/>
    <cellStyle name="Note 3 2 3 2 3 2 2 2" xfId="41494"/>
    <cellStyle name="Note 3 2 3 2 3 2 3" xfId="29014"/>
    <cellStyle name="Note 3 2 3 2 3 3" xfId="14800"/>
    <cellStyle name="Note 3 2 3 2 3 3 2" xfId="34868"/>
    <cellStyle name="Note 3 2 3 2 3 4" xfId="29013"/>
    <cellStyle name="Note 3 2 3 2 4" xfId="8825"/>
    <cellStyle name="Note 3 2 3 2 4 2" xfId="8826"/>
    <cellStyle name="Note 3 2 3 2 4 2 2" xfId="21427"/>
    <cellStyle name="Note 3 2 3 2 4 2 2 2" xfId="41495"/>
    <cellStyle name="Note 3 2 3 2 4 2 3" xfId="29016"/>
    <cellStyle name="Note 3 2 3 2 4 3" xfId="14925"/>
    <cellStyle name="Note 3 2 3 2 4 3 2" xfId="34993"/>
    <cellStyle name="Note 3 2 3 2 4 4" xfId="29015"/>
    <cellStyle name="Note 3 2 3 2 5" xfId="8827"/>
    <cellStyle name="Note 3 2 3 2 5 2" xfId="8828"/>
    <cellStyle name="Note 3 2 3 2 5 2 2" xfId="21428"/>
    <cellStyle name="Note 3 2 3 2 5 2 2 2" xfId="41496"/>
    <cellStyle name="Note 3 2 3 2 5 2 3" xfId="29018"/>
    <cellStyle name="Note 3 2 3 2 5 3" xfId="15094"/>
    <cellStyle name="Note 3 2 3 2 5 3 2" xfId="35162"/>
    <cellStyle name="Note 3 2 3 2 5 4" xfId="29017"/>
    <cellStyle name="Note 3 2 3 2 6" xfId="8829"/>
    <cellStyle name="Note 3 2 3 2 6 2" xfId="8830"/>
    <cellStyle name="Note 3 2 3 2 6 2 2" xfId="21429"/>
    <cellStyle name="Note 3 2 3 2 6 2 2 2" xfId="41497"/>
    <cellStyle name="Note 3 2 3 2 6 2 3" xfId="29020"/>
    <cellStyle name="Note 3 2 3 2 6 3" xfId="14152"/>
    <cellStyle name="Note 3 2 3 2 6 3 2" xfId="34220"/>
    <cellStyle name="Note 3 2 3 2 6 4" xfId="29019"/>
    <cellStyle name="Note 3 2 3 2 7" xfId="8831"/>
    <cellStyle name="Note 3 2 3 2 7 2" xfId="8832"/>
    <cellStyle name="Note 3 2 3 2 7 2 2" xfId="21430"/>
    <cellStyle name="Note 3 2 3 2 7 2 2 2" xfId="41498"/>
    <cellStyle name="Note 3 2 3 2 7 2 3" xfId="29022"/>
    <cellStyle name="Note 3 2 3 2 7 3" xfId="15226"/>
    <cellStyle name="Note 3 2 3 2 7 3 2" xfId="35294"/>
    <cellStyle name="Note 3 2 3 2 7 4" xfId="29021"/>
    <cellStyle name="Note 3 2 3 2 8" xfId="8833"/>
    <cellStyle name="Note 3 2 3 2 8 2" xfId="8834"/>
    <cellStyle name="Note 3 2 3 2 8 2 2" xfId="21431"/>
    <cellStyle name="Note 3 2 3 2 8 2 2 2" xfId="41499"/>
    <cellStyle name="Note 3 2 3 2 8 2 3" xfId="29024"/>
    <cellStyle name="Note 3 2 3 2 8 3" xfId="16591"/>
    <cellStyle name="Note 3 2 3 2 8 3 2" xfId="36659"/>
    <cellStyle name="Note 3 2 3 2 8 4" xfId="29023"/>
    <cellStyle name="Note 3 2 3 2 9" xfId="8835"/>
    <cellStyle name="Note 3 2 3 2 9 2" xfId="8836"/>
    <cellStyle name="Note 3 2 3 2 9 2 2" xfId="21432"/>
    <cellStyle name="Note 3 2 3 2 9 2 2 2" xfId="41500"/>
    <cellStyle name="Note 3 2 3 2 9 2 3" xfId="29026"/>
    <cellStyle name="Note 3 2 3 2 9 3" xfId="16795"/>
    <cellStyle name="Note 3 2 3 2 9 3 2" xfId="36863"/>
    <cellStyle name="Note 3 2 3 2 9 4" xfId="29025"/>
    <cellStyle name="Note 3 2 3 20" xfId="8837"/>
    <cellStyle name="Note 3 2 3 20 2" xfId="8838"/>
    <cellStyle name="Note 3 2 3 20 2 2" xfId="21433"/>
    <cellStyle name="Note 3 2 3 20 2 2 2" xfId="41501"/>
    <cellStyle name="Note 3 2 3 20 2 3" xfId="29028"/>
    <cellStyle name="Note 3 2 3 20 3" xfId="16279"/>
    <cellStyle name="Note 3 2 3 20 3 2" xfId="36347"/>
    <cellStyle name="Note 3 2 3 20 4" xfId="29027"/>
    <cellStyle name="Note 3 2 3 21" xfId="8839"/>
    <cellStyle name="Note 3 2 3 21 2" xfId="8840"/>
    <cellStyle name="Note 3 2 3 21 2 2" xfId="21434"/>
    <cellStyle name="Note 3 2 3 21 2 2 2" xfId="41502"/>
    <cellStyle name="Note 3 2 3 21 2 3" xfId="29030"/>
    <cellStyle name="Note 3 2 3 21 3" xfId="16048"/>
    <cellStyle name="Note 3 2 3 21 3 2" xfId="36116"/>
    <cellStyle name="Note 3 2 3 21 4" xfId="29029"/>
    <cellStyle name="Note 3 2 3 22" xfId="8841"/>
    <cellStyle name="Note 3 2 3 22 2" xfId="8842"/>
    <cellStyle name="Note 3 2 3 22 2 2" xfId="21435"/>
    <cellStyle name="Note 3 2 3 22 2 2 2" xfId="41503"/>
    <cellStyle name="Note 3 2 3 22 2 3" xfId="29032"/>
    <cellStyle name="Note 3 2 3 22 3" xfId="15628"/>
    <cellStyle name="Note 3 2 3 22 3 2" xfId="35696"/>
    <cellStyle name="Note 3 2 3 22 4" xfId="29031"/>
    <cellStyle name="Note 3 2 3 23" xfId="8843"/>
    <cellStyle name="Note 3 2 3 23 2" xfId="8844"/>
    <cellStyle name="Note 3 2 3 23 2 2" xfId="21436"/>
    <cellStyle name="Note 3 2 3 23 2 2 2" xfId="41504"/>
    <cellStyle name="Note 3 2 3 23 2 3" xfId="29034"/>
    <cellStyle name="Note 3 2 3 23 3" xfId="15859"/>
    <cellStyle name="Note 3 2 3 23 3 2" xfId="35927"/>
    <cellStyle name="Note 3 2 3 23 4" xfId="29033"/>
    <cellStyle name="Note 3 2 3 24" xfId="8845"/>
    <cellStyle name="Note 3 2 3 24 2" xfId="8846"/>
    <cellStyle name="Note 3 2 3 24 2 2" xfId="21437"/>
    <cellStyle name="Note 3 2 3 24 2 2 2" xfId="41505"/>
    <cellStyle name="Note 3 2 3 24 2 3" xfId="29036"/>
    <cellStyle name="Note 3 2 3 24 3" xfId="17376"/>
    <cellStyle name="Note 3 2 3 24 3 2" xfId="37444"/>
    <cellStyle name="Note 3 2 3 24 4" xfId="29035"/>
    <cellStyle name="Note 3 2 3 25" xfId="8847"/>
    <cellStyle name="Note 3 2 3 25 2" xfId="8848"/>
    <cellStyle name="Note 3 2 3 25 2 2" xfId="21438"/>
    <cellStyle name="Note 3 2 3 25 2 2 2" xfId="41506"/>
    <cellStyle name="Note 3 2 3 25 2 3" xfId="29038"/>
    <cellStyle name="Note 3 2 3 25 3" xfId="15771"/>
    <cellStyle name="Note 3 2 3 25 3 2" xfId="35839"/>
    <cellStyle name="Note 3 2 3 25 4" xfId="29037"/>
    <cellStyle name="Note 3 2 3 26" xfId="8849"/>
    <cellStyle name="Note 3 2 3 26 2" xfId="8850"/>
    <cellStyle name="Note 3 2 3 26 2 2" xfId="21439"/>
    <cellStyle name="Note 3 2 3 26 2 2 2" xfId="41507"/>
    <cellStyle name="Note 3 2 3 26 2 3" xfId="29040"/>
    <cellStyle name="Note 3 2 3 26 3" xfId="17037"/>
    <cellStyle name="Note 3 2 3 26 3 2" xfId="37105"/>
    <cellStyle name="Note 3 2 3 26 4" xfId="29039"/>
    <cellStyle name="Note 3 2 3 27" xfId="8851"/>
    <cellStyle name="Note 3 2 3 27 2" xfId="8852"/>
    <cellStyle name="Note 3 2 3 27 2 2" xfId="21440"/>
    <cellStyle name="Note 3 2 3 27 2 2 2" xfId="41508"/>
    <cellStyle name="Note 3 2 3 27 2 3" xfId="29042"/>
    <cellStyle name="Note 3 2 3 27 3" xfId="16386"/>
    <cellStyle name="Note 3 2 3 27 3 2" xfId="36454"/>
    <cellStyle name="Note 3 2 3 27 4" xfId="29041"/>
    <cellStyle name="Note 3 2 3 28" xfId="8853"/>
    <cellStyle name="Note 3 2 3 28 2" xfId="21397"/>
    <cellStyle name="Note 3 2 3 28 2 2" xfId="41465"/>
    <cellStyle name="Note 3 2 3 28 3" xfId="29043"/>
    <cellStyle name="Note 3 2 3 29" xfId="13907"/>
    <cellStyle name="Note 3 2 3 29 2" xfId="33975"/>
    <cellStyle name="Note 3 2 3 3" xfId="8854"/>
    <cellStyle name="Note 3 2 3 3 2" xfId="8855"/>
    <cellStyle name="Note 3 2 3 3 2 2" xfId="21441"/>
    <cellStyle name="Note 3 2 3 3 2 2 2" xfId="41509"/>
    <cellStyle name="Note 3 2 3 3 2 3" xfId="29045"/>
    <cellStyle name="Note 3 2 3 3 3" xfId="14235"/>
    <cellStyle name="Note 3 2 3 3 3 2" xfId="34303"/>
    <cellStyle name="Note 3 2 3 3 4" xfId="29044"/>
    <cellStyle name="Note 3 2 3 30" xfId="28956"/>
    <cellStyle name="Note 3 2 3 4" xfId="8856"/>
    <cellStyle name="Note 3 2 3 4 2" xfId="8857"/>
    <cellStyle name="Note 3 2 3 4 2 2" xfId="21442"/>
    <cellStyle name="Note 3 2 3 4 2 2 2" xfId="41510"/>
    <cellStyle name="Note 3 2 3 4 2 3" xfId="29047"/>
    <cellStyle name="Note 3 2 3 4 3" xfId="14589"/>
    <cellStyle name="Note 3 2 3 4 3 2" xfId="34657"/>
    <cellStyle name="Note 3 2 3 4 4" xfId="29046"/>
    <cellStyle name="Note 3 2 3 5" xfId="8858"/>
    <cellStyle name="Note 3 2 3 5 2" xfId="8859"/>
    <cellStyle name="Note 3 2 3 5 2 2" xfId="21443"/>
    <cellStyle name="Note 3 2 3 5 2 2 2" xfId="41511"/>
    <cellStyle name="Note 3 2 3 5 2 3" xfId="29049"/>
    <cellStyle name="Note 3 2 3 5 3" xfId="14430"/>
    <cellStyle name="Note 3 2 3 5 3 2" xfId="34498"/>
    <cellStyle name="Note 3 2 3 5 4" xfId="29048"/>
    <cellStyle name="Note 3 2 3 6" xfId="8860"/>
    <cellStyle name="Note 3 2 3 6 2" xfId="8861"/>
    <cellStyle name="Note 3 2 3 6 2 2" xfId="21444"/>
    <cellStyle name="Note 3 2 3 6 2 2 2" xfId="41512"/>
    <cellStyle name="Note 3 2 3 6 2 3" xfId="29051"/>
    <cellStyle name="Note 3 2 3 6 3" xfId="14282"/>
    <cellStyle name="Note 3 2 3 6 3 2" xfId="34350"/>
    <cellStyle name="Note 3 2 3 6 4" xfId="29050"/>
    <cellStyle name="Note 3 2 3 7" xfId="8862"/>
    <cellStyle name="Note 3 2 3 7 2" xfId="8863"/>
    <cellStyle name="Note 3 2 3 7 2 2" xfId="21445"/>
    <cellStyle name="Note 3 2 3 7 2 2 2" xfId="41513"/>
    <cellStyle name="Note 3 2 3 7 2 3" xfId="29053"/>
    <cellStyle name="Note 3 2 3 7 3" xfId="14023"/>
    <cellStyle name="Note 3 2 3 7 3 2" xfId="34091"/>
    <cellStyle name="Note 3 2 3 7 4" xfId="29052"/>
    <cellStyle name="Note 3 2 3 8" xfId="8864"/>
    <cellStyle name="Note 3 2 3 8 2" xfId="8865"/>
    <cellStyle name="Note 3 2 3 8 2 2" xfId="21446"/>
    <cellStyle name="Note 3 2 3 8 2 2 2" xfId="41514"/>
    <cellStyle name="Note 3 2 3 8 2 3" xfId="29055"/>
    <cellStyle name="Note 3 2 3 8 3" xfId="14279"/>
    <cellStyle name="Note 3 2 3 8 3 2" xfId="34347"/>
    <cellStyle name="Note 3 2 3 8 4" xfId="29054"/>
    <cellStyle name="Note 3 2 3 9" xfId="8866"/>
    <cellStyle name="Note 3 2 3 9 2" xfId="8867"/>
    <cellStyle name="Note 3 2 3 9 2 2" xfId="21447"/>
    <cellStyle name="Note 3 2 3 9 2 2 2" xfId="41515"/>
    <cellStyle name="Note 3 2 3 9 2 3" xfId="29057"/>
    <cellStyle name="Note 3 2 3 9 3" xfId="15313"/>
    <cellStyle name="Note 3 2 3 9 3 2" xfId="35381"/>
    <cellStyle name="Note 3 2 3 9 4" xfId="29056"/>
    <cellStyle name="Note 3 2 30" xfId="8868"/>
    <cellStyle name="Note 3 2 30 2" xfId="21325"/>
    <cellStyle name="Note 3 2 30 2 2" xfId="41393"/>
    <cellStyle name="Note 3 2 30 3" xfId="29058"/>
    <cellStyle name="Note 3 2 31" xfId="13905"/>
    <cellStyle name="Note 3 2 31 2" xfId="33973"/>
    <cellStyle name="Note 3 2 32" xfId="28813"/>
    <cellStyle name="Note 3 2 4" xfId="8869"/>
    <cellStyle name="Note 3 2 4 10" xfId="8870"/>
    <cellStyle name="Note 3 2 4 10 2" xfId="8871"/>
    <cellStyle name="Note 3 2 4 10 2 2" xfId="21449"/>
    <cellStyle name="Note 3 2 4 10 2 2 2" xfId="41517"/>
    <cellStyle name="Note 3 2 4 10 2 3" xfId="29061"/>
    <cellStyle name="Note 3 2 4 10 3" xfId="16954"/>
    <cellStyle name="Note 3 2 4 10 3 2" xfId="37022"/>
    <cellStyle name="Note 3 2 4 10 4" xfId="29060"/>
    <cellStyle name="Note 3 2 4 11" xfId="8872"/>
    <cellStyle name="Note 3 2 4 11 2" xfId="8873"/>
    <cellStyle name="Note 3 2 4 11 2 2" xfId="21450"/>
    <cellStyle name="Note 3 2 4 11 2 2 2" xfId="41518"/>
    <cellStyle name="Note 3 2 4 11 2 3" xfId="29063"/>
    <cellStyle name="Note 3 2 4 11 3" xfId="17099"/>
    <cellStyle name="Note 3 2 4 11 3 2" xfId="37167"/>
    <cellStyle name="Note 3 2 4 11 4" xfId="29062"/>
    <cellStyle name="Note 3 2 4 12" xfId="8874"/>
    <cellStyle name="Note 3 2 4 12 2" xfId="8875"/>
    <cellStyle name="Note 3 2 4 12 2 2" xfId="21451"/>
    <cellStyle name="Note 3 2 4 12 2 2 2" xfId="41519"/>
    <cellStyle name="Note 3 2 4 12 2 3" xfId="29065"/>
    <cellStyle name="Note 3 2 4 12 3" xfId="17271"/>
    <cellStyle name="Note 3 2 4 12 3 2" xfId="37339"/>
    <cellStyle name="Note 3 2 4 12 4" xfId="29064"/>
    <cellStyle name="Note 3 2 4 13" xfId="8876"/>
    <cellStyle name="Note 3 2 4 13 2" xfId="8877"/>
    <cellStyle name="Note 3 2 4 13 2 2" xfId="21452"/>
    <cellStyle name="Note 3 2 4 13 2 2 2" xfId="41520"/>
    <cellStyle name="Note 3 2 4 13 2 3" xfId="29067"/>
    <cellStyle name="Note 3 2 4 13 3" xfId="17435"/>
    <cellStyle name="Note 3 2 4 13 3 2" xfId="37503"/>
    <cellStyle name="Note 3 2 4 13 4" xfId="29066"/>
    <cellStyle name="Note 3 2 4 14" xfId="8878"/>
    <cellStyle name="Note 3 2 4 14 2" xfId="8879"/>
    <cellStyle name="Note 3 2 4 14 2 2" xfId="21453"/>
    <cellStyle name="Note 3 2 4 14 2 2 2" xfId="41521"/>
    <cellStyle name="Note 3 2 4 14 2 3" xfId="29069"/>
    <cellStyle name="Note 3 2 4 14 3" xfId="17561"/>
    <cellStyle name="Note 3 2 4 14 3 2" xfId="37629"/>
    <cellStyle name="Note 3 2 4 14 4" xfId="29068"/>
    <cellStyle name="Note 3 2 4 15" xfId="8880"/>
    <cellStyle name="Note 3 2 4 15 2" xfId="8881"/>
    <cellStyle name="Note 3 2 4 15 2 2" xfId="21454"/>
    <cellStyle name="Note 3 2 4 15 2 2 2" xfId="41522"/>
    <cellStyle name="Note 3 2 4 15 2 3" xfId="29071"/>
    <cellStyle name="Note 3 2 4 15 3" xfId="16241"/>
    <cellStyle name="Note 3 2 4 15 3 2" xfId="36309"/>
    <cellStyle name="Note 3 2 4 15 4" xfId="29070"/>
    <cellStyle name="Note 3 2 4 16" xfId="8882"/>
    <cellStyle name="Note 3 2 4 16 2" xfId="8883"/>
    <cellStyle name="Note 3 2 4 16 2 2" xfId="21455"/>
    <cellStyle name="Note 3 2 4 16 2 2 2" xfId="41523"/>
    <cellStyle name="Note 3 2 4 16 2 3" xfId="29073"/>
    <cellStyle name="Note 3 2 4 16 3" xfId="17811"/>
    <cellStyle name="Note 3 2 4 16 3 2" xfId="37879"/>
    <cellStyle name="Note 3 2 4 16 4" xfId="29072"/>
    <cellStyle name="Note 3 2 4 17" xfId="8884"/>
    <cellStyle name="Note 3 2 4 17 2" xfId="8885"/>
    <cellStyle name="Note 3 2 4 17 2 2" xfId="21456"/>
    <cellStyle name="Note 3 2 4 17 2 2 2" xfId="41524"/>
    <cellStyle name="Note 3 2 4 17 2 3" xfId="29075"/>
    <cellStyle name="Note 3 2 4 17 3" xfId="17949"/>
    <cellStyle name="Note 3 2 4 17 3 2" xfId="38017"/>
    <cellStyle name="Note 3 2 4 17 4" xfId="29074"/>
    <cellStyle name="Note 3 2 4 18" xfId="8886"/>
    <cellStyle name="Note 3 2 4 18 2" xfId="8887"/>
    <cellStyle name="Note 3 2 4 18 2 2" xfId="21457"/>
    <cellStyle name="Note 3 2 4 18 2 2 2" xfId="41525"/>
    <cellStyle name="Note 3 2 4 18 2 3" xfId="29077"/>
    <cellStyle name="Note 3 2 4 18 3" xfId="18088"/>
    <cellStyle name="Note 3 2 4 18 3 2" xfId="38156"/>
    <cellStyle name="Note 3 2 4 18 4" xfId="29076"/>
    <cellStyle name="Note 3 2 4 19" xfId="8888"/>
    <cellStyle name="Note 3 2 4 19 2" xfId="8889"/>
    <cellStyle name="Note 3 2 4 19 2 2" xfId="21458"/>
    <cellStyle name="Note 3 2 4 19 2 2 2" xfId="41526"/>
    <cellStyle name="Note 3 2 4 19 2 3" xfId="29079"/>
    <cellStyle name="Note 3 2 4 19 3" xfId="18206"/>
    <cellStyle name="Note 3 2 4 19 3 2" xfId="38274"/>
    <cellStyle name="Note 3 2 4 19 4" xfId="29078"/>
    <cellStyle name="Note 3 2 4 2" xfId="8890"/>
    <cellStyle name="Note 3 2 4 2 2" xfId="8891"/>
    <cellStyle name="Note 3 2 4 2 2 2" xfId="21459"/>
    <cellStyle name="Note 3 2 4 2 2 2 2" xfId="41527"/>
    <cellStyle name="Note 3 2 4 2 2 3" xfId="29081"/>
    <cellStyle name="Note 3 2 4 2 3" xfId="14674"/>
    <cellStyle name="Note 3 2 4 2 3 2" xfId="34742"/>
    <cellStyle name="Note 3 2 4 2 4" xfId="29080"/>
    <cellStyle name="Note 3 2 4 20" xfId="8892"/>
    <cellStyle name="Note 3 2 4 20 2" xfId="8893"/>
    <cellStyle name="Note 3 2 4 20 2 2" xfId="21460"/>
    <cellStyle name="Note 3 2 4 20 2 2 2" xfId="41528"/>
    <cellStyle name="Note 3 2 4 20 2 3" xfId="29083"/>
    <cellStyle name="Note 3 2 4 20 3" xfId="17494"/>
    <cellStyle name="Note 3 2 4 20 3 2" xfId="37562"/>
    <cellStyle name="Note 3 2 4 20 4" xfId="29082"/>
    <cellStyle name="Note 3 2 4 21" xfId="8894"/>
    <cellStyle name="Note 3 2 4 21 2" xfId="8895"/>
    <cellStyle name="Note 3 2 4 21 2 2" xfId="21461"/>
    <cellStyle name="Note 3 2 4 21 2 2 2" xfId="41529"/>
    <cellStyle name="Note 3 2 4 21 2 3" xfId="29085"/>
    <cellStyle name="Note 3 2 4 21 3" xfId="18411"/>
    <cellStyle name="Note 3 2 4 21 3 2" xfId="38479"/>
    <cellStyle name="Note 3 2 4 21 4" xfId="29084"/>
    <cellStyle name="Note 3 2 4 22" xfId="8896"/>
    <cellStyle name="Note 3 2 4 22 2" xfId="8897"/>
    <cellStyle name="Note 3 2 4 22 2 2" xfId="21462"/>
    <cellStyle name="Note 3 2 4 22 2 2 2" xfId="41530"/>
    <cellStyle name="Note 3 2 4 22 2 3" xfId="29087"/>
    <cellStyle name="Note 3 2 4 22 3" xfId="18544"/>
    <cellStyle name="Note 3 2 4 22 3 2" xfId="38612"/>
    <cellStyle name="Note 3 2 4 22 4" xfId="29086"/>
    <cellStyle name="Note 3 2 4 23" xfId="8898"/>
    <cellStyle name="Note 3 2 4 23 2" xfId="8899"/>
    <cellStyle name="Note 3 2 4 23 2 2" xfId="21463"/>
    <cellStyle name="Note 3 2 4 23 2 2 2" xfId="41531"/>
    <cellStyle name="Note 3 2 4 23 2 3" xfId="29089"/>
    <cellStyle name="Note 3 2 4 23 3" xfId="18655"/>
    <cellStyle name="Note 3 2 4 23 3 2" xfId="38723"/>
    <cellStyle name="Note 3 2 4 23 4" xfId="29088"/>
    <cellStyle name="Note 3 2 4 24" xfId="8900"/>
    <cellStyle name="Note 3 2 4 24 2" xfId="8901"/>
    <cellStyle name="Note 3 2 4 24 2 2" xfId="21464"/>
    <cellStyle name="Note 3 2 4 24 2 2 2" xfId="41532"/>
    <cellStyle name="Note 3 2 4 24 2 3" xfId="29091"/>
    <cellStyle name="Note 3 2 4 24 3" xfId="18755"/>
    <cellStyle name="Note 3 2 4 24 3 2" xfId="38823"/>
    <cellStyle name="Note 3 2 4 24 4" xfId="29090"/>
    <cellStyle name="Note 3 2 4 25" xfId="8902"/>
    <cellStyle name="Note 3 2 4 25 2" xfId="8903"/>
    <cellStyle name="Note 3 2 4 25 2 2" xfId="21465"/>
    <cellStyle name="Note 3 2 4 25 2 2 2" xfId="41533"/>
    <cellStyle name="Note 3 2 4 25 2 3" xfId="29093"/>
    <cellStyle name="Note 3 2 4 25 3" xfId="18855"/>
    <cellStyle name="Note 3 2 4 25 3 2" xfId="38923"/>
    <cellStyle name="Note 3 2 4 25 4" xfId="29092"/>
    <cellStyle name="Note 3 2 4 26" xfId="8904"/>
    <cellStyle name="Note 3 2 4 26 2" xfId="21448"/>
    <cellStyle name="Note 3 2 4 26 2 2" xfId="41516"/>
    <cellStyle name="Note 3 2 4 26 3" xfId="29094"/>
    <cellStyle name="Note 3 2 4 27" xfId="14456"/>
    <cellStyle name="Note 3 2 4 27 2" xfId="34524"/>
    <cellStyle name="Note 3 2 4 28" xfId="29059"/>
    <cellStyle name="Note 3 2 4 3" xfId="8905"/>
    <cellStyle name="Note 3 2 4 3 2" xfId="8906"/>
    <cellStyle name="Note 3 2 4 3 2 2" xfId="21466"/>
    <cellStyle name="Note 3 2 4 3 2 2 2" xfId="41534"/>
    <cellStyle name="Note 3 2 4 3 2 3" xfId="29096"/>
    <cellStyle name="Note 3 2 4 3 3" xfId="14798"/>
    <cellStyle name="Note 3 2 4 3 3 2" xfId="34866"/>
    <cellStyle name="Note 3 2 4 3 4" xfId="29095"/>
    <cellStyle name="Note 3 2 4 4" xfId="8907"/>
    <cellStyle name="Note 3 2 4 4 2" xfId="8908"/>
    <cellStyle name="Note 3 2 4 4 2 2" xfId="21467"/>
    <cellStyle name="Note 3 2 4 4 2 2 2" xfId="41535"/>
    <cellStyle name="Note 3 2 4 4 2 3" xfId="29098"/>
    <cellStyle name="Note 3 2 4 4 3" xfId="14923"/>
    <cellStyle name="Note 3 2 4 4 3 2" xfId="34991"/>
    <cellStyle name="Note 3 2 4 4 4" xfId="29097"/>
    <cellStyle name="Note 3 2 4 5" xfId="8909"/>
    <cellStyle name="Note 3 2 4 5 2" xfId="8910"/>
    <cellStyle name="Note 3 2 4 5 2 2" xfId="21468"/>
    <cellStyle name="Note 3 2 4 5 2 2 2" xfId="41536"/>
    <cellStyle name="Note 3 2 4 5 2 3" xfId="29100"/>
    <cellStyle name="Note 3 2 4 5 3" xfId="15092"/>
    <cellStyle name="Note 3 2 4 5 3 2" xfId="35160"/>
    <cellStyle name="Note 3 2 4 5 4" xfId="29099"/>
    <cellStyle name="Note 3 2 4 6" xfId="8911"/>
    <cellStyle name="Note 3 2 4 6 2" xfId="8912"/>
    <cellStyle name="Note 3 2 4 6 2 2" xfId="21469"/>
    <cellStyle name="Note 3 2 4 6 2 2 2" xfId="41537"/>
    <cellStyle name="Note 3 2 4 6 2 3" xfId="29102"/>
    <cellStyle name="Note 3 2 4 6 3" xfId="14476"/>
    <cellStyle name="Note 3 2 4 6 3 2" xfId="34544"/>
    <cellStyle name="Note 3 2 4 6 4" xfId="29101"/>
    <cellStyle name="Note 3 2 4 7" xfId="8913"/>
    <cellStyle name="Note 3 2 4 7 2" xfId="8914"/>
    <cellStyle name="Note 3 2 4 7 2 2" xfId="21470"/>
    <cellStyle name="Note 3 2 4 7 2 2 2" xfId="41538"/>
    <cellStyle name="Note 3 2 4 7 2 3" xfId="29104"/>
    <cellStyle name="Note 3 2 4 7 3" xfId="15224"/>
    <cellStyle name="Note 3 2 4 7 3 2" xfId="35292"/>
    <cellStyle name="Note 3 2 4 7 4" xfId="29103"/>
    <cellStyle name="Note 3 2 4 8" xfId="8915"/>
    <cellStyle name="Note 3 2 4 8 2" xfId="8916"/>
    <cellStyle name="Note 3 2 4 8 2 2" xfId="21471"/>
    <cellStyle name="Note 3 2 4 8 2 2 2" xfId="41539"/>
    <cellStyle name="Note 3 2 4 8 2 3" xfId="29106"/>
    <cellStyle name="Note 3 2 4 8 3" xfId="16589"/>
    <cellStyle name="Note 3 2 4 8 3 2" xfId="36657"/>
    <cellStyle name="Note 3 2 4 8 4" xfId="29105"/>
    <cellStyle name="Note 3 2 4 9" xfId="8917"/>
    <cellStyle name="Note 3 2 4 9 2" xfId="8918"/>
    <cellStyle name="Note 3 2 4 9 2 2" xfId="21472"/>
    <cellStyle name="Note 3 2 4 9 2 2 2" xfId="41540"/>
    <cellStyle name="Note 3 2 4 9 2 3" xfId="29108"/>
    <cellStyle name="Note 3 2 4 9 3" xfId="16793"/>
    <cellStyle name="Note 3 2 4 9 3 2" xfId="36861"/>
    <cellStyle name="Note 3 2 4 9 4" xfId="29107"/>
    <cellStyle name="Note 3 2 5" xfId="8919"/>
    <cellStyle name="Note 3 2 5 2" xfId="8920"/>
    <cellStyle name="Note 3 2 5 2 2" xfId="21473"/>
    <cellStyle name="Note 3 2 5 2 2 2" xfId="41541"/>
    <cellStyle name="Note 3 2 5 2 3" xfId="29110"/>
    <cellStyle name="Note 3 2 5 3" xfId="14318"/>
    <cellStyle name="Note 3 2 5 3 2" xfId="34386"/>
    <cellStyle name="Note 3 2 5 4" xfId="29109"/>
    <cellStyle name="Note 3 2 6" xfId="8921"/>
    <cellStyle name="Note 3 2 6 2" xfId="8922"/>
    <cellStyle name="Note 3 2 6 2 2" xfId="21474"/>
    <cellStyle name="Note 3 2 6 2 2 2" xfId="41542"/>
    <cellStyle name="Note 3 2 6 2 3" xfId="29112"/>
    <cellStyle name="Note 3 2 6 3" xfId="14351"/>
    <cellStyle name="Note 3 2 6 3 2" xfId="34419"/>
    <cellStyle name="Note 3 2 6 4" xfId="29111"/>
    <cellStyle name="Note 3 2 7" xfId="8923"/>
    <cellStyle name="Note 3 2 7 2" xfId="8924"/>
    <cellStyle name="Note 3 2 7 2 2" xfId="21475"/>
    <cellStyle name="Note 3 2 7 2 2 2" xfId="41543"/>
    <cellStyle name="Note 3 2 7 2 3" xfId="29114"/>
    <cellStyle name="Note 3 2 7 3" xfId="14533"/>
    <cellStyle name="Note 3 2 7 3 2" xfId="34601"/>
    <cellStyle name="Note 3 2 7 4" xfId="29113"/>
    <cellStyle name="Note 3 2 8" xfId="8925"/>
    <cellStyle name="Note 3 2 8 2" xfId="8926"/>
    <cellStyle name="Note 3 2 8 2 2" xfId="21476"/>
    <cellStyle name="Note 3 2 8 2 2 2" xfId="41544"/>
    <cellStyle name="Note 3 2 8 2 3" xfId="29116"/>
    <cellStyle name="Note 3 2 8 3" xfId="14556"/>
    <cellStyle name="Note 3 2 8 3 2" xfId="34624"/>
    <cellStyle name="Note 3 2 8 4" xfId="29115"/>
    <cellStyle name="Note 3 2 9" xfId="8927"/>
    <cellStyle name="Note 3 2 9 2" xfId="8928"/>
    <cellStyle name="Note 3 2 9 2 2" xfId="21477"/>
    <cellStyle name="Note 3 2 9 2 2 2" xfId="41545"/>
    <cellStyle name="Note 3 2 9 2 3" xfId="29118"/>
    <cellStyle name="Note 3 2 9 3" xfId="14295"/>
    <cellStyle name="Note 3 2 9 3 2" xfId="34363"/>
    <cellStyle name="Note 3 2 9 4" xfId="29117"/>
    <cellStyle name="Note 3 2_2011-2012" xfId="8929"/>
    <cellStyle name="Note 3 20" xfId="8930"/>
    <cellStyle name="Note 3 20 2" xfId="8931"/>
    <cellStyle name="Note 3 20 2 2" xfId="21478"/>
    <cellStyle name="Note 3 20 2 2 2" xfId="41546"/>
    <cellStyle name="Note 3 20 2 3" xfId="29120"/>
    <cellStyle name="Note 3 20 3" xfId="17185"/>
    <cellStyle name="Note 3 20 3 2" xfId="37253"/>
    <cellStyle name="Note 3 20 4" xfId="29119"/>
    <cellStyle name="Note 3 21" xfId="8932"/>
    <cellStyle name="Note 3 21 2" xfId="8933"/>
    <cellStyle name="Note 3 21 2 2" xfId="21479"/>
    <cellStyle name="Note 3 21 2 2 2" xfId="41547"/>
    <cellStyle name="Note 3 21 2 3" xfId="29122"/>
    <cellStyle name="Note 3 21 3" xfId="15870"/>
    <cellStyle name="Note 3 21 3 2" xfId="35938"/>
    <cellStyle name="Note 3 21 4" xfId="29121"/>
    <cellStyle name="Note 3 22" xfId="8934"/>
    <cellStyle name="Note 3 22 2" xfId="8935"/>
    <cellStyle name="Note 3 22 2 2" xfId="21480"/>
    <cellStyle name="Note 3 22 2 2 2" xfId="41548"/>
    <cellStyle name="Note 3 22 2 3" xfId="29124"/>
    <cellStyle name="Note 3 22 3" xfId="17491"/>
    <cellStyle name="Note 3 22 3 2" xfId="37559"/>
    <cellStyle name="Note 3 22 4" xfId="29123"/>
    <cellStyle name="Note 3 23" xfId="8936"/>
    <cellStyle name="Note 3 23 2" xfId="8937"/>
    <cellStyle name="Note 3 23 2 2" xfId="21481"/>
    <cellStyle name="Note 3 23 2 2 2" xfId="41549"/>
    <cellStyle name="Note 3 23 2 3" xfId="29126"/>
    <cellStyle name="Note 3 23 3" xfId="17617"/>
    <cellStyle name="Note 3 23 3 2" xfId="37685"/>
    <cellStyle name="Note 3 23 4" xfId="29125"/>
    <cellStyle name="Note 3 24" xfId="8938"/>
    <cellStyle name="Note 3 24 2" xfId="8939"/>
    <cellStyle name="Note 3 24 2 2" xfId="21482"/>
    <cellStyle name="Note 3 24 2 2 2" xfId="41550"/>
    <cellStyle name="Note 3 24 2 3" xfId="29128"/>
    <cellStyle name="Note 3 24 3" xfId="15625"/>
    <cellStyle name="Note 3 24 3 2" xfId="35693"/>
    <cellStyle name="Note 3 24 4" xfId="29127"/>
    <cellStyle name="Note 3 25" xfId="8940"/>
    <cellStyle name="Note 3 25 2" xfId="8941"/>
    <cellStyle name="Note 3 25 2 2" xfId="21483"/>
    <cellStyle name="Note 3 25 2 2 2" xfId="41551"/>
    <cellStyle name="Note 3 25 2 3" xfId="29130"/>
    <cellStyle name="Note 3 25 3" xfId="17870"/>
    <cellStyle name="Note 3 25 3 2" xfId="37938"/>
    <cellStyle name="Note 3 25 4" xfId="29129"/>
    <cellStyle name="Note 3 26" xfId="8942"/>
    <cellStyle name="Note 3 26 2" xfId="8943"/>
    <cellStyle name="Note 3 26 2 2" xfId="21484"/>
    <cellStyle name="Note 3 26 2 2 2" xfId="41552"/>
    <cellStyle name="Note 3 26 2 3" xfId="29132"/>
    <cellStyle name="Note 3 26 3" xfId="15988"/>
    <cellStyle name="Note 3 26 3 2" xfId="36056"/>
    <cellStyle name="Note 3 26 4" xfId="29131"/>
    <cellStyle name="Note 3 27" xfId="8944"/>
    <cellStyle name="Note 3 27 2" xfId="8945"/>
    <cellStyle name="Note 3 27 2 2" xfId="21485"/>
    <cellStyle name="Note 3 27 2 2 2" xfId="41553"/>
    <cellStyle name="Note 3 27 2 3" xfId="29134"/>
    <cellStyle name="Note 3 27 3" xfId="16310"/>
    <cellStyle name="Note 3 27 3 2" xfId="36378"/>
    <cellStyle name="Note 3 27 4" xfId="29133"/>
    <cellStyle name="Note 3 28" xfId="8946"/>
    <cellStyle name="Note 3 28 2" xfId="8947"/>
    <cellStyle name="Note 3 28 2 2" xfId="21486"/>
    <cellStyle name="Note 3 28 2 2 2" xfId="41554"/>
    <cellStyle name="Note 3 28 2 3" xfId="29136"/>
    <cellStyle name="Note 3 28 3" xfId="16878"/>
    <cellStyle name="Note 3 28 3 2" xfId="36946"/>
    <cellStyle name="Note 3 28 4" xfId="29135"/>
    <cellStyle name="Note 3 29" xfId="8948"/>
    <cellStyle name="Note 3 29 2" xfId="8949"/>
    <cellStyle name="Note 3 29 2 2" xfId="21487"/>
    <cellStyle name="Note 3 29 2 2 2" xfId="41555"/>
    <cellStyle name="Note 3 29 2 3" xfId="29138"/>
    <cellStyle name="Note 3 29 3" xfId="18334"/>
    <cellStyle name="Note 3 29 3 2" xfId="38402"/>
    <cellStyle name="Note 3 29 4" xfId="29137"/>
    <cellStyle name="Note 3 3" xfId="8950"/>
    <cellStyle name="Note 3 3 10" xfId="8951"/>
    <cellStyle name="Note 3 3 10 2" xfId="8952"/>
    <cellStyle name="Note 3 3 10 2 2" xfId="21489"/>
    <cellStyle name="Note 3 3 10 2 2 2" xfId="41557"/>
    <cellStyle name="Note 3 3 10 2 3" xfId="29141"/>
    <cellStyle name="Note 3 3 10 3" xfId="15143"/>
    <cellStyle name="Note 3 3 10 3 2" xfId="35211"/>
    <cellStyle name="Note 3 3 10 4" xfId="29140"/>
    <cellStyle name="Note 3 3 11" xfId="8953"/>
    <cellStyle name="Note 3 3 11 2" xfId="8954"/>
    <cellStyle name="Note 3 3 11 2 2" xfId="21490"/>
    <cellStyle name="Note 3 3 11 2 2 2" xfId="41558"/>
    <cellStyle name="Note 3 3 11 2 3" xfId="29143"/>
    <cellStyle name="Note 3 3 11 3" xfId="15314"/>
    <cellStyle name="Note 3 3 11 3 2" xfId="35382"/>
    <cellStyle name="Note 3 3 11 4" xfId="29142"/>
    <cellStyle name="Note 3 3 12" xfId="8955"/>
    <cellStyle name="Note 3 3 12 2" xfId="8956"/>
    <cellStyle name="Note 3 3 12 2 2" xfId="21491"/>
    <cellStyle name="Note 3 3 12 2 2 2" xfId="41559"/>
    <cellStyle name="Note 3 3 12 2 3" xfId="29145"/>
    <cellStyle name="Note 3 3 12 3" xfId="16457"/>
    <cellStyle name="Note 3 3 12 3 2" xfId="36525"/>
    <cellStyle name="Note 3 3 12 4" xfId="29144"/>
    <cellStyle name="Note 3 3 13" xfId="8957"/>
    <cellStyle name="Note 3 3 13 2" xfId="8958"/>
    <cellStyle name="Note 3 3 13 2 2" xfId="21492"/>
    <cellStyle name="Note 3 3 13 2 2 2" xfId="41560"/>
    <cellStyle name="Note 3 3 13 2 3" xfId="29147"/>
    <cellStyle name="Note 3 3 13 3" xfId="16650"/>
    <cellStyle name="Note 3 3 13 3 2" xfId="36718"/>
    <cellStyle name="Note 3 3 13 4" xfId="29146"/>
    <cellStyle name="Note 3 3 14" xfId="8959"/>
    <cellStyle name="Note 3 3 14 2" xfId="8960"/>
    <cellStyle name="Note 3 3 14 2 2" xfId="21493"/>
    <cellStyle name="Note 3 3 14 2 2 2" xfId="41561"/>
    <cellStyle name="Note 3 3 14 2 3" xfId="29149"/>
    <cellStyle name="Note 3 3 14 3" xfId="16012"/>
    <cellStyle name="Note 3 3 14 3 2" xfId="36080"/>
    <cellStyle name="Note 3 3 14 4" xfId="29148"/>
    <cellStyle name="Note 3 3 15" xfId="8961"/>
    <cellStyle name="Note 3 3 15 2" xfId="8962"/>
    <cellStyle name="Note 3 3 15 2 2" xfId="21494"/>
    <cellStyle name="Note 3 3 15 2 2 2" xfId="41562"/>
    <cellStyle name="Note 3 3 15 2 3" xfId="29151"/>
    <cellStyle name="Note 3 3 15 3" xfId="15709"/>
    <cellStyle name="Note 3 3 15 3 2" xfId="35777"/>
    <cellStyle name="Note 3 3 15 4" xfId="29150"/>
    <cellStyle name="Note 3 3 16" xfId="8963"/>
    <cellStyle name="Note 3 3 16 2" xfId="8964"/>
    <cellStyle name="Note 3 3 16 2 2" xfId="21495"/>
    <cellStyle name="Note 3 3 16 2 2 2" xfId="41563"/>
    <cellStyle name="Note 3 3 16 2 3" xfId="29153"/>
    <cellStyle name="Note 3 3 16 3" xfId="16123"/>
    <cellStyle name="Note 3 3 16 3 2" xfId="36191"/>
    <cellStyle name="Note 3 3 16 4" xfId="29152"/>
    <cellStyle name="Note 3 3 17" xfId="8965"/>
    <cellStyle name="Note 3 3 17 2" xfId="8966"/>
    <cellStyle name="Note 3 3 17 2 2" xfId="21496"/>
    <cellStyle name="Note 3 3 17 2 2 2" xfId="41564"/>
    <cellStyle name="Note 3 3 17 2 3" xfId="29155"/>
    <cellStyle name="Note 3 3 17 3" xfId="15649"/>
    <cellStyle name="Note 3 3 17 3 2" xfId="35717"/>
    <cellStyle name="Note 3 3 17 4" xfId="29154"/>
    <cellStyle name="Note 3 3 18" xfId="8967"/>
    <cellStyle name="Note 3 3 18 2" xfId="8968"/>
    <cellStyle name="Note 3 3 18 2 2" xfId="21497"/>
    <cellStyle name="Note 3 3 18 2 2 2" xfId="41565"/>
    <cellStyle name="Note 3 3 18 2 3" xfId="29157"/>
    <cellStyle name="Note 3 3 18 3" xfId="16198"/>
    <cellStyle name="Note 3 3 18 3 2" xfId="36266"/>
    <cellStyle name="Note 3 3 18 4" xfId="29156"/>
    <cellStyle name="Note 3 3 19" xfId="8969"/>
    <cellStyle name="Note 3 3 19 2" xfId="8970"/>
    <cellStyle name="Note 3 3 19 2 2" xfId="21498"/>
    <cellStyle name="Note 3 3 19 2 2 2" xfId="41566"/>
    <cellStyle name="Note 3 3 19 2 3" xfId="29159"/>
    <cellStyle name="Note 3 3 19 3" xfId="16340"/>
    <cellStyle name="Note 3 3 19 3 2" xfId="36408"/>
    <cellStyle name="Note 3 3 19 4" xfId="29158"/>
    <cellStyle name="Note 3 3 2" xfId="8971"/>
    <cellStyle name="Note 3 3 2 10" xfId="8972"/>
    <cellStyle name="Note 3 3 2 10 2" xfId="8973"/>
    <cellStyle name="Note 3 3 2 10 2 2" xfId="21500"/>
    <cellStyle name="Note 3 3 2 10 2 2 2" xfId="41568"/>
    <cellStyle name="Note 3 3 2 10 2 3" xfId="29162"/>
    <cellStyle name="Note 3 3 2 10 3" xfId="16458"/>
    <cellStyle name="Note 3 3 2 10 3 2" xfId="36526"/>
    <cellStyle name="Note 3 3 2 10 4" xfId="29161"/>
    <cellStyle name="Note 3 3 2 11" xfId="8974"/>
    <cellStyle name="Note 3 3 2 11 2" xfId="8975"/>
    <cellStyle name="Note 3 3 2 11 2 2" xfId="21501"/>
    <cellStyle name="Note 3 3 2 11 2 2 2" xfId="41569"/>
    <cellStyle name="Note 3 3 2 11 2 3" xfId="29164"/>
    <cellStyle name="Note 3 3 2 11 3" xfId="16651"/>
    <cellStyle name="Note 3 3 2 11 3 2" xfId="36719"/>
    <cellStyle name="Note 3 3 2 11 4" xfId="29163"/>
    <cellStyle name="Note 3 3 2 12" xfId="8976"/>
    <cellStyle name="Note 3 3 2 12 2" xfId="8977"/>
    <cellStyle name="Note 3 3 2 12 2 2" xfId="21502"/>
    <cellStyle name="Note 3 3 2 12 2 2 2" xfId="41570"/>
    <cellStyle name="Note 3 3 2 12 2 3" xfId="29166"/>
    <cellStyle name="Note 3 3 2 12 3" xfId="16509"/>
    <cellStyle name="Note 3 3 2 12 3 2" xfId="36577"/>
    <cellStyle name="Note 3 3 2 12 4" xfId="29165"/>
    <cellStyle name="Note 3 3 2 13" xfId="8978"/>
    <cellStyle name="Note 3 3 2 13 2" xfId="8979"/>
    <cellStyle name="Note 3 3 2 13 2 2" xfId="21503"/>
    <cellStyle name="Note 3 3 2 13 2 2 2" xfId="41571"/>
    <cellStyle name="Note 3 3 2 13 2 3" xfId="29168"/>
    <cellStyle name="Note 3 3 2 13 3" xfId="15708"/>
    <cellStyle name="Note 3 3 2 13 3 2" xfId="35776"/>
    <cellStyle name="Note 3 3 2 13 4" xfId="29167"/>
    <cellStyle name="Note 3 3 2 14" xfId="8980"/>
    <cellStyle name="Note 3 3 2 14 2" xfId="8981"/>
    <cellStyle name="Note 3 3 2 14 2 2" xfId="21504"/>
    <cellStyle name="Note 3 3 2 14 2 2 2" xfId="41572"/>
    <cellStyle name="Note 3 3 2 14 2 3" xfId="29170"/>
    <cellStyle name="Note 3 3 2 14 3" xfId="16884"/>
    <cellStyle name="Note 3 3 2 14 3 2" xfId="36952"/>
    <cellStyle name="Note 3 3 2 14 4" xfId="29169"/>
    <cellStyle name="Note 3 3 2 15" xfId="8982"/>
    <cellStyle name="Note 3 3 2 15 2" xfId="8983"/>
    <cellStyle name="Note 3 3 2 15 2 2" xfId="21505"/>
    <cellStyle name="Note 3 3 2 15 2 2 2" xfId="41573"/>
    <cellStyle name="Note 3 3 2 15 2 3" xfId="29172"/>
    <cellStyle name="Note 3 3 2 15 3" xfId="15908"/>
    <cellStyle name="Note 3 3 2 15 3 2" xfId="35976"/>
    <cellStyle name="Note 3 3 2 15 4" xfId="29171"/>
    <cellStyle name="Note 3 3 2 16" xfId="8984"/>
    <cellStyle name="Note 3 3 2 16 2" xfId="8985"/>
    <cellStyle name="Note 3 3 2 16 2 2" xfId="21506"/>
    <cellStyle name="Note 3 3 2 16 2 2 2" xfId="41574"/>
    <cellStyle name="Note 3 3 2 16 2 3" xfId="29174"/>
    <cellStyle name="Note 3 3 2 16 3" xfId="15418"/>
    <cellStyle name="Note 3 3 2 16 3 2" xfId="35486"/>
    <cellStyle name="Note 3 3 2 16 4" xfId="29173"/>
    <cellStyle name="Note 3 3 2 17" xfId="8986"/>
    <cellStyle name="Note 3 3 2 17 2" xfId="8987"/>
    <cellStyle name="Note 3 3 2 17 2 2" xfId="21507"/>
    <cellStyle name="Note 3 3 2 17 2 2 2" xfId="41575"/>
    <cellStyle name="Note 3 3 2 17 2 3" xfId="29176"/>
    <cellStyle name="Note 3 3 2 17 3" xfId="16363"/>
    <cellStyle name="Note 3 3 2 17 3 2" xfId="36431"/>
    <cellStyle name="Note 3 3 2 17 4" xfId="29175"/>
    <cellStyle name="Note 3 3 2 18" xfId="8988"/>
    <cellStyle name="Note 3 3 2 18 2" xfId="8989"/>
    <cellStyle name="Note 3 3 2 18 2 2" xfId="21508"/>
    <cellStyle name="Note 3 3 2 18 2 2 2" xfId="41576"/>
    <cellStyle name="Note 3 3 2 18 2 3" xfId="29178"/>
    <cellStyle name="Note 3 3 2 18 3" xfId="16865"/>
    <cellStyle name="Note 3 3 2 18 3 2" xfId="36933"/>
    <cellStyle name="Note 3 3 2 18 4" xfId="29177"/>
    <cellStyle name="Note 3 3 2 19" xfId="8990"/>
    <cellStyle name="Note 3 3 2 19 2" xfId="8991"/>
    <cellStyle name="Note 3 3 2 19 2 2" xfId="21509"/>
    <cellStyle name="Note 3 3 2 19 2 2 2" xfId="41577"/>
    <cellStyle name="Note 3 3 2 19 2 3" xfId="29180"/>
    <cellStyle name="Note 3 3 2 19 3" xfId="16357"/>
    <cellStyle name="Note 3 3 2 19 3 2" xfId="36425"/>
    <cellStyle name="Note 3 3 2 19 4" xfId="29179"/>
    <cellStyle name="Note 3 3 2 2" xfId="8992"/>
    <cellStyle name="Note 3 3 2 2 10" xfId="8993"/>
    <cellStyle name="Note 3 3 2 2 10 2" xfId="8994"/>
    <cellStyle name="Note 3 3 2 2 10 2 2" xfId="21511"/>
    <cellStyle name="Note 3 3 2 2 10 2 2 2" xfId="41579"/>
    <cellStyle name="Note 3 3 2 2 10 2 3" xfId="29183"/>
    <cellStyle name="Note 3 3 2 2 10 3" xfId="16958"/>
    <cellStyle name="Note 3 3 2 2 10 3 2" xfId="37026"/>
    <cellStyle name="Note 3 3 2 2 10 4" xfId="29182"/>
    <cellStyle name="Note 3 3 2 2 11" xfId="8995"/>
    <cellStyle name="Note 3 3 2 2 11 2" xfId="8996"/>
    <cellStyle name="Note 3 3 2 2 11 2 2" xfId="21512"/>
    <cellStyle name="Note 3 3 2 2 11 2 2 2" xfId="41580"/>
    <cellStyle name="Note 3 3 2 2 11 2 3" xfId="29185"/>
    <cellStyle name="Note 3 3 2 2 11 3" xfId="17103"/>
    <cellStyle name="Note 3 3 2 2 11 3 2" xfId="37171"/>
    <cellStyle name="Note 3 3 2 2 11 4" xfId="29184"/>
    <cellStyle name="Note 3 3 2 2 12" xfId="8997"/>
    <cellStyle name="Note 3 3 2 2 12 2" xfId="8998"/>
    <cellStyle name="Note 3 3 2 2 12 2 2" xfId="21513"/>
    <cellStyle name="Note 3 3 2 2 12 2 2 2" xfId="41581"/>
    <cellStyle name="Note 3 3 2 2 12 2 3" xfId="29187"/>
    <cellStyle name="Note 3 3 2 2 12 3" xfId="17275"/>
    <cellStyle name="Note 3 3 2 2 12 3 2" xfId="37343"/>
    <cellStyle name="Note 3 3 2 2 12 4" xfId="29186"/>
    <cellStyle name="Note 3 3 2 2 13" xfId="8999"/>
    <cellStyle name="Note 3 3 2 2 13 2" xfId="9000"/>
    <cellStyle name="Note 3 3 2 2 13 2 2" xfId="21514"/>
    <cellStyle name="Note 3 3 2 2 13 2 2 2" xfId="41582"/>
    <cellStyle name="Note 3 3 2 2 13 2 3" xfId="29189"/>
    <cellStyle name="Note 3 3 2 2 13 3" xfId="17439"/>
    <cellStyle name="Note 3 3 2 2 13 3 2" xfId="37507"/>
    <cellStyle name="Note 3 3 2 2 13 4" xfId="29188"/>
    <cellStyle name="Note 3 3 2 2 14" xfId="9001"/>
    <cellStyle name="Note 3 3 2 2 14 2" xfId="9002"/>
    <cellStyle name="Note 3 3 2 2 14 2 2" xfId="21515"/>
    <cellStyle name="Note 3 3 2 2 14 2 2 2" xfId="41583"/>
    <cellStyle name="Note 3 3 2 2 14 2 3" xfId="29191"/>
    <cellStyle name="Note 3 3 2 2 14 3" xfId="17565"/>
    <cellStyle name="Note 3 3 2 2 14 3 2" xfId="37633"/>
    <cellStyle name="Note 3 3 2 2 14 4" xfId="29190"/>
    <cellStyle name="Note 3 3 2 2 15" xfId="9003"/>
    <cellStyle name="Note 3 3 2 2 15 2" xfId="9004"/>
    <cellStyle name="Note 3 3 2 2 15 2 2" xfId="21516"/>
    <cellStyle name="Note 3 3 2 2 15 2 2 2" xfId="41584"/>
    <cellStyle name="Note 3 3 2 2 15 2 3" xfId="29193"/>
    <cellStyle name="Note 3 3 2 2 15 3" xfId="17638"/>
    <cellStyle name="Note 3 3 2 2 15 3 2" xfId="37706"/>
    <cellStyle name="Note 3 3 2 2 15 4" xfId="29192"/>
    <cellStyle name="Note 3 3 2 2 16" xfId="9005"/>
    <cellStyle name="Note 3 3 2 2 16 2" xfId="9006"/>
    <cellStyle name="Note 3 3 2 2 16 2 2" xfId="21517"/>
    <cellStyle name="Note 3 3 2 2 16 2 2 2" xfId="41585"/>
    <cellStyle name="Note 3 3 2 2 16 2 3" xfId="29195"/>
    <cellStyle name="Note 3 3 2 2 16 3" xfId="17815"/>
    <cellStyle name="Note 3 3 2 2 16 3 2" xfId="37883"/>
    <cellStyle name="Note 3 3 2 2 16 4" xfId="29194"/>
    <cellStyle name="Note 3 3 2 2 17" xfId="9007"/>
    <cellStyle name="Note 3 3 2 2 17 2" xfId="9008"/>
    <cellStyle name="Note 3 3 2 2 17 2 2" xfId="21518"/>
    <cellStyle name="Note 3 3 2 2 17 2 2 2" xfId="41586"/>
    <cellStyle name="Note 3 3 2 2 17 2 3" xfId="29197"/>
    <cellStyle name="Note 3 3 2 2 17 3" xfId="17953"/>
    <cellStyle name="Note 3 3 2 2 17 3 2" xfId="38021"/>
    <cellStyle name="Note 3 3 2 2 17 4" xfId="29196"/>
    <cellStyle name="Note 3 3 2 2 18" xfId="9009"/>
    <cellStyle name="Note 3 3 2 2 18 2" xfId="9010"/>
    <cellStyle name="Note 3 3 2 2 18 2 2" xfId="21519"/>
    <cellStyle name="Note 3 3 2 2 18 2 2 2" xfId="41587"/>
    <cellStyle name="Note 3 3 2 2 18 2 3" xfId="29199"/>
    <cellStyle name="Note 3 3 2 2 18 3" xfId="18092"/>
    <cellStyle name="Note 3 3 2 2 18 3 2" xfId="38160"/>
    <cellStyle name="Note 3 3 2 2 18 4" xfId="29198"/>
    <cellStyle name="Note 3 3 2 2 19" xfId="9011"/>
    <cellStyle name="Note 3 3 2 2 19 2" xfId="9012"/>
    <cellStyle name="Note 3 3 2 2 19 2 2" xfId="21520"/>
    <cellStyle name="Note 3 3 2 2 19 2 2 2" xfId="41588"/>
    <cellStyle name="Note 3 3 2 2 19 2 3" xfId="29201"/>
    <cellStyle name="Note 3 3 2 2 19 3" xfId="18210"/>
    <cellStyle name="Note 3 3 2 2 19 3 2" xfId="38278"/>
    <cellStyle name="Note 3 3 2 2 19 4" xfId="29200"/>
    <cellStyle name="Note 3 3 2 2 2" xfId="9013"/>
    <cellStyle name="Note 3 3 2 2 2 2" xfId="9014"/>
    <cellStyle name="Note 3 3 2 2 2 2 2" xfId="21521"/>
    <cellStyle name="Note 3 3 2 2 2 2 2 2" xfId="41589"/>
    <cellStyle name="Note 3 3 2 2 2 2 3" xfId="29203"/>
    <cellStyle name="Note 3 3 2 2 2 3" xfId="14678"/>
    <cellStyle name="Note 3 3 2 2 2 3 2" xfId="34746"/>
    <cellStyle name="Note 3 3 2 2 2 4" xfId="29202"/>
    <cellStyle name="Note 3 3 2 2 20" xfId="9015"/>
    <cellStyle name="Note 3 3 2 2 20 2" xfId="9016"/>
    <cellStyle name="Note 3 3 2 2 20 2 2" xfId="21522"/>
    <cellStyle name="Note 3 3 2 2 20 2 2 2" xfId="41590"/>
    <cellStyle name="Note 3 3 2 2 20 2 3" xfId="29205"/>
    <cellStyle name="Note 3 3 2 2 20 3" xfId="18036"/>
    <cellStyle name="Note 3 3 2 2 20 3 2" xfId="38104"/>
    <cellStyle name="Note 3 3 2 2 20 4" xfId="29204"/>
    <cellStyle name="Note 3 3 2 2 21" xfId="9017"/>
    <cellStyle name="Note 3 3 2 2 21 2" xfId="9018"/>
    <cellStyle name="Note 3 3 2 2 21 2 2" xfId="21523"/>
    <cellStyle name="Note 3 3 2 2 21 2 2 2" xfId="41591"/>
    <cellStyle name="Note 3 3 2 2 21 2 3" xfId="29207"/>
    <cellStyle name="Note 3 3 2 2 21 3" xfId="18415"/>
    <cellStyle name="Note 3 3 2 2 21 3 2" xfId="38483"/>
    <cellStyle name="Note 3 3 2 2 21 4" xfId="29206"/>
    <cellStyle name="Note 3 3 2 2 22" xfId="9019"/>
    <cellStyle name="Note 3 3 2 2 22 2" xfId="9020"/>
    <cellStyle name="Note 3 3 2 2 22 2 2" xfId="21524"/>
    <cellStyle name="Note 3 3 2 2 22 2 2 2" xfId="41592"/>
    <cellStyle name="Note 3 3 2 2 22 2 3" xfId="29209"/>
    <cellStyle name="Note 3 3 2 2 22 3" xfId="18548"/>
    <cellStyle name="Note 3 3 2 2 22 3 2" xfId="38616"/>
    <cellStyle name="Note 3 3 2 2 22 4" xfId="29208"/>
    <cellStyle name="Note 3 3 2 2 23" xfId="9021"/>
    <cellStyle name="Note 3 3 2 2 23 2" xfId="9022"/>
    <cellStyle name="Note 3 3 2 2 23 2 2" xfId="21525"/>
    <cellStyle name="Note 3 3 2 2 23 2 2 2" xfId="41593"/>
    <cellStyle name="Note 3 3 2 2 23 2 3" xfId="29211"/>
    <cellStyle name="Note 3 3 2 2 23 3" xfId="18659"/>
    <cellStyle name="Note 3 3 2 2 23 3 2" xfId="38727"/>
    <cellStyle name="Note 3 3 2 2 23 4" xfId="29210"/>
    <cellStyle name="Note 3 3 2 2 24" xfId="9023"/>
    <cellStyle name="Note 3 3 2 2 24 2" xfId="9024"/>
    <cellStyle name="Note 3 3 2 2 24 2 2" xfId="21526"/>
    <cellStyle name="Note 3 3 2 2 24 2 2 2" xfId="41594"/>
    <cellStyle name="Note 3 3 2 2 24 2 3" xfId="29213"/>
    <cellStyle name="Note 3 3 2 2 24 3" xfId="18759"/>
    <cellStyle name="Note 3 3 2 2 24 3 2" xfId="38827"/>
    <cellStyle name="Note 3 3 2 2 24 4" xfId="29212"/>
    <cellStyle name="Note 3 3 2 2 25" xfId="9025"/>
    <cellStyle name="Note 3 3 2 2 25 2" xfId="9026"/>
    <cellStyle name="Note 3 3 2 2 25 2 2" xfId="21527"/>
    <cellStyle name="Note 3 3 2 2 25 2 2 2" xfId="41595"/>
    <cellStyle name="Note 3 3 2 2 25 2 3" xfId="29215"/>
    <cellStyle name="Note 3 3 2 2 25 3" xfId="18859"/>
    <cellStyle name="Note 3 3 2 2 25 3 2" xfId="38927"/>
    <cellStyle name="Note 3 3 2 2 25 4" xfId="29214"/>
    <cellStyle name="Note 3 3 2 2 26" xfId="9027"/>
    <cellStyle name="Note 3 3 2 2 26 2" xfId="21510"/>
    <cellStyle name="Note 3 3 2 2 26 2 2" xfId="41578"/>
    <cellStyle name="Note 3 3 2 2 26 3" xfId="29216"/>
    <cellStyle name="Note 3 3 2 2 27" xfId="14322"/>
    <cellStyle name="Note 3 3 2 2 27 2" xfId="34390"/>
    <cellStyle name="Note 3 3 2 2 28" xfId="29181"/>
    <cellStyle name="Note 3 3 2 2 3" xfId="9028"/>
    <cellStyle name="Note 3 3 2 2 3 2" xfId="9029"/>
    <cellStyle name="Note 3 3 2 2 3 2 2" xfId="21528"/>
    <cellStyle name="Note 3 3 2 2 3 2 2 2" xfId="41596"/>
    <cellStyle name="Note 3 3 2 2 3 2 3" xfId="29218"/>
    <cellStyle name="Note 3 3 2 2 3 3" xfId="14802"/>
    <cellStyle name="Note 3 3 2 2 3 3 2" xfId="34870"/>
    <cellStyle name="Note 3 3 2 2 3 4" xfId="29217"/>
    <cellStyle name="Note 3 3 2 2 4" xfId="9030"/>
    <cellStyle name="Note 3 3 2 2 4 2" xfId="9031"/>
    <cellStyle name="Note 3 3 2 2 4 2 2" xfId="21529"/>
    <cellStyle name="Note 3 3 2 2 4 2 2 2" xfId="41597"/>
    <cellStyle name="Note 3 3 2 2 4 2 3" xfId="29220"/>
    <cellStyle name="Note 3 3 2 2 4 3" xfId="14927"/>
    <cellStyle name="Note 3 3 2 2 4 3 2" xfId="34995"/>
    <cellStyle name="Note 3 3 2 2 4 4" xfId="29219"/>
    <cellStyle name="Note 3 3 2 2 5" xfId="9032"/>
    <cellStyle name="Note 3 3 2 2 5 2" xfId="9033"/>
    <cellStyle name="Note 3 3 2 2 5 2 2" xfId="21530"/>
    <cellStyle name="Note 3 3 2 2 5 2 2 2" xfId="41598"/>
    <cellStyle name="Note 3 3 2 2 5 2 3" xfId="29222"/>
    <cellStyle name="Note 3 3 2 2 5 3" xfId="15096"/>
    <cellStyle name="Note 3 3 2 2 5 3 2" xfId="35164"/>
    <cellStyle name="Note 3 3 2 2 5 4" xfId="29221"/>
    <cellStyle name="Note 3 3 2 2 6" xfId="9034"/>
    <cellStyle name="Note 3 3 2 2 6 2" xfId="9035"/>
    <cellStyle name="Note 3 3 2 2 6 2 2" xfId="21531"/>
    <cellStyle name="Note 3 3 2 2 6 2 2 2" xfId="41599"/>
    <cellStyle name="Note 3 3 2 2 6 2 3" xfId="29224"/>
    <cellStyle name="Note 3 3 2 2 6 3" xfId="14482"/>
    <cellStyle name="Note 3 3 2 2 6 3 2" xfId="34550"/>
    <cellStyle name="Note 3 3 2 2 6 4" xfId="29223"/>
    <cellStyle name="Note 3 3 2 2 7" xfId="9036"/>
    <cellStyle name="Note 3 3 2 2 7 2" xfId="9037"/>
    <cellStyle name="Note 3 3 2 2 7 2 2" xfId="21532"/>
    <cellStyle name="Note 3 3 2 2 7 2 2 2" xfId="41600"/>
    <cellStyle name="Note 3 3 2 2 7 2 3" xfId="29226"/>
    <cellStyle name="Note 3 3 2 2 7 3" xfId="15228"/>
    <cellStyle name="Note 3 3 2 2 7 3 2" xfId="35296"/>
    <cellStyle name="Note 3 3 2 2 7 4" xfId="29225"/>
    <cellStyle name="Note 3 3 2 2 8" xfId="9038"/>
    <cellStyle name="Note 3 3 2 2 8 2" xfId="9039"/>
    <cellStyle name="Note 3 3 2 2 8 2 2" xfId="21533"/>
    <cellStyle name="Note 3 3 2 2 8 2 2 2" xfId="41601"/>
    <cellStyle name="Note 3 3 2 2 8 2 3" xfId="29228"/>
    <cellStyle name="Note 3 3 2 2 8 3" xfId="16593"/>
    <cellStyle name="Note 3 3 2 2 8 3 2" xfId="36661"/>
    <cellStyle name="Note 3 3 2 2 8 4" xfId="29227"/>
    <cellStyle name="Note 3 3 2 2 9" xfId="9040"/>
    <cellStyle name="Note 3 3 2 2 9 2" xfId="9041"/>
    <cellStyle name="Note 3 3 2 2 9 2 2" xfId="21534"/>
    <cellStyle name="Note 3 3 2 2 9 2 2 2" xfId="41602"/>
    <cellStyle name="Note 3 3 2 2 9 2 3" xfId="29230"/>
    <cellStyle name="Note 3 3 2 2 9 3" xfId="16797"/>
    <cellStyle name="Note 3 3 2 2 9 3 2" xfId="36865"/>
    <cellStyle name="Note 3 3 2 2 9 4" xfId="29229"/>
    <cellStyle name="Note 3 3 2 20" xfId="9042"/>
    <cellStyle name="Note 3 3 2 20 2" xfId="9043"/>
    <cellStyle name="Note 3 3 2 20 2 2" xfId="21535"/>
    <cellStyle name="Note 3 3 2 20 2 2 2" xfId="41603"/>
    <cellStyle name="Note 3 3 2 20 2 3" xfId="29232"/>
    <cellStyle name="Note 3 3 2 20 3" xfId="17742"/>
    <cellStyle name="Note 3 3 2 20 3 2" xfId="37810"/>
    <cellStyle name="Note 3 3 2 20 4" xfId="29231"/>
    <cellStyle name="Note 3 3 2 21" xfId="9044"/>
    <cellStyle name="Note 3 3 2 21 2" xfId="9045"/>
    <cellStyle name="Note 3 3 2 21 2 2" xfId="21536"/>
    <cellStyle name="Note 3 3 2 21 2 2 2" xfId="41604"/>
    <cellStyle name="Note 3 3 2 21 2 3" xfId="29234"/>
    <cellStyle name="Note 3 3 2 21 3" xfId="15563"/>
    <cellStyle name="Note 3 3 2 21 3 2" xfId="35631"/>
    <cellStyle name="Note 3 3 2 21 4" xfId="29233"/>
    <cellStyle name="Note 3 3 2 22" xfId="9046"/>
    <cellStyle name="Note 3 3 2 22 2" xfId="9047"/>
    <cellStyle name="Note 3 3 2 22 2 2" xfId="21537"/>
    <cellStyle name="Note 3 3 2 22 2 2 2" xfId="41605"/>
    <cellStyle name="Note 3 3 2 22 2 3" xfId="29236"/>
    <cellStyle name="Note 3 3 2 22 3" xfId="15913"/>
    <cellStyle name="Note 3 3 2 22 3 2" xfId="35981"/>
    <cellStyle name="Note 3 3 2 22 4" xfId="29235"/>
    <cellStyle name="Note 3 3 2 23" xfId="9048"/>
    <cellStyle name="Note 3 3 2 23 2" xfId="9049"/>
    <cellStyle name="Note 3 3 2 23 2 2" xfId="21538"/>
    <cellStyle name="Note 3 3 2 23 2 2 2" xfId="41606"/>
    <cellStyle name="Note 3 3 2 23 2 3" xfId="29238"/>
    <cellStyle name="Note 3 3 2 23 3" xfId="15580"/>
    <cellStyle name="Note 3 3 2 23 3 2" xfId="35648"/>
    <cellStyle name="Note 3 3 2 23 4" xfId="29237"/>
    <cellStyle name="Note 3 3 2 24" xfId="9050"/>
    <cellStyle name="Note 3 3 2 24 2" xfId="9051"/>
    <cellStyle name="Note 3 3 2 24 2 2" xfId="21539"/>
    <cellStyle name="Note 3 3 2 24 2 2 2" xfId="41607"/>
    <cellStyle name="Note 3 3 2 24 2 3" xfId="29240"/>
    <cellStyle name="Note 3 3 2 24 3" xfId="16063"/>
    <cellStyle name="Note 3 3 2 24 3 2" xfId="36131"/>
    <cellStyle name="Note 3 3 2 24 4" xfId="29239"/>
    <cellStyle name="Note 3 3 2 25" xfId="9052"/>
    <cellStyle name="Note 3 3 2 25 2" xfId="9053"/>
    <cellStyle name="Note 3 3 2 25 2 2" xfId="21540"/>
    <cellStyle name="Note 3 3 2 25 2 2 2" xfId="41608"/>
    <cellStyle name="Note 3 3 2 25 2 3" xfId="29242"/>
    <cellStyle name="Note 3 3 2 25 3" xfId="15924"/>
    <cellStyle name="Note 3 3 2 25 3 2" xfId="35992"/>
    <cellStyle name="Note 3 3 2 25 4" xfId="29241"/>
    <cellStyle name="Note 3 3 2 26" xfId="9054"/>
    <cellStyle name="Note 3 3 2 26 2" xfId="9055"/>
    <cellStyle name="Note 3 3 2 26 2 2" xfId="21541"/>
    <cellStyle name="Note 3 3 2 26 2 2 2" xfId="41609"/>
    <cellStyle name="Note 3 3 2 26 2 3" xfId="29244"/>
    <cellStyle name="Note 3 3 2 26 3" xfId="17734"/>
    <cellStyle name="Note 3 3 2 26 3 2" xfId="37802"/>
    <cellStyle name="Note 3 3 2 26 4" xfId="29243"/>
    <cellStyle name="Note 3 3 2 27" xfId="9056"/>
    <cellStyle name="Note 3 3 2 27 2" xfId="9057"/>
    <cellStyle name="Note 3 3 2 27 2 2" xfId="21542"/>
    <cellStyle name="Note 3 3 2 27 2 2 2" xfId="41610"/>
    <cellStyle name="Note 3 3 2 27 2 3" xfId="29246"/>
    <cellStyle name="Note 3 3 2 27 3" xfId="17738"/>
    <cellStyle name="Note 3 3 2 27 3 2" xfId="37806"/>
    <cellStyle name="Note 3 3 2 27 4" xfId="29245"/>
    <cellStyle name="Note 3 3 2 28" xfId="9058"/>
    <cellStyle name="Note 3 3 2 28 2" xfId="21499"/>
    <cellStyle name="Note 3 3 2 28 2 2" xfId="41567"/>
    <cellStyle name="Note 3 3 2 28 3" xfId="29247"/>
    <cellStyle name="Note 3 3 2 29" xfId="13909"/>
    <cellStyle name="Note 3 3 2 29 2" xfId="33977"/>
    <cellStyle name="Note 3 3 2 3" xfId="9059"/>
    <cellStyle name="Note 3 3 2 3 2" xfId="9060"/>
    <cellStyle name="Note 3 3 2 3 2 2" xfId="21543"/>
    <cellStyle name="Note 3 3 2 3 2 2 2" xfId="41611"/>
    <cellStyle name="Note 3 3 2 3 2 3" xfId="29249"/>
    <cellStyle name="Note 3 3 2 3 3" xfId="14202"/>
    <cellStyle name="Note 3 3 2 3 3 2" xfId="34270"/>
    <cellStyle name="Note 3 3 2 3 4" xfId="29248"/>
    <cellStyle name="Note 3 3 2 30" xfId="29160"/>
    <cellStyle name="Note 3 3 2 4" xfId="9061"/>
    <cellStyle name="Note 3 3 2 4 2" xfId="9062"/>
    <cellStyle name="Note 3 3 2 4 2 2" xfId="21544"/>
    <cellStyle name="Note 3 3 2 4 2 2 2" xfId="41612"/>
    <cellStyle name="Note 3 3 2 4 2 3" xfId="29251"/>
    <cellStyle name="Note 3 3 2 4 3" xfId="14466"/>
    <cellStyle name="Note 3 3 2 4 3 2" xfId="34534"/>
    <cellStyle name="Note 3 3 2 4 4" xfId="29250"/>
    <cellStyle name="Note 3 3 2 5" xfId="9063"/>
    <cellStyle name="Note 3 3 2 5 2" xfId="9064"/>
    <cellStyle name="Note 3 3 2 5 2 2" xfId="21545"/>
    <cellStyle name="Note 3 3 2 5 2 2 2" xfId="41613"/>
    <cellStyle name="Note 3 3 2 5 2 3" xfId="29253"/>
    <cellStyle name="Note 3 3 2 5 3" xfId="13991"/>
    <cellStyle name="Note 3 3 2 5 3 2" xfId="34059"/>
    <cellStyle name="Note 3 3 2 5 4" xfId="29252"/>
    <cellStyle name="Note 3 3 2 6" xfId="9065"/>
    <cellStyle name="Note 3 3 2 6 2" xfId="9066"/>
    <cellStyle name="Note 3 3 2 6 2 2" xfId="21546"/>
    <cellStyle name="Note 3 3 2 6 2 2 2" xfId="41614"/>
    <cellStyle name="Note 3 3 2 6 2 3" xfId="29255"/>
    <cellStyle name="Note 3 3 2 6 3" xfId="14353"/>
    <cellStyle name="Note 3 3 2 6 3 2" xfId="34421"/>
    <cellStyle name="Note 3 3 2 6 4" xfId="29254"/>
    <cellStyle name="Note 3 3 2 7" xfId="9067"/>
    <cellStyle name="Note 3 3 2 7 2" xfId="9068"/>
    <cellStyle name="Note 3 3 2 7 2 2" xfId="21547"/>
    <cellStyle name="Note 3 3 2 7 2 2 2" xfId="41615"/>
    <cellStyle name="Note 3 3 2 7 2 3" xfId="29257"/>
    <cellStyle name="Note 3 3 2 7 3" xfId="14007"/>
    <cellStyle name="Note 3 3 2 7 3 2" xfId="34075"/>
    <cellStyle name="Note 3 3 2 7 4" xfId="29256"/>
    <cellStyle name="Note 3 3 2 8" xfId="9069"/>
    <cellStyle name="Note 3 3 2 8 2" xfId="9070"/>
    <cellStyle name="Note 3 3 2 8 2 2" xfId="21548"/>
    <cellStyle name="Note 3 3 2 8 2 2 2" xfId="41616"/>
    <cellStyle name="Note 3 3 2 8 2 3" xfId="29259"/>
    <cellStyle name="Note 3 3 2 8 3" xfId="14057"/>
    <cellStyle name="Note 3 3 2 8 3 2" xfId="34125"/>
    <cellStyle name="Note 3 3 2 8 4" xfId="29258"/>
    <cellStyle name="Note 3 3 2 9" xfId="9071"/>
    <cellStyle name="Note 3 3 2 9 2" xfId="9072"/>
    <cellStyle name="Note 3 3 2 9 2 2" xfId="21549"/>
    <cellStyle name="Note 3 3 2 9 2 2 2" xfId="41617"/>
    <cellStyle name="Note 3 3 2 9 2 3" xfId="29261"/>
    <cellStyle name="Note 3 3 2 9 3" xfId="15315"/>
    <cellStyle name="Note 3 3 2 9 3 2" xfId="35383"/>
    <cellStyle name="Note 3 3 2 9 4" xfId="29260"/>
    <cellStyle name="Note 3 3 20" xfId="9073"/>
    <cellStyle name="Note 3 3 20 2" xfId="9074"/>
    <cellStyle name="Note 3 3 20 2 2" xfId="21550"/>
    <cellStyle name="Note 3 3 20 2 2 2" xfId="41618"/>
    <cellStyle name="Note 3 3 20 2 3" xfId="29263"/>
    <cellStyle name="Note 3 3 20 3" xfId="15774"/>
    <cellStyle name="Note 3 3 20 3 2" xfId="35842"/>
    <cellStyle name="Note 3 3 20 4" xfId="29262"/>
    <cellStyle name="Note 3 3 21" xfId="9075"/>
    <cellStyle name="Note 3 3 21 2" xfId="9076"/>
    <cellStyle name="Note 3 3 21 2 2" xfId="21551"/>
    <cellStyle name="Note 3 3 21 2 2 2" xfId="41619"/>
    <cellStyle name="Note 3 3 21 2 3" xfId="29265"/>
    <cellStyle name="Note 3 3 21 3" xfId="15863"/>
    <cellStyle name="Note 3 3 21 3 2" xfId="35931"/>
    <cellStyle name="Note 3 3 21 4" xfId="29264"/>
    <cellStyle name="Note 3 3 22" xfId="9077"/>
    <cellStyle name="Note 3 3 22 2" xfId="9078"/>
    <cellStyle name="Note 3 3 22 2 2" xfId="21552"/>
    <cellStyle name="Note 3 3 22 2 2 2" xfId="41620"/>
    <cellStyle name="Note 3 3 22 2 3" xfId="29267"/>
    <cellStyle name="Note 3 3 22 3" xfId="15510"/>
    <cellStyle name="Note 3 3 22 3 2" xfId="35578"/>
    <cellStyle name="Note 3 3 22 4" xfId="29266"/>
    <cellStyle name="Note 3 3 23" xfId="9079"/>
    <cellStyle name="Note 3 3 23 2" xfId="9080"/>
    <cellStyle name="Note 3 3 23 2 2" xfId="21553"/>
    <cellStyle name="Note 3 3 23 2 2 2" xfId="41621"/>
    <cellStyle name="Note 3 3 23 2 3" xfId="29269"/>
    <cellStyle name="Note 3 3 23 3" xfId="17676"/>
    <cellStyle name="Note 3 3 23 3 2" xfId="37744"/>
    <cellStyle name="Note 3 3 23 4" xfId="29268"/>
    <cellStyle name="Note 3 3 24" xfId="9081"/>
    <cellStyle name="Note 3 3 24 2" xfId="9082"/>
    <cellStyle name="Note 3 3 24 2 2" xfId="21554"/>
    <cellStyle name="Note 3 3 24 2 2 2" xfId="41622"/>
    <cellStyle name="Note 3 3 24 2 3" xfId="29271"/>
    <cellStyle name="Note 3 3 24 3" xfId="15557"/>
    <cellStyle name="Note 3 3 24 3 2" xfId="35625"/>
    <cellStyle name="Note 3 3 24 4" xfId="29270"/>
    <cellStyle name="Note 3 3 25" xfId="9083"/>
    <cellStyle name="Note 3 3 25 2" xfId="9084"/>
    <cellStyle name="Note 3 3 25 2 2" xfId="21555"/>
    <cellStyle name="Note 3 3 25 2 2 2" xfId="41623"/>
    <cellStyle name="Note 3 3 25 2 3" xfId="29273"/>
    <cellStyle name="Note 3 3 25 3" xfId="17646"/>
    <cellStyle name="Note 3 3 25 3 2" xfId="37714"/>
    <cellStyle name="Note 3 3 25 4" xfId="29272"/>
    <cellStyle name="Note 3 3 26" xfId="9085"/>
    <cellStyle name="Note 3 3 26 2" xfId="9086"/>
    <cellStyle name="Note 3 3 26 2 2" xfId="21556"/>
    <cellStyle name="Note 3 3 26 2 2 2" xfId="41624"/>
    <cellStyle name="Note 3 3 26 2 3" xfId="29275"/>
    <cellStyle name="Note 3 3 26 3" xfId="15609"/>
    <cellStyle name="Note 3 3 26 3 2" xfId="35677"/>
    <cellStyle name="Note 3 3 26 4" xfId="29274"/>
    <cellStyle name="Note 3 3 27" xfId="9087"/>
    <cellStyle name="Note 3 3 27 2" xfId="9088"/>
    <cellStyle name="Note 3 3 27 2 2" xfId="21557"/>
    <cellStyle name="Note 3 3 27 2 2 2" xfId="41625"/>
    <cellStyle name="Note 3 3 27 2 3" xfId="29277"/>
    <cellStyle name="Note 3 3 27 3" xfId="17480"/>
    <cellStyle name="Note 3 3 27 3 2" xfId="37548"/>
    <cellStyle name="Note 3 3 27 4" xfId="29276"/>
    <cellStyle name="Note 3 3 28" xfId="9089"/>
    <cellStyle name="Note 3 3 28 2" xfId="9090"/>
    <cellStyle name="Note 3 3 28 2 2" xfId="21558"/>
    <cellStyle name="Note 3 3 28 2 2 2" xfId="41626"/>
    <cellStyle name="Note 3 3 28 2 3" xfId="29279"/>
    <cellStyle name="Note 3 3 28 3" xfId="15950"/>
    <cellStyle name="Note 3 3 28 3 2" xfId="36018"/>
    <cellStyle name="Note 3 3 28 4" xfId="29278"/>
    <cellStyle name="Note 3 3 29" xfId="9091"/>
    <cellStyle name="Note 3 3 29 2" xfId="9092"/>
    <cellStyle name="Note 3 3 29 2 2" xfId="21559"/>
    <cellStyle name="Note 3 3 29 2 2 2" xfId="41627"/>
    <cellStyle name="Note 3 3 29 2 3" xfId="29281"/>
    <cellStyle name="Note 3 3 29 3" xfId="17361"/>
    <cellStyle name="Note 3 3 29 3 2" xfId="37429"/>
    <cellStyle name="Note 3 3 29 4" xfId="29280"/>
    <cellStyle name="Note 3 3 3" xfId="9093"/>
    <cellStyle name="Note 3 3 3 10" xfId="9094"/>
    <cellStyle name="Note 3 3 3 10 2" xfId="9095"/>
    <cellStyle name="Note 3 3 3 10 2 2" xfId="21561"/>
    <cellStyle name="Note 3 3 3 10 2 2 2" xfId="41629"/>
    <cellStyle name="Note 3 3 3 10 2 3" xfId="29284"/>
    <cellStyle name="Note 3 3 3 10 3" xfId="16459"/>
    <cellStyle name="Note 3 3 3 10 3 2" xfId="36527"/>
    <cellStyle name="Note 3 3 3 10 4" xfId="29283"/>
    <cellStyle name="Note 3 3 3 11" xfId="9096"/>
    <cellStyle name="Note 3 3 3 11 2" xfId="9097"/>
    <cellStyle name="Note 3 3 3 11 2 2" xfId="21562"/>
    <cellStyle name="Note 3 3 3 11 2 2 2" xfId="41630"/>
    <cellStyle name="Note 3 3 3 11 2 3" xfId="29286"/>
    <cellStyle name="Note 3 3 3 11 3" xfId="16652"/>
    <cellStyle name="Note 3 3 3 11 3 2" xfId="36720"/>
    <cellStyle name="Note 3 3 3 11 4" xfId="29285"/>
    <cellStyle name="Note 3 3 3 12" xfId="9098"/>
    <cellStyle name="Note 3 3 3 12 2" xfId="9099"/>
    <cellStyle name="Note 3 3 3 12 2 2" xfId="21563"/>
    <cellStyle name="Note 3 3 3 12 2 2 2" xfId="41631"/>
    <cellStyle name="Note 3 3 3 12 2 3" xfId="29288"/>
    <cellStyle name="Note 3 3 3 12 3" xfId="16013"/>
    <cellStyle name="Note 3 3 3 12 3 2" xfId="36081"/>
    <cellStyle name="Note 3 3 3 12 4" xfId="29287"/>
    <cellStyle name="Note 3 3 3 13" xfId="9100"/>
    <cellStyle name="Note 3 3 3 13 2" xfId="9101"/>
    <cellStyle name="Note 3 3 3 13 2 2" xfId="21564"/>
    <cellStyle name="Note 3 3 3 13 2 2 2" xfId="41632"/>
    <cellStyle name="Note 3 3 3 13 2 3" xfId="29290"/>
    <cellStyle name="Note 3 3 3 13 3" xfId="15707"/>
    <cellStyle name="Note 3 3 3 13 3 2" xfId="35775"/>
    <cellStyle name="Note 3 3 3 13 4" xfId="29289"/>
    <cellStyle name="Note 3 3 3 14" xfId="9102"/>
    <cellStyle name="Note 3 3 3 14 2" xfId="9103"/>
    <cellStyle name="Note 3 3 3 14 2 2" xfId="21565"/>
    <cellStyle name="Note 3 3 3 14 2 2 2" xfId="41633"/>
    <cellStyle name="Note 3 3 3 14 2 3" xfId="29292"/>
    <cellStyle name="Note 3 3 3 14 3" xfId="16124"/>
    <cellStyle name="Note 3 3 3 14 3 2" xfId="36192"/>
    <cellStyle name="Note 3 3 3 14 4" xfId="29291"/>
    <cellStyle name="Note 3 3 3 15" xfId="9104"/>
    <cellStyle name="Note 3 3 3 15 2" xfId="9105"/>
    <cellStyle name="Note 3 3 3 15 2 2" xfId="21566"/>
    <cellStyle name="Note 3 3 3 15 2 2 2" xfId="41634"/>
    <cellStyle name="Note 3 3 3 15 2 3" xfId="29294"/>
    <cellStyle name="Note 3 3 3 15 3" xfId="15648"/>
    <cellStyle name="Note 3 3 3 15 3 2" xfId="35716"/>
    <cellStyle name="Note 3 3 3 15 4" xfId="29293"/>
    <cellStyle name="Note 3 3 3 16" xfId="9106"/>
    <cellStyle name="Note 3 3 3 16 2" xfId="9107"/>
    <cellStyle name="Note 3 3 3 16 2 2" xfId="21567"/>
    <cellStyle name="Note 3 3 3 16 2 2 2" xfId="41635"/>
    <cellStyle name="Note 3 3 3 16 2 3" xfId="29296"/>
    <cellStyle name="Note 3 3 3 16 3" xfId="15499"/>
    <cellStyle name="Note 3 3 3 16 3 2" xfId="35567"/>
    <cellStyle name="Note 3 3 3 16 4" xfId="29295"/>
    <cellStyle name="Note 3 3 3 17" xfId="9108"/>
    <cellStyle name="Note 3 3 3 17 2" xfId="9109"/>
    <cellStyle name="Note 3 3 3 17 2 2" xfId="21568"/>
    <cellStyle name="Note 3 3 3 17 2 2 2" xfId="41636"/>
    <cellStyle name="Note 3 3 3 17 2 3" xfId="29298"/>
    <cellStyle name="Note 3 3 3 17 3" xfId="16165"/>
    <cellStyle name="Note 3 3 3 17 3 2" xfId="36233"/>
    <cellStyle name="Note 3 3 3 17 4" xfId="29297"/>
    <cellStyle name="Note 3 3 3 18" xfId="9110"/>
    <cellStyle name="Note 3 3 3 18 2" xfId="9111"/>
    <cellStyle name="Note 3 3 3 18 2 2" xfId="21569"/>
    <cellStyle name="Note 3 3 3 18 2 2 2" xfId="41637"/>
    <cellStyle name="Note 3 3 3 18 2 3" xfId="29300"/>
    <cellStyle name="Note 3 3 3 18 3" xfId="17492"/>
    <cellStyle name="Note 3 3 3 18 3 2" xfId="37560"/>
    <cellStyle name="Note 3 3 3 18 4" xfId="29299"/>
    <cellStyle name="Note 3 3 3 19" xfId="9112"/>
    <cellStyle name="Note 3 3 3 19 2" xfId="9113"/>
    <cellStyle name="Note 3 3 3 19 2 2" xfId="21570"/>
    <cellStyle name="Note 3 3 3 19 2 2 2" xfId="41638"/>
    <cellStyle name="Note 3 3 3 19 2 3" xfId="29302"/>
    <cellStyle name="Note 3 3 3 19 3" xfId="15862"/>
    <cellStyle name="Note 3 3 3 19 3 2" xfId="35930"/>
    <cellStyle name="Note 3 3 3 19 4" xfId="29301"/>
    <cellStyle name="Note 3 3 3 2" xfId="9114"/>
    <cellStyle name="Note 3 3 3 2 10" xfId="9115"/>
    <cellStyle name="Note 3 3 3 2 10 2" xfId="9116"/>
    <cellStyle name="Note 3 3 3 2 10 2 2" xfId="21572"/>
    <cellStyle name="Note 3 3 3 2 10 2 2 2" xfId="41640"/>
    <cellStyle name="Note 3 3 3 2 10 2 3" xfId="29305"/>
    <cellStyle name="Note 3 3 3 2 10 3" xfId="16959"/>
    <cellStyle name="Note 3 3 3 2 10 3 2" xfId="37027"/>
    <cellStyle name="Note 3 3 3 2 10 4" xfId="29304"/>
    <cellStyle name="Note 3 3 3 2 11" xfId="9117"/>
    <cellStyle name="Note 3 3 3 2 11 2" xfId="9118"/>
    <cellStyle name="Note 3 3 3 2 11 2 2" xfId="21573"/>
    <cellStyle name="Note 3 3 3 2 11 2 2 2" xfId="41641"/>
    <cellStyle name="Note 3 3 3 2 11 2 3" xfId="29307"/>
    <cellStyle name="Note 3 3 3 2 11 3" xfId="17104"/>
    <cellStyle name="Note 3 3 3 2 11 3 2" xfId="37172"/>
    <cellStyle name="Note 3 3 3 2 11 4" xfId="29306"/>
    <cellStyle name="Note 3 3 3 2 12" xfId="9119"/>
    <cellStyle name="Note 3 3 3 2 12 2" xfId="9120"/>
    <cellStyle name="Note 3 3 3 2 12 2 2" xfId="21574"/>
    <cellStyle name="Note 3 3 3 2 12 2 2 2" xfId="41642"/>
    <cellStyle name="Note 3 3 3 2 12 2 3" xfId="29309"/>
    <cellStyle name="Note 3 3 3 2 12 3" xfId="17276"/>
    <cellStyle name="Note 3 3 3 2 12 3 2" xfId="37344"/>
    <cellStyle name="Note 3 3 3 2 12 4" xfId="29308"/>
    <cellStyle name="Note 3 3 3 2 13" xfId="9121"/>
    <cellStyle name="Note 3 3 3 2 13 2" xfId="9122"/>
    <cellStyle name="Note 3 3 3 2 13 2 2" xfId="21575"/>
    <cellStyle name="Note 3 3 3 2 13 2 2 2" xfId="41643"/>
    <cellStyle name="Note 3 3 3 2 13 2 3" xfId="29311"/>
    <cellStyle name="Note 3 3 3 2 13 3" xfId="17440"/>
    <cellStyle name="Note 3 3 3 2 13 3 2" xfId="37508"/>
    <cellStyle name="Note 3 3 3 2 13 4" xfId="29310"/>
    <cellStyle name="Note 3 3 3 2 14" xfId="9123"/>
    <cellStyle name="Note 3 3 3 2 14 2" xfId="9124"/>
    <cellStyle name="Note 3 3 3 2 14 2 2" xfId="21576"/>
    <cellStyle name="Note 3 3 3 2 14 2 2 2" xfId="41644"/>
    <cellStyle name="Note 3 3 3 2 14 2 3" xfId="29313"/>
    <cellStyle name="Note 3 3 3 2 14 3" xfId="17566"/>
    <cellStyle name="Note 3 3 3 2 14 3 2" xfId="37634"/>
    <cellStyle name="Note 3 3 3 2 14 4" xfId="29312"/>
    <cellStyle name="Note 3 3 3 2 15" xfId="9125"/>
    <cellStyle name="Note 3 3 3 2 15 2" xfId="9126"/>
    <cellStyle name="Note 3 3 3 2 15 2 2" xfId="21577"/>
    <cellStyle name="Note 3 3 3 2 15 2 2 2" xfId="41645"/>
    <cellStyle name="Note 3 3 3 2 15 2 3" xfId="29315"/>
    <cellStyle name="Note 3 3 3 2 15 3" xfId="16157"/>
    <cellStyle name="Note 3 3 3 2 15 3 2" xfId="36225"/>
    <cellStyle name="Note 3 3 3 2 15 4" xfId="29314"/>
    <cellStyle name="Note 3 3 3 2 16" xfId="9127"/>
    <cellStyle name="Note 3 3 3 2 16 2" xfId="9128"/>
    <cellStyle name="Note 3 3 3 2 16 2 2" xfId="21578"/>
    <cellStyle name="Note 3 3 3 2 16 2 2 2" xfId="41646"/>
    <cellStyle name="Note 3 3 3 2 16 2 3" xfId="29317"/>
    <cellStyle name="Note 3 3 3 2 16 3" xfId="17816"/>
    <cellStyle name="Note 3 3 3 2 16 3 2" xfId="37884"/>
    <cellStyle name="Note 3 3 3 2 16 4" xfId="29316"/>
    <cellStyle name="Note 3 3 3 2 17" xfId="9129"/>
    <cellStyle name="Note 3 3 3 2 17 2" xfId="9130"/>
    <cellStyle name="Note 3 3 3 2 17 2 2" xfId="21579"/>
    <cellStyle name="Note 3 3 3 2 17 2 2 2" xfId="41647"/>
    <cellStyle name="Note 3 3 3 2 17 2 3" xfId="29319"/>
    <cellStyle name="Note 3 3 3 2 17 3" xfId="17954"/>
    <cellStyle name="Note 3 3 3 2 17 3 2" xfId="38022"/>
    <cellStyle name="Note 3 3 3 2 17 4" xfId="29318"/>
    <cellStyle name="Note 3 3 3 2 18" xfId="9131"/>
    <cellStyle name="Note 3 3 3 2 18 2" xfId="9132"/>
    <cellStyle name="Note 3 3 3 2 18 2 2" xfId="21580"/>
    <cellStyle name="Note 3 3 3 2 18 2 2 2" xfId="41648"/>
    <cellStyle name="Note 3 3 3 2 18 2 3" xfId="29321"/>
    <cellStyle name="Note 3 3 3 2 18 3" xfId="18093"/>
    <cellStyle name="Note 3 3 3 2 18 3 2" xfId="38161"/>
    <cellStyle name="Note 3 3 3 2 18 4" xfId="29320"/>
    <cellStyle name="Note 3 3 3 2 19" xfId="9133"/>
    <cellStyle name="Note 3 3 3 2 19 2" xfId="9134"/>
    <cellStyle name="Note 3 3 3 2 19 2 2" xfId="21581"/>
    <cellStyle name="Note 3 3 3 2 19 2 2 2" xfId="41649"/>
    <cellStyle name="Note 3 3 3 2 19 2 3" xfId="29323"/>
    <cellStyle name="Note 3 3 3 2 19 3" xfId="18211"/>
    <cellStyle name="Note 3 3 3 2 19 3 2" xfId="38279"/>
    <cellStyle name="Note 3 3 3 2 19 4" xfId="29322"/>
    <cellStyle name="Note 3 3 3 2 2" xfId="9135"/>
    <cellStyle name="Note 3 3 3 2 2 2" xfId="9136"/>
    <cellStyle name="Note 3 3 3 2 2 2 2" xfId="21582"/>
    <cellStyle name="Note 3 3 3 2 2 2 2 2" xfId="41650"/>
    <cellStyle name="Note 3 3 3 2 2 2 3" xfId="29325"/>
    <cellStyle name="Note 3 3 3 2 2 3" xfId="14679"/>
    <cellStyle name="Note 3 3 3 2 2 3 2" xfId="34747"/>
    <cellStyle name="Note 3 3 3 2 2 4" xfId="29324"/>
    <cellStyle name="Note 3 3 3 2 20" xfId="9137"/>
    <cellStyle name="Note 3 3 3 2 20 2" xfId="9138"/>
    <cellStyle name="Note 3 3 3 2 20 2 2" xfId="21583"/>
    <cellStyle name="Note 3 3 3 2 20 2 2 2" xfId="41651"/>
    <cellStyle name="Note 3 3 3 2 20 2 3" xfId="29327"/>
    <cellStyle name="Note 3 3 3 2 20 3" xfId="17481"/>
    <cellStyle name="Note 3 3 3 2 20 3 2" xfId="37549"/>
    <cellStyle name="Note 3 3 3 2 20 4" xfId="29326"/>
    <cellStyle name="Note 3 3 3 2 21" xfId="9139"/>
    <cellStyle name="Note 3 3 3 2 21 2" xfId="9140"/>
    <cellStyle name="Note 3 3 3 2 21 2 2" xfId="21584"/>
    <cellStyle name="Note 3 3 3 2 21 2 2 2" xfId="41652"/>
    <cellStyle name="Note 3 3 3 2 21 2 3" xfId="29329"/>
    <cellStyle name="Note 3 3 3 2 21 3" xfId="18416"/>
    <cellStyle name="Note 3 3 3 2 21 3 2" xfId="38484"/>
    <cellStyle name="Note 3 3 3 2 21 4" xfId="29328"/>
    <cellStyle name="Note 3 3 3 2 22" xfId="9141"/>
    <cellStyle name="Note 3 3 3 2 22 2" xfId="9142"/>
    <cellStyle name="Note 3 3 3 2 22 2 2" xfId="21585"/>
    <cellStyle name="Note 3 3 3 2 22 2 2 2" xfId="41653"/>
    <cellStyle name="Note 3 3 3 2 22 2 3" xfId="29331"/>
    <cellStyle name="Note 3 3 3 2 22 3" xfId="18549"/>
    <cellStyle name="Note 3 3 3 2 22 3 2" xfId="38617"/>
    <cellStyle name="Note 3 3 3 2 22 4" xfId="29330"/>
    <cellStyle name="Note 3 3 3 2 23" xfId="9143"/>
    <cellStyle name="Note 3 3 3 2 23 2" xfId="9144"/>
    <cellStyle name="Note 3 3 3 2 23 2 2" xfId="21586"/>
    <cellStyle name="Note 3 3 3 2 23 2 2 2" xfId="41654"/>
    <cellStyle name="Note 3 3 3 2 23 2 3" xfId="29333"/>
    <cellStyle name="Note 3 3 3 2 23 3" xfId="18660"/>
    <cellStyle name="Note 3 3 3 2 23 3 2" xfId="38728"/>
    <cellStyle name="Note 3 3 3 2 23 4" xfId="29332"/>
    <cellStyle name="Note 3 3 3 2 24" xfId="9145"/>
    <cellStyle name="Note 3 3 3 2 24 2" xfId="9146"/>
    <cellStyle name="Note 3 3 3 2 24 2 2" xfId="21587"/>
    <cellStyle name="Note 3 3 3 2 24 2 2 2" xfId="41655"/>
    <cellStyle name="Note 3 3 3 2 24 2 3" xfId="29335"/>
    <cellStyle name="Note 3 3 3 2 24 3" xfId="18760"/>
    <cellStyle name="Note 3 3 3 2 24 3 2" xfId="38828"/>
    <cellStyle name="Note 3 3 3 2 24 4" xfId="29334"/>
    <cellStyle name="Note 3 3 3 2 25" xfId="9147"/>
    <cellStyle name="Note 3 3 3 2 25 2" xfId="9148"/>
    <cellStyle name="Note 3 3 3 2 25 2 2" xfId="21588"/>
    <cellStyle name="Note 3 3 3 2 25 2 2 2" xfId="41656"/>
    <cellStyle name="Note 3 3 3 2 25 2 3" xfId="29337"/>
    <cellStyle name="Note 3 3 3 2 25 3" xfId="18860"/>
    <cellStyle name="Note 3 3 3 2 25 3 2" xfId="38928"/>
    <cellStyle name="Note 3 3 3 2 25 4" xfId="29336"/>
    <cellStyle name="Note 3 3 3 2 26" xfId="9149"/>
    <cellStyle name="Note 3 3 3 2 26 2" xfId="21571"/>
    <cellStyle name="Note 3 3 3 2 26 2 2" xfId="41639"/>
    <cellStyle name="Note 3 3 3 2 26 3" xfId="29338"/>
    <cellStyle name="Note 3 3 3 2 27" xfId="14035"/>
    <cellStyle name="Note 3 3 3 2 27 2" xfId="34103"/>
    <cellStyle name="Note 3 3 3 2 28" xfId="29303"/>
    <cellStyle name="Note 3 3 3 2 3" xfId="9150"/>
    <cellStyle name="Note 3 3 3 2 3 2" xfId="9151"/>
    <cellStyle name="Note 3 3 3 2 3 2 2" xfId="21589"/>
    <cellStyle name="Note 3 3 3 2 3 2 2 2" xfId="41657"/>
    <cellStyle name="Note 3 3 3 2 3 2 3" xfId="29340"/>
    <cellStyle name="Note 3 3 3 2 3 3" xfId="14803"/>
    <cellStyle name="Note 3 3 3 2 3 3 2" xfId="34871"/>
    <cellStyle name="Note 3 3 3 2 3 4" xfId="29339"/>
    <cellStyle name="Note 3 3 3 2 4" xfId="9152"/>
    <cellStyle name="Note 3 3 3 2 4 2" xfId="9153"/>
    <cellStyle name="Note 3 3 3 2 4 2 2" xfId="21590"/>
    <cellStyle name="Note 3 3 3 2 4 2 2 2" xfId="41658"/>
    <cellStyle name="Note 3 3 3 2 4 2 3" xfId="29342"/>
    <cellStyle name="Note 3 3 3 2 4 3" xfId="14928"/>
    <cellStyle name="Note 3 3 3 2 4 3 2" xfId="34996"/>
    <cellStyle name="Note 3 3 3 2 4 4" xfId="29341"/>
    <cellStyle name="Note 3 3 3 2 5" xfId="9154"/>
    <cellStyle name="Note 3 3 3 2 5 2" xfId="9155"/>
    <cellStyle name="Note 3 3 3 2 5 2 2" xfId="21591"/>
    <cellStyle name="Note 3 3 3 2 5 2 2 2" xfId="41659"/>
    <cellStyle name="Note 3 3 3 2 5 2 3" xfId="29344"/>
    <cellStyle name="Note 3 3 3 2 5 3" xfId="15097"/>
    <cellStyle name="Note 3 3 3 2 5 3 2" xfId="35165"/>
    <cellStyle name="Note 3 3 3 2 5 4" xfId="29343"/>
    <cellStyle name="Note 3 3 3 2 6" xfId="9156"/>
    <cellStyle name="Note 3 3 3 2 6 2" xfId="9157"/>
    <cellStyle name="Note 3 3 3 2 6 2 2" xfId="21592"/>
    <cellStyle name="Note 3 3 3 2 6 2 2 2" xfId="41660"/>
    <cellStyle name="Note 3 3 3 2 6 2 3" xfId="29346"/>
    <cellStyle name="Note 3 3 3 2 6 3" xfId="15014"/>
    <cellStyle name="Note 3 3 3 2 6 3 2" xfId="35082"/>
    <cellStyle name="Note 3 3 3 2 6 4" xfId="29345"/>
    <cellStyle name="Note 3 3 3 2 7" xfId="9158"/>
    <cellStyle name="Note 3 3 3 2 7 2" xfId="9159"/>
    <cellStyle name="Note 3 3 3 2 7 2 2" xfId="21593"/>
    <cellStyle name="Note 3 3 3 2 7 2 2 2" xfId="41661"/>
    <cellStyle name="Note 3 3 3 2 7 2 3" xfId="29348"/>
    <cellStyle name="Note 3 3 3 2 7 3" xfId="15229"/>
    <cellStyle name="Note 3 3 3 2 7 3 2" xfId="35297"/>
    <cellStyle name="Note 3 3 3 2 7 4" xfId="29347"/>
    <cellStyle name="Note 3 3 3 2 8" xfId="9160"/>
    <cellStyle name="Note 3 3 3 2 8 2" xfId="9161"/>
    <cellStyle name="Note 3 3 3 2 8 2 2" xfId="21594"/>
    <cellStyle name="Note 3 3 3 2 8 2 2 2" xfId="41662"/>
    <cellStyle name="Note 3 3 3 2 8 2 3" xfId="29350"/>
    <cellStyle name="Note 3 3 3 2 8 3" xfId="16594"/>
    <cellStyle name="Note 3 3 3 2 8 3 2" xfId="36662"/>
    <cellStyle name="Note 3 3 3 2 8 4" xfId="29349"/>
    <cellStyle name="Note 3 3 3 2 9" xfId="9162"/>
    <cellStyle name="Note 3 3 3 2 9 2" xfId="9163"/>
    <cellStyle name="Note 3 3 3 2 9 2 2" xfId="21595"/>
    <cellStyle name="Note 3 3 3 2 9 2 2 2" xfId="41663"/>
    <cellStyle name="Note 3 3 3 2 9 2 3" xfId="29352"/>
    <cellStyle name="Note 3 3 3 2 9 3" xfId="16798"/>
    <cellStyle name="Note 3 3 3 2 9 3 2" xfId="36866"/>
    <cellStyle name="Note 3 3 3 2 9 4" xfId="29351"/>
    <cellStyle name="Note 3 3 3 20" xfId="9164"/>
    <cellStyle name="Note 3 3 3 20 2" xfId="9165"/>
    <cellStyle name="Note 3 3 3 20 2 2" xfId="21596"/>
    <cellStyle name="Note 3 3 3 20 2 2 2" xfId="41664"/>
    <cellStyle name="Note 3 3 3 20 2 3" xfId="29354"/>
    <cellStyle name="Note 3 3 3 20 3" xfId="16863"/>
    <cellStyle name="Note 3 3 3 20 3 2" xfId="36931"/>
    <cellStyle name="Note 3 3 3 20 4" xfId="29353"/>
    <cellStyle name="Note 3 3 3 21" xfId="9166"/>
    <cellStyle name="Note 3 3 3 21 2" xfId="9167"/>
    <cellStyle name="Note 3 3 3 21 2 2" xfId="21597"/>
    <cellStyle name="Note 3 3 3 21 2 2 2" xfId="41665"/>
    <cellStyle name="Note 3 3 3 21 2 3" xfId="29356"/>
    <cellStyle name="Note 3 3 3 21 3" xfId="16174"/>
    <cellStyle name="Note 3 3 3 21 3 2" xfId="36242"/>
    <cellStyle name="Note 3 3 3 21 4" xfId="29355"/>
    <cellStyle name="Note 3 3 3 22" xfId="9168"/>
    <cellStyle name="Note 3 3 3 22 2" xfId="9169"/>
    <cellStyle name="Note 3 3 3 22 2 2" xfId="21598"/>
    <cellStyle name="Note 3 3 3 22 2 2 2" xfId="41666"/>
    <cellStyle name="Note 3 3 3 22 2 3" xfId="29358"/>
    <cellStyle name="Note 3 3 3 22 3" xfId="17865"/>
    <cellStyle name="Note 3 3 3 22 3 2" xfId="37933"/>
    <cellStyle name="Note 3 3 3 22 4" xfId="29357"/>
    <cellStyle name="Note 3 3 3 23" xfId="9170"/>
    <cellStyle name="Note 3 3 3 23 2" xfId="9171"/>
    <cellStyle name="Note 3 3 3 23 2 2" xfId="21599"/>
    <cellStyle name="Note 3 3 3 23 2 2 2" xfId="41667"/>
    <cellStyle name="Note 3 3 3 23 2 3" xfId="29360"/>
    <cellStyle name="Note 3 3 3 23 3" xfId="16368"/>
    <cellStyle name="Note 3 3 3 23 3 2" xfId="36436"/>
    <cellStyle name="Note 3 3 3 23 4" xfId="29359"/>
    <cellStyle name="Note 3 3 3 24" xfId="9172"/>
    <cellStyle name="Note 3 3 3 24 2" xfId="9173"/>
    <cellStyle name="Note 3 3 3 24 2 2" xfId="21600"/>
    <cellStyle name="Note 3 3 3 24 2 2 2" xfId="41668"/>
    <cellStyle name="Note 3 3 3 24 2 3" xfId="29362"/>
    <cellStyle name="Note 3 3 3 24 3" xfId="15914"/>
    <cellStyle name="Note 3 3 3 24 3 2" xfId="35982"/>
    <cellStyle name="Note 3 3 3 24 4" xfId="29361"/>
    <cellStyle name="Note 3 3 3 25" xfId="9174"/>
    <cellStyle name="Note 3 3 3 25 2" xfId="9175"/>
    <cellStyle name="Note 3 3 3 25 2 2" xfId="21601"/>
    <cellStyle name="Note 3 3 3 25 2 2 2" xfId="41669"/>
    <cellStyle name="Note 3 3 3 25 2 3" xfId="29364"/>
    <cellStyle name="Note 3 3 3 25 3" xfId="15834"/>
    <cellStyle name="Note 3 3 3 25 3 2" xfId="35902"/>
    <cellStyle name="Note 3 3 3 25 4" xfId="29363"/>
    <cellStyle name="Note 3 3 3 26" xfId="9176"/>
    <cellStyle name="Note 3 3 3 26 2" xfId="9177"/>
    <cellStyle name="Note 3 3 3 26 2 2" xfId="21602"/>
    <cellStyle name="Note 3 3 3 26 2 2 2" xfId="41670"/>
    <cellStyle name="Note 3 3 3 26 2 3" xfId="29366"/>
    <cellStyle name="Note 3 3 3 26 3" xfId="15626"/>
    <cellStyle name="Note 3 3 3 26 3 2" xfId="35694"/>
    <cellStyle name="Note 3 3 3 26 4" xfId="29365"/>
    <cellStyle name="Note 3 3 3 27" xfId="9178"/>
    <cellStyle name="Note 3 3 3 27 2" xfId="9179"/>
    <cellStyle name="Note 3 3 3 27 2 2" xfId="21603"/>
    <cellStyle name="Note 3 3 3 27 2 2 2" xfId="41671"/>
    <cellStyle name="Note 3 3 3 27 2 3" xfId="29368"/>
    <cellStyle name="Note 3 3 3 27 3" xfId="18038"/>
    <cellStyle name="Note 3 3 3 27 3 2" xfId="38106"/>
    <cellStyle name="Note 3 3 3 27 4" xfId="29367"/>
    <cellStyle name="Note 3 3 3 28" xfId="9180"/>
    <cellStyle name="Note 3 3 3 28 2" xfId="21560"/>
    <cellStyle name="Note 3 3 3 28 2 2" xfId="41628"/>
    <cellStyle name="Note 3 3 3 28 3" xfId="29369"/>
    <cellStyle name="Note 3 3 3 29" xfId="13910"/>
    <cellStyle name="Note 3 3 3 29 2" xfId="33978"/>
    <cellStyle name="Note 3 3 3 3" xfId="9181"/>
    <cellStyle name="Note 3 3 3 3 2" xfId="9182"/>
    <cellStyle name="Note 3 3 3 3 2 2" xfId="21604"/>
    <cellStyle name="Note 3 3 3 3 2 2 2" xfId="41672"/>
    <cellStyle name="Note 3 3 3 3 2 3" xfId="29371"/>
    <cellStyle name="Note 3 3 3 3 3" xfId="14096"/>
    <cellStyle name="Note 3 3 3 3 3 2" xfId="34164"/>
    <cellStyle name="Note 3 3 3 3 4" xfId="29370"/>
    <cellStyle name="Note 3 3 3 30" xfId="29282"/>
    <cellStyle name="Note 3 3 3 4" xfId="9183"/>
    <cellStyle name="Note 3 3 3 4 2" xfId="9184"/>
    <cellStyle name="Note 3 3 3 4 2 2" xfId="21605"/>
    <cellStyle name="Note 3 3 3 4 2 2 2" xfId="41673"/>
    <cellStyle name="Note 3 3 3 4 2 3" xfId="29373"/>
    <cellStyle name="Note 3 3 3 4 3" xfId="14574"/>
    <cellStyle name="Note 3 3 3 4 3 2" xfId="34642"/>
    <cellStyle name="Note 3 3 3 4 4" xfId="29372"/>
    <cellStyle name="Note 3 3 3 5" xfId="9185"/>
    <cellStyle name="Note 3 3 3 5 2" xfId="9186"/>
    <cellStyle name="Note 3 3 3 5 2 2" xfId="21606"/>
    <cellStyle name="Note 3 3 3 5 2 2 2" xfId="41674"/>
    <cellStyle name="Note 3 3 3 5 2 3" xfId="29375"/>
    <cellStyle name="Note 3 3 3 5 3" xfId="14246"/>
    <cellStyle name="Note 3 3 3 5 3 2" xfId="34314"/>
    <cellStyle name="Note 3 3 3 5 4" xfId="29374"/>
    <cellStyle name="Note 3 3 3 6" xfId="9187"/>
    <cellStyle name="Note 3 3 3 6 2" xfId="9188"/>
    <cellStyle name="Note 3 3 3 6 2 2" xfId="21607"/>
    <cellStyle name="Note 3 3 3 6 2 2 2" xfId="41675"/>
    <cellStyle name="Note 3 3 3 6 2 3" xfId="29377"/>
    <cellStyle name="Note 3 3 3 6 3" xfId="14599"/>
    <cellStyle name="Note 3 3 3 6 3 2" xfId="34667"/>
    <cellStyle name="Note 3 3 3 6 4" xfId="29376"/>
    <cellStyle name="Note 3 3 3 7" xfId="9189"/>
    <cellStyle name="Note 3 3 3 7 2" xfId="9190"/>
    <cellStyle name="Note 3 3 3 7 2 2" xfId="21608"/>
    <cellStyle name="Note 3 3 3 7 2 2 2" xfId="41676"/>
    <cellStyle name="Note 3 3 3 7 2 3" xfId="29379"/>
    <cellStyle name="Note 3 3 3 7 3" xfId="14189"/>
    <cellStyle name="Note 3 3 3 7 3 2" xfId="34257"/>
    <cellStyle name="Note 3 3 3 7 4" xfId="29378"/>
    <cellStyle name="Note 3 3 3 8" xfId="9191"/>
    <cellStyle name="Note 3 3 3 8 2" xfId="9192"/>
    <cellStyle name="Note 3 3 3 8 2 2" xfId="21609"/>
    <cellStyle name="Note 3 3 3 8 2 2 2" xfId="41677"/>
    <cellStyle name="Note 3 3 3 8 2 3" xfId="29381"/>
    <cellStyle name="Note 3 3 3 8 3" xfId="14097"/>
    <cellStyle name="Note 3 3 3 8 3 2" xfId="34165"/>
    <cellStyle name="Note 3 3 3 8 4" xfId="29380"/>
    <cellStyle name="Note 3 3 3 9" xfId="9193"/>
    <cellStyle name="Note 3 3 3 9 2" xfId="9194"/>
    <cellStyle name="Note 3 3 3 9 2 2" xfId="21610"/>
    <cellStyle name="Note 3 3 3 9 2 2 2" xfId="41678"/>
    <cellStyle name="Note 3 3 3 9 2 3" xfId="29383"/>
    <cellStyle name="Note 3 3 3 9 3" xfId="15316"/>
    <cellStyle name="Note 3 3 3 9 3 2" xfId="35384"/>
    <cellStyle name="Note 3 3 3 9 4" xfId="29382"/>
    <cellStyle name="Note 3 3 30" xfId="9195"/>
    <cellStyle name="Note 3 3 30 2" xfId="21488"/>
    <cellStyle name="Note 3 3 30 2 2" xfId="41556"/>
    <cellStyle name="Note 3 3 30 3" xfId="29384"/>
    <cellStyle name="Note 3 3 31" xfId="13908"/>
    <cellStyle name="Note 3 3 31 2" xfId="33976"/>
    <cellStyle name="Note 3 3 32" xfId="29139"/>
    <cellStyle name="Note 3 3 4" xfId="9196"/>
    <cellStyle name="Note 3 3 4 10" xfId="9197"/>
    <cellStyle name="Note 3 3 4 10 2" xfId="9198"/>
    <cellStyle name="Note 3 3 4 10 2 2" xfId="21612"/>
    <cellStyle name="Note 3 3 4 10 2 2 2" xfId="41680"/>
    <cellStyle name="Note 3 3 4 10 2 3" xfId="29387"/>
    <cellStyle name="Note 3 3 4 10 3" xfId="16957"/>
    <cellStyle name="Note 3 3 4 10 3 2" xfId="37025"/>
    <cellStyle name="Note 3 3 4 10 4" xfId="29386"/>
    <cellStyle name="Note 3 3 4 11" xfId="9199"/>
    <cellStyle name="Note 3 3 4 11 2" xfId="9200"/>
    <cellStyle name="Note 3 3 4 11 2 2" xfId="21613"/>
    <cellStyle name="Note 3 3 4 11 2 2 2" xfId="41681"/>
    <cellStyle name="Note 3 3 4 11 2 3" xfId="29389"/>
    <cellStyle name="Note 3 3 4 11 3" xfId="17102"/>
    <cellStyle name="Note 3 3 4 11 3 2" xfId="37170"/>
    <cellStyle name="Note 3 3 4 11 4" xfId="29388"/>
    <cellStyle name="Note 3 3 4 12" xfId="9201"/>
    <cellStyle name="Note 3 3 4 12 2" xfId="9202"/>
    <cellStyle name="Note 3 3 4 12 2 2" xfId="21614"/>
    <cellStyle name="Note 3 3 4 12 2 2 2" xfId="41682"/>
    <cellStyle name="Note 3 3 4 12 2 3" xfId="29391"/>
    <cellStyle name="Note 3 3 4 12 3" xfId="17274"/>
    <cellStyle name="Note 3 3 4 12 3 2" xfId="37342"/>
    <cellStyle name="Note 3 3 4 12 4" xfId="29390"/>
    <cellStyle name="Note 3 3 4 13" xfId="9203"/>
    <cellStyle name="Note 3 3 4 13 2" xfId="9204"/>
    <cellStyle name="Note 3 3 4 13 2 2" xfId="21615"/>
    <cellStyle name="Note 3 3 4 13 2 2 2" xfId="41683"/>
    <cellStyle name="Note 3 3 4 13 2 3" xfId="29393"/>
    <cellStyle name="Note 3 3 4 13 3" xfId="17438"/>
    <cellStyle name="Note 3 3 4 13 3 2" xfId="37506"/>
    <cellStyle name="Note 3 3 4 13 4" xfId="29392"/>
    <cellStyle name="Note 3 3 4 14" xfId="9205"/>
    <cellStyle name="Note 3 3 4 14 2" xfId="9206"/>
    <cellStyle name="Note 3 3 4 14 2 2" xfId="21616"/>
    <cellStyle name="Note 3 3 4 14 2 2 2" xfId="41684"/>
    <cellStyle name="Note 3 3 4 14 2 3" xfId="29395"/>
    <cellStyle name="Note 3 3 4 14 3" xfId="17564"/>
    <cellStyle name="Note 3 3 4 14 3 2" xfId="37632"/>
    <cellStyle name="Note 3 3 4 14 4" xfId="29394"/>
    <cellStyle name="Note 3 3 4 15" xfId="9207"/>
    <cellStyle name="Note 3 3 4 15 2" xfId="9208"/>
    <cellStyle name="Note 3 3 4 15 2 2" xfId="21617"/>
    <cellStyle name="Note 3 3 4 15 2 2 2" xfId="41685"/>
    <cellStyle name="Note 3 3 4 15 2 3" xfId="29397"/>
    <cellStyle name="Note 3 3 4 15 3" xfId="16684"/>
    <cellStyle name="Note 3 3 4 15 3 2" xfId="36752"/>
    <cellStyle name="Note 3 3 4 15 4" xfId="29396"/>
    <cellStyle name="Note 3 3 4 16" xfId="9209"/>
    <cellStyle name="Note 3 3 4 16 2" xfId="9210"/>
    <cellStyle name="Note 3 3 4 16 2 2" xfId="21618"/>
    <cellStyle name="Note 3 3 4 16 2 2 2" xfId="41686"/>
    <cellStyle name="Note 3 3 4 16 2 3" xfId="29399"/>
    <cellStyle name="Note 3 3 4 16 3" xfId="17814"/>
    <cellStyle name="Note 3 3 4 16 3 2" xfId="37882"/>
    <cellStyle name="Note 3 3 4 16 4" xfId="29398"/>
    <cellStyle name="Note 3 3 4 17" xfId="9211"/>
    <cellStyle name="Note 3 3 4 17 2" xfId="9212"/>
    <cellStyle name="Note 3 3 4 17 2 2" xfId="21619"/>
    <cellStyle name="Note 3 3 4 17 2 2 2" xfId="41687"/>
    <cellStyle name="Note 3 3 4 17 2 3" xfId="29401"/>
    <cellStyle name="Note 3 3 4 17 3" xfId="17952"/>
    <cellStyle name="Note 3 3 4 17 3 2" xfId="38020"/>
    <cellStyle name="Note 3 3 4 17 4" xfId="29400"/>
    <cellStyle name="Note 3 3 4 18" xfId="9213"/>
    <cellStyle name="Note 3 3 4 18 2" xfId="9214"/>
    <cellStyle name="Note 3 3 4 18 2 2" xfId="21620"/>
    <cellStyle name="Note 3 3 4 18 2 2 2" xfId="41688"/>
    <cellStyle name="Note 3 3 4 18 2 3" xfId="29403"/>
    <cellStyle name="Note 3 3 4 18 3" xfId="18091"/>
    <cellStyle name="Note 3 3 4 18 3 2" xfId="38159"/>
    <cellStyle name="Note 3 3 4 18 4" xfId="29402"/>
    <cellStyle name="Note 3 3 4 19" xfId="9215"/>
    <cellStyle name="Note 3 3 4 19 2" xfId="9216"/>
    <cellStyle name="Note 3 3 4 19 2 2" xfId="21621"/>
    <cellStyle name="Note 3 3 4 19 2 2 2" xfId="41689"/>
    <cellStyle name="Note 3 3 4 19 2 3" xfId="29405"/>
    <cellStyle name="Note 3 3 4 19 3" xfId="18209"/>
    <cellStyle name="Note 3 3 4 19 3 2" xfId="38277"/>
    <cellStyle name="Note 3 3 4 19 4" xfId="29404"/>
    <cellStyle name="Note 3 3 4 2" xfId="9217"/>
    <cellStyle name="Note 3 3 4 2 2" xfId="9218"/>
    <cellStyle name="Note 3 3 4 2 2 2" xfId="21622"/>
    <cellStyle name="Note 3 3 4 2 2 2 2" xfId="41690"/>
    <cellStyle name="Note 3 3 4 2 2 3" xfId="29407"/>
    <cellStyle name="Note 3 3 4 2 3" xfId="14677"/>
    <cellStyle name="Note 3 3 4 2 3 2" xfId="34745"/>
    <cellStyle name="Note 3 3 4 2 4" xfId="29406"/>
    <cellStyle name="Note 3 3 4 20" xfId="9219"/>
    <cellStyle name="Note 3 3 4 20 2" xfId="9220"/>
    <cellStyle name="Note 3 3 4 20 2 2" xfId="21623"/>
    <cellStyle name="Note 3 3 4 20 2 2 2" xfId="41691"/>
    <cellStyle name="Note 3 3 4 20 2 3" xfId="29409"/>
    <cellStyle name="Note 3 3 4 20 3" xfId="16179"/>
    <cellStyle name="Note 3 3 4 20 3 2" xfId="36247"/>
    <cellStyle name="Note 3 3 4 20 4" xfId="29408"/>
    <cellStyle name="Note 3 3 4 21" xfId="9221"/>
    <cellStyle name="Note 3 3 4 21 2" xfId="9222"/>
    <cellStyle name="Note 3 3 4 21 2 2" xfId="21624"/>
    <cellStyle name="Note 3 3 4 21 2 2 2" xfId="41692"/>
    <cellStyle name="Note 3 3 4 21 2 3" xfId="29411"/>
    <cellStyle name="Note 3 3 4 21 3" xfId="18414"/>
    <cellStyle name="Note 3 3 4 21 3 2" xfId="38482"/>
    <cellStyle name="Note 3 3 4 21 4" xfId="29410"/>
    <cellStyle name="Note 3 3 4 22" xfId="9223"/>
    <cellStyle name="Note 3 3 4 22 2" xfId="9224"/>
    <cellStyle name="Note 3 3 4 22 2 2" xfId="21625"/>
    <cellStyle name="Note 3 3 4 22 2 2 2" xfId="41693"/>
    <cellStyle name="Note 3 3 4 22 2 3" xfId="29413"/>
    <cellStyle name="Note 3 3 4 22 3" xfId="18547"/>
    <cellStyle name="Note 3 3 4 22 3 2" xfId="38615"/>
    <cellStyle name="Note 3 3 4 22 4" xfId="29412"/>
    <cellStyle name="Note 3 3 4 23" xfId="9225"/>
    <cellStyle name="Note 3 3 4 23 2" xfId="9226"/>
    <cellStyle name="Note 3 3 4 23 2 2" xfId="21626"/>
    <cellStyle name="Note 3 3 4 23 2 2 2" xfId="41694"/>
    <cellStyle name="Note 3 3 4 23 2 3" xfId="29415"/>
    <cellStyle name="Note 3 3 4 23 3" xfId="18658"/>
    <cellStyle name="Note 3 3 4 23 3 2" xfId="38726"/>
    <cellStyle name="Note 3 3 4 23 4" xfId="29414"/>
    <cellStyle name="Note 3 3 4 24" xfId="9227"/>
    <cellStyle name="Note 3 3 4 24 2" xfId="9228"/>
    <cellStyle name="Note 3 3 4 24 2 2" xfId="21627"/>
    <cellStyle name="Note 3 3 4 24 2 2 2" xfId="41695"/>
    <cellStyle name="Note 3 3 4 24 2 3" xfId="29417"/>
    <cellStyle name="Note 3 3 4 24 3" xfId="18758"/>
    <cellStyle name="Note 3 3 4 24 3 2" xfId="38826"/>
    <cellStyle name="Note 3 3 4 24 4" xfId="29416"/>
    <cellStyle name="Note 3 3 4 25" xfId="9229"/>
    <cellStyle name="Note 3 3 4 25 2" xfId="9230"/>
    <cellStyle name="Note 3 3 4 25 2 2" xfId="21628"/>
    <cellStyle name="Note 3 3 4 25 2 2 2" xfId="41696"/>
    <cellStyle name="Note 3 3 4 25 2 3" xfId="29419"/>
    <cellStyle name="Note 3 3 4 25 3" xfId="18858"/>
    <cellStyle name="Note 3 3 4 25 3 2" xfId="38926"/>
    <cellStyle name="Note 3 3 4 25 4" xfId="29418"/>
    <cellStyle name="Note 3 3 4 26" xfId="9231"/>
    <cellStyle name="Note 3 3 4 26 2" xfId="21611"/>
    <cellStyle name="Note 3 3 4 26 2 2" xfId="41679"/>
    <cellStyle name="Note 3 3 4 26 3" xfId="29420"/>
    <cellStyle name="Note 3 3 4 27" xfId="14072"/>
    <cellStyle name="Note 3 3 4 27 2" xfId="34140"/>
    <cellStyle name="Note 3 3 4 28" xfId="29385"/>
    <cellStyle name="Note 3 3 4 3" xfId="9232"/>
    <cellStyle name="Note 3 3 4 3 2" xfId="9233"/>
    <cellStyle name="Note 3 3 4 3 2 2" xfId="21629"/>
    <cellStyle name="Note 3 3 4 3 2 2 2" xfId="41697"/>
    <cellStyle name="Note 3 3 4 3 2 3" xfId="29422"/>
    <cellStyle name="Note 3 3 4 3 3" xfId="14801"/>
    <cellStyle name="Note 3 3 4 3 3 2" xfId="34869"/>
    <cellStyle name="Note 3 3 4 3 4" xfId="29421"/>
    <cellStyle name="Note 3 3 4 4" xfId="9234"/>
    <cellStyle name="Note 3 3 4 4 2" xfId="9235"/>
    <cellStyle name="Note 3 3 4 4 2 2" xfId="21630"/>
    <cellStyle name="Note 3 3 4 4 2 2 2" xfId="41698"/>
    <cellStyle name="Note 3 3 4 4 2 3" xfId="29424"/>
    <cellStyle name="Note 3 3 4 4 3" xfId="14926"/>
    <cellStyle name="Note 3 3 4 4 3 2" xfId="34994"/>
    <cellStyle name="Note 3 3 4 4 4" xfId="29423"/>
    <cellStyle name="Note 3 3 4 5" xfId="9236"/>
    <cellStyle name="Note 3 3 4 5 2" xfId="9237"/>
    <cellStyle name="Note 3 3 4 5 2 2" xfId="21631"/>
    <cellStyle name="Note 3 3 4 5 2 2 2" xfId="41699"/>
    <cellStyle name="Note 3 3 4 5 2 3" xfId="29426"/>
    <cellStyle name="Note 3 3 4 5 3" xfId="15095"/>
    <cellStyle name="Note 3 3 4 5 3 2" xfId="35163"/>
    <cellStyle name="Note 3 3 4 5 4" xfId="29425"/>
    <cellStyle name="Note 3 3 4 6" xfId="9238"/>
    <cellStyle name="Note 3 3 4 6 2" xfId="9239"/>
    <cellStyle name="Note 3 3 4 6 2 2" xfId="21632"/>
    <cellStyle name="Note 3 3 4 6 2 2 2" xfId="41700"/>
    <cellStyle name="Note 3 3 4 6 2 3" xfId="29428"/>
    <cellStyle name="Note 3 3 4 6 3" xfId="14384"/>
    <cellStyle name="Note 3 3 4 6 3 2" xfId="34452"/>
    <cellStyle name="Note 3 3 4 6 4" xfId="29427"/>
    <cellStyle name="Note 3 3 4 7" xfId="9240"/>
    <cellStyle name="Note 3 3 4 7 2" xfId="9241"/>
    <cellStyle name="Note 3 3 4 7 2 2" xfId="21633"/>
    <cellStyle name="Note 3 3 4 7 2 2 2" xfId="41701"/>
    <cellStyle name="Note 3 3 4 7 2 3" xfId="29430"/>
    <cellStyle name="Note 3 3 4 7 3" xfId="15227"/>
    <cellStyle name="Note 3 3 4 7 3 2" xfId="35295"/>
    <cellStyle name="Note 3 3 4 7 4" xfId="29429"/>
    <cellStyle name="Note 3 3 4 8" xfId="9242"/>
    <cellStyle name="Note 3 3 4 8 2" xfId="9243"/>
    <cellStyle name="Note 3 3 4 8 2 2" xfId="21634"/>
    <cellStyle name="Note 3 3 4 8 2 2 2" xfId="41702"/>
    <cellStyle name="Note 3 3 4 8 2 3" xfId="29432"/>
    <cellStyle name="Note 3 3 4 8 3" xfId="16592"/>
    <cellStyle name="Note 3 3 4 8 3 2" xfId="36660"/>
    <cellStyle name="Note 3 3 4 8 4" xfId="29431"/>
    <cellStyle name="Note 3 3 4 9" xfId="9244"/>
    <cellStyle name="Note 3 3 4 9 2" xfId="9245"/>
    <cellStyle name="Note 3 3 4 9 2 2" xfId="21635"/>
    <cellStyle name="Note 3 3 4 9 2 2 2" xfId="41703"/>
    <cellStyle name="Note 3 3 4 9 2 3" xfId="29434"/>
    <cellStyle name="Note 3 3 4 9 3" xfId="16796"/>
    <cellStyle name="Note 3 3 4 9 3 2" xfId="36864"/>
    <cellStyle name="Note 3 3 4 9 4" xfId="29433"/>
    <cellStyle name="Note 3 3 5" xfId="9246"/>
    <cellStyle name="Note 3 3 5 2" xfId="9247"/>
    <cellStyle name="Note 3 3 5 2 2" xfId="21636"/>
    <cellStyle name="Note 3 3 5 2 2 2" xfId="41704"/>
    <cellStyle name="Note 3 3 5 2 3" xfId="29436"/>
    <cellStyle name="Note 3 3 5 3" xfId="14013"/>
    <cellStyle name="Note 3 3 5 3 2" xfId="34081"/>
    <cellStyle name="Note 3 3 5 4" xfId="29435"/>
    <cellStyle name="Note 3 3 6" xfId="9248"/>
    <cellStyle name="Note 3 3 6 2" xfId="9249"/>
    <cellStyle name="Note 3 3 6 2 2" xfId="21637"/>
    <cellStyle name="Note 3 3 6 2 2 2" xfId="41705"/>
    <cellStyle name="Note 3 3 6 2 3" xfId="29438"/>
    <cellStyle name="Note 3 3 6 3" xfId="14412"/>
    <cellStyle name="Note 3 3 6 3 2" xfId="34480"/>
    <cellStyle name="Note 3 3 6 4" xfId="29437"/>
    <cellStyle name="Note 3 3 7" xfId="9250"/>
    <cellStyle name="Note 3 3 7 2" xfId="9251"/>
    <cellStyle name="Note 3 3 7 2 2" xfId="21638"/>
    <cellStyle name="Note 3 3 7 2 2 2" xfId="41706"/>
    <cellStyle name="Note 3 3 7 2 3" xfId="29440"/>
    <cellStyle name="Note 3 3 7 3" xfId="14539"/>
    <cellStyle name="Note 3 3 7 3 2" xfId="34607"/>
    <cellStyle name="Note 3 3 7 4" xfId="29439"/>
    <cellStyle name="Note 3 3 8" xfId="9252"/>
    <cellStyle name="Note 3 3 8 2" xfId="9253"/>
    <cellStyle name="Note 3 3 8 2 2" xfId="21639"/>
    <cellStyle name="Note 3 3 8 2 2 2" xfId="41707"/>
    <cellStyle name="Note 3 3 8 2 3" xfId="29442"/>
    <cellStyle name="Note 3 3 8 3" xfId="13993"/>
    <cellStyle name="Note 3 3 8 3 2" xfId="34061"/>
    <cellStyle name="Note 3 3 8 4" xfId="29441"/>
    <cellStyle name="Note 3 3 9" xfId="9254"/>
    <cellStyle name="Note 3 3 9 2" xfId="9255"/>
    <cellStyle name="Note 3 3 9 2 2" xfId="21640"/>
    <cellStyle name="Note 3 3 9 2 2 2" xfId="41708"/>
    <cellStyle name="Note 3 3 9 2 3" xfId="29444"/>
    <cellStyle name="Note 3 3 9 3" xfId="14604"/>
    <cellStyle name="Note 3 3 9 3 2" xfId="34672"/>
    <cellStyle name="Note 3 3 9 4" xfId="29443"/>
    <cellStyle name="Note 3 3_2011-2012" xfId="9256"/>
    <cellStyle name="Note 3 30" xfId="9257"/>
    <cellStyle name="Note 3 30 2" xfId="9258"/>
    <cellStyle name="Note 3 30 2 2" xfId="21641"/>
    <cellStyle name="Note 3 30 2 2 2" xfId="41709"/>
    <cellStyle name="Note 3 30 2 3" xfId="29446"/>
    <cellStyle name="Note 3 30 3" xfId="18480"/>
    <cellStyle name="Note 3 30 3 2" xfId="38548"/>
    <cellStyle name="Note 3 30 4" xfId="29445"/>
    <cellStyle name="Note 3 31" xfId="9259"/>
    <cellStyle name="Note 3 31 2" xfId="9260"/>
    <cellStyle name="Note 3 31 2 2" xfId="21642"/>
    <cellStyle name="Note 3 31 2 2 2" xfId="41710"/>
    <cellStyle name="Note 3 31 2 3" xfId="29448"/>
    <cellStyle name="Note 3 31 3" xfId="18593"/>
    <cellStyle name="Note 3 31 3 2" xfId="38661"/>
    <cellStyle name="Note 3 31 4" xfId="29447"/>
    <cellStyle name="Note 3 32" xfId="9261"/>
    <cellStyle name="Note 3 32 2" xfId="21314"/>
    <cellStyle name="Note 3 32 2 2" xfId="41382"/>
    <cellStyle name="Note 3 32 3" xfId="29449"/>
    <cellStyle name="Note 3 33" xfId="13904"/>
    <cellStyle name="Note 3 33 2" xfId="33972"/>
    <cellStyle name="Note 3 34" xfId="28792"/>
    <cellStyle name="Note 3 35" xfId="43982"/>
    <cellStyle name="Note 3 36" xfId="43988"/>
    <cellStyle name="Note 3 37" xfId="43977"/>
    <cellStyle name="Note 3 38" xfId="43986"/>
    <cellStyle name="Note 3 39" xfId="43974"/>
    <cellStyle name="Note 3 4" xfId="9262"/>
    <cellStyle name="Note 3 4 10" xfId="9263"/>
    <cellStyle name="Note 3 4 10 2" xfId="9264"/>
    <cellStyle name="Note 3 4 10 2 2" xfId="21644"/>
    <cellStyle name="Note 3 4 10 2 2 2" xfId="41712"/>
    <cellStyle name="Note 3 4 10 2 3" xfId="29452"/>
    <cellStyle name="Note 3 4 10 3" xfId="16460"/>
    <cellStyle name="Note 3 4 10 3 2" xfId="36528"/>
    <cellStyle name="Note 3 4 10 4" xfId="29451"/>
    <cellStyle name="Note 3 4 11" xfId="9265"/>
    <cellStyle name="Note 3 4 11 2" xfId="9266"/>
    <cellStyle name="Note 3 4 11 2 2" xfId="21645"/>
    <cellStyle name="Note 3 4 11 2 2 2" xfId="41713"/>
    <cellStyle name="Note 3 4 11 2 3" xfId="29454"/>
    <cellStyle name="Note 3 4 11 3" xfId="16653"/>
    <cellStyle name="Note 3 4 11 3 2" xfId="36721"/>
    <cellStyle name="Note 3 4 11 4" xfId="29453"/>
    <cellStyle name="Note 3 4 12" xfId="9267"/>
    <cellStyle name="Note 3 4 12 2" xfId="9268"/>
    <cellStyle name="Note 3 4 12 2 2" xfId="21646"/>
    <cellStyle name="Note 3 4 12 2 2 2" xfId="41714"/>
    <cellStyle name="Note 3 4 12 2 3" xfId="29456"/>
    <cellStyle name="Note 3 4 12 3" xfId="16014"/>
    <cellStyle name="Note 3 4 12 3 2" xfId="36082"/>
    <cellStyle name="Note 3 4 12 4" xfId="29455"/>
    <cellStyle name="Note 3 4 13" xfId="9269"/>
    <cellStyle name="Note 3 4 13 2" xfId="9270"/>
    <cellStyle name="Note 3 4 13 2 2" xfId="21647"/>
    <cellStyle name="Note 3 4 13 2 2 2" xfId="41715"/>
    <cellStyle name="Note 3 4 13 2 3" xfId="29458"/>
    <cellStyle name="Note 3 4 13 3" xfId="15931"/>
    <cellStyle name="Note 3 4 13 3 2" xfId="35999"/>
    <cellStyle name="Note 3 4 13 4" xfId="29457"/>
    <cellStyle name="Note 3 4 14" xfId="9271"/>
    <cellStyle name="Note 3 4 14 2" xfId="9272"/>
    <cellStyle name="Note 3 4 14 2 2" xfId="21648"/>
    <cellStyle name="Note 3 4 14 2 2 2" xfId="41716"/>
    <cellStyle name="Note 3 4 14 2 3" xfId="29460"/>
    <cellStyle name="Note 3 4 14 3" xfId="15493"/>
    <cellStyle name="Note 3 4 14 3 2" xfId="35561"/>
    <cellStyle name="Note 3 4 14 4" xfId="29459"/>
    <cellStyle name="Note 3 4 15" xfId="9273"/>
    <cellStyle name="Note 3 4 15 2" xfId="9274"/>
    <cellStyle name="Note 3 4 15 2 2" xfId="21649"/>
    <cellStyle name="Note 3 4 15 2 2 2" xfId="41717"/>
    <cellStyle name="Note 3 4 15 2 3" xfId="29462"/>
    <cellStyle name="Note 3 4 15 3" xfId="15745"/>
    <cellStyle name="Note 3 4 15 3 2" xfId="35813"/>
    <cellStyle name="Note 3 4 15 4" xfId="29461"/>
    <cellStyle name="Note 3 4 16" xfId="9275"/>
    <cellStyle name="Note 3 4 16 2" xfId="9276"/>
    <cellStyle name="Note 3 4 16 2 2" xfId="21650"/>
    <cellStyle name="Note 3 4 16 2 2 2" xfId="41718"/>
    <cellStyle name="Note 3 4 16 2 3" xfId="29464"/>
    <cellStyle name="Note 3 4 16 3" xfId="16199"/>
    <cellStyle name="Note 3 4 16 3 2" xfId="36267"/>
    <cellStyle name="Note 3 4 16 4" xfId="29463"/>
    <cellStyle name="Note 3 4 17" xfId="9277"/>
    <cellStyle name="Note 3 4 17 2" xfId="9278"/>
    <cellStyle name="Note 3 4 17 2 2" xfId="21651"/>
    <cellStyle name="Note 3 4 17 2 2 2" xfId="41719"/>
    <cellStyle name="Note 3 4 17 2 3" xfId="29466"/>
    <cellStyle name="Note 3 4 17 3" xfId="16295"/>
    <cellStyle name="Note 3 4 17 3 2" xfId="36363"/>
    <cellStyle name="Note 3 4 17 4" xfId="29465"/>
    <cellStyle name="Note 3 4 18" xfId="9279"/>
    <cellStyle name="Note 3 4 18 2" xfId="9280"/>
    <cellStyle name="Note 3 4 18 2 2" xfId="21652"/>
    <cellStyle name="Note 3 4 18 2 2 2" xfId="41720"/>
    <cellStyle name="Note 3 4 18 2 3" xfId="29468"/>
    <cellStyle name="Note 3 4 18 3" xfId="16249"/>
    <cellStyle name="Note 3 4 18 3 2" xfId="36317"/>
    <cellStyle name="Note 3 4 18 4" xfId="29467"/>
    <cellStyle name="Note 3 4 19" xfId="9281"/>
    <cellStyle name="Note 3 4 19 2" xfId="9282"/>
    <cellStyle name="Note 3 4 19 2 2" xfId="21653"/>
    <cellStyle name="Note 3 4 19 2 2 2" xfId="41721"/>
    <cellStyle name="Note 3 4 19 2 3" xfId="29470"/>
    <cellStyle name="Note 3 4 19 3" xfId="15538"/>
    <cellStyle name="Note 3 4 19 3 2" xfId="35606"/>
    <cellStyle name="Note 3 4 19 4" xfId="29469"/>
    <cellStyle name="Note 3 4 2" xfId="9283"/>
    <cellStyle name="Note 3 4 2 10" xfId="9284"/>
    <cellStyle name="Note 3 4 2 10 2" xfId="9285"/>
    <cellStyle name="Note 3 4 2 10 2 2" xfId="21655"/>
    <cellStyle name="Note 3 4 2 10 2 2 2" xfId="41723"/>
    <cellStyle name="Note 3 4 2 10 2 3" xfId="29473"/>
    <cellStyle name="Note 3 4 2 10 3" xfId="16960"/>
    <cellStyle name="Note 3 4 2 10 3 2" xfId="37028"/>
    <cellStyle name="Note 3 4 2 10 4" xfId="29472"/>
    <cellStyle name="Note 3 4 2 11" xfId="9286"/>
    <cellStyle name="Note 3 4 2 11 2" xfId="9287"/>
    <cellStyle name="Note 3 4 2 11 2 2" xfId="21656"/>
    <cellStyle name="Note 3 4 2 11 2 2 2" xfId="41724"/>
    <cellStyle name="Note 3 4 2 11 2 3" xfId="29475"/>
    <cellStyle name="Note 3 4 2 11 3" xfId="17105"/>
    <cellStyle name="Note 3 4 2 11 3 2" xfId="37173"/>
    <cellStyle name="Note 3 4 2 11 4" xfId="29474"/>
    <cellStyle name="Note 3 4 2 12" xfId="9288"/>
    <cellStyle name="Note 3 4 2 12 2" xfId="9289"/>
    <cellStyle name="Note 3 4 2 12 2 2" xfId="21657"/>
    <cellStyle name="Note 3 4 2 12 2 2 2" xfId="41725"/>
    <cellStyle name="Note 3 4 2 12 2 3" xfId="29477"/>
    <cellStyle name="Note 3 4 2 12 3" xfId="17277"/>
    <cellStyle name="Note 3 4 2 12 3 2" xfId="37345"/>
    <cellStyle name="Note 3 4 2 12 4" xfId="29476"/>
    <cellStyle name="Note 3 4 2 13" xfId="9290"/>
    <cellStyle name="Note 3 4 2 13 2" xfId="9291"/>
    <cellStyle name="Note 3 4 2 13 2 2" xfId="21658"/>
    <cellStyle name="Note 3 4 2 13 2 2 2" xfId="41726"/>
    <cellStyle name="Note 3 4 2 13 2 3" xfId="29479"/>
    <cellStyle name="Note 3 4 2 13 3" xfId="17441"/>
    <cellStyle name="Note 3 4 2 13 3 2" xfId="37509"/>
    <cellStyle name="Note 3 4 2 13 4" xfId="29478"/>
    <cellStyle name="Note 3 4 2 14" xfId="9292"/>
    <cellStyle name="Note 3 4 2 14 2" xfId="9293"/>
    <cellStyle name="Note 3 4 2 14 2 2" xfId="21659"/>
    <cellStyle name="Note 3 4 2 14 2 2 2" xfId="41727"/>
    <cellStyle name="Note 3 4 2 14 2 3" xfId="29481"/>
    <cellStyle name="Note 3 4 2 14 3" xfId="17567"/>
    <cellStyle name="Note 3 4 2 14 3 2" xfId="37635"/>
    <cellStyle name="Note 3 4 2 14 4" xfId="29480"/>
    <cellStyle name="Note 3 4 2 15" xfId="9294"/>
    <cellStyle name="Note 3 4 2 15 2" xfId="9295"/>
    <cellStyle name="Note 3 4 2 15 2 2" xfId="21660"/>
    <cellStyle name="Note 3 4 2 15 2 2 2" xfId="41728"/>
    <cellStyle name="Note 3 4 2 15 2 3" xfId="29483"/>
    <cellStyle name="Note 3 4 2 15 3" xfId="17687"/>
    <cellStyle name="Note 3 4 2 15 3 2" xfId="37755"/>
    <cellStyle name="Note 3 4 2 15 4" xfId="29482"/>
    <cellStyle name="Note 3 4 2 16" xfId="9296"/>
    <cellStyle name="Note 3 4 2 16 2" xfId="9297"/>
    <cellStyle name="Note 3 4 2 16 2 2" xfId="21661"/>
    <cellStyle name="Note 3 4 2 16 2 2 2" xfId="41729"/>
    <cellStyle name="Note 3 4 2 16 2 3" xfId="29485"/>
    <cellStyle name="Note 3 4 2 16 3" xfId="17817"/>
    <cellStyle name="Note 3 4 2 16 3 2" xfId="37885"/>
    <cellStyle name="Note 3 4 2 16 4" xfId="29484"/>
    <cellStyle name="Note 3 4 2 17" xfId="9298"/>
    <cellStyle name="Note 3 4 2 17 2" xfId="9299"/>
    <cellStyle name="Note 3 4 2 17 2 2" xfId="21662"/>
    <cellStyle name="Note 3 4 2 17 2 2 2" xfId="41730"/>
    <cellStyle name="Note 3 4 2 17 2 3" xfId="29487"/>
    <cellStyle name="Note 3 4 2 17 3" xfId="17955"/>
    <cellStyle name="Note 3 4 2 17 3 2" xfId="38023"/>
    <cellStyle name="Note 3 4 2 17 4" xfId="29486"/>
    <cellStyle name="Note 3 4 2 18" xfId="9300"/>
    <cellStyle name="Note 3 4 2 18 2" xfId="9301"/>
    <cellStyle name="Note 3 4 2 18 2 2" xfId="21663"/>
    <cellStyle name="Note 3 4 2 18 2 2 2" xfId="41731"/>
    <cellStyle name="Note 3 4 2 18 2 3" xfId="29489"/>
    <cellStyle name="Note 3 4 2 18 3" xfId="18094"/>
    <cellStyle name="Note 3 4 2 18 3 2" xfId="38162"/>
    <cellStyle name="Note 3 4 2 18 4" xfId="29488"/>
    <cellStyle name="Note 3 4 2 19" xfId="9302"/>
    <cellStyle name="Note 3 4 2 19 2" xfId="9303"/>
    <cellStyle name="Note 3 4 2 19 2 2" xfId="21664"/>
    <cellStyle name="Note 3 4 2 19 2 2 2" xfId="41732"/>
    <cellStyle name="Note 3 4 2 19 2 3" xfId="29491"/>
    <cellStyle name="Note 3 4 2 19 3" xfId="18212"/>
    <cellStyle name="Note 3 4 2 19 3 2" xfId="38280"/>
    <cellStyle name="Note 3 4 2 19 4" xfId="29490"/>
    <cellStyle name="Note 3 4 2 2" xfId="9304"/>
    <cellStyle name="Note 3 4 2 2 2" xfId="9305"/>
    <cellStyle name="Note 3 4 2 2 2 2" xfId="21665"/>
    <cellStyle name="Note 3 4 2 2 2 2 2" xfId="41733"/>
    <cellStyle name="Note 3 4 2 2 2 3" xfId="29493"/>
    <cellStyle name="Note 3 4 2 2 3" xfId="14680"/>
    <cellStyle name="Note 3 4 2 2 3 2" xfId="34748"/>
    <cellStyle name="Note 3 4 2 2 4" xfId="29492"/>
    <cellStyle name="Note 3 4 2 20" xfId="9306"/>
    <cellStyle name="Note 3 4 2 20 2" xfId="9307"/>
    <cellStyle name="Note 3 4 2 20 2 2" xfId="21666"/>
    <cellStyle name="Note 3 4 2 20 2 2 2" xfId="41734"/>
    <cellStyle name="Note 3 4 2 20 2 3" xfId="29495"/>
    <cellStyle name="Note 3 4 2 20 3" xfId="15541"/>
    <cellStyle name="Note 3 4 2 20 3 2" xfId="35609"/>
    <cellStyle name="Note 3 4 2 20 4" xfId="29494"/>
    <cellStyle name="Note 3 4 2 21" xfId="9308"/>
    <cellStyle name="Note 3 4 2 21 2" xfId="9309"/>
    <cellStyle name="Note 3 4 2 21 2 2" xfId="21667"/>
    <cellStyle name="Note 3 4 2 21 2 2 2" xfId="41735"/>
    <cellStyle name="Note 3 4 2 21 2 3" xfId="29497"/>
    <cellStyle name="Note 3 4 2 21 3" xfId="18417"/>
    <cellStyle name="Note 3 4 2 21 3 2" xfId="38485"/>
    <cellStyle name="Note 3 4 2 21 4" xfId="29496"/>
    <cellStyle name="Note 3 4 2 22" xfId="9310"/>
    <cellStyle name="Note 3 4 2 22 2" xfId="9311"/>
    <cellStyle name="Note 3 4 2 22 2 2" xfId="21668"/>
    <cellStyle name="Note 3 4 2 22 2 2 2" xfId="41736"/>
    <cellStyle name="Note 3 4 2 22 2 3" xfId="29499"/>
    <cellStyle name="Note 3 4 2 22 3" xfId="18550"/>
    <cellStyle name="Note 3 4 2 22 3 2" xfId="38618"/>
    <cellStyle name="Note 3 4 2 22 4" xfId="29498"/>
    <cellStyle name="Note 3 4 2 23" xfId="9312"/>
    <cellStyle name="Note 3 4 2 23 2" xfId="9313"/>
    <cellStyle name="Note 3 4 2 23 2 2" xfId="21669"/>
    <cellStyle name="Note 3 4 2 23 2 2 2" xfId="41737"/>
    <cellStyle name="Note 3 4 2 23 2 3" xfId="29501"/>
    <cellStyle name="Note 3 4 2 23 3" xfId="18661"/>
    <cellStyle name="Note 3 4 2 23 3 2" xfId="38729"/>
    <cellStyle name="Note 3 4 2 23 4" xfId="29500"/>
    <cellStyle name="Note 3 4 2 24" xfId="9314"/>
    <cellStyle name="Note 3 4 2 24 2" xfId="9315"/>
    <cellStyle name="Note 3 4 2 24 2 2" xfId="21670"/>
    <cellStyle name="Note 3 4 2 24 2 2 2" xfId="41738"/>
    <cellStyle name="Note 3 4 2 24 2 3" xfId="29503"/>
    <cellStyle name="Note 3 4 2 24 3" xfId="18761"/>
    <cellStyle name="Note 3 4 2 24 3 2" xfId="38829"/>
    <cellStyle name="Note 3 4 2 24 4" xfId="29502"/>
    <cellStyle name="Note 3 4 2 25" xfId="9316"/>
    <cellStyle name="Note 3 4 2 25 2" xfId="9317"/>
    <cellStyle name="Note 3 4 2 25 2 2" xfId="21671"/>
    <cellStyle name="Note 3 4 2 25 2 2 2" xfId="41739"/>
    <cellStyle name="Note 3 4 2 25 2 3" xfId="29505"/>
    <cellStyle name="Note 3 4 2 25 3" xfId="18861"/>
    <cellStyle name="Note 3 4 2 25 3 2" xfId="38929"/>
    <cellStyle name="Note 3 4 2 25 4" xfId="29504"/>
    <cellStyle name="Note 3 4 2 26" xfId="9318"/>
    <cellStyle name="Note 3 4 2 26 2" xfId="21654"/>
    <cellStyle name="Note 3 4 2 26 2 2" xfId="41722"/>
    <cellStyle name="Note 3 4 2 26 3" xfId="29506"/>
    <cellStyle name="Note 3 4 2 27" xfId="14385"/>
    <cellStyle name="Note 3 4 2 27 2" xfId="34453"/>
    <cellStyle name="Note 3 4 2 28" xfId="29471"/>
    <cellStyle name="Note 3 4 2 3" xfId="9319"/>
    <cellStyle name="Note 3 4 2 3 2" xfId="9320"/>
    <cellStyle name="Note 3 4 2 3 2 2" xfId="21672"/>
    <cellStyle name="Note 3 4 2 3 2 2 2" xfId="41740"/>
    <cellStyle name="Note 3 4 2 3 2 3" xfId="29508"/>
    <cellStyle name="Note 3 4 2 3 3" xfId="14804"/>
    <cellStyle name="Note 3 4 2 3 3 2" xfId="34872"/>
    <cellStyle name="Note 3 4 2 3 4" xfId="29507"/>
    <cellStyle name="Note 3 4 2 4" xfId="9321"/>
    <cellStyle name="Note 3 4 2 4 2" xfId="9322"/>
    <cellStyle name="Note 3 4 2 4 2 2" xfId="21673"/>
    <cellStyle name="Note 3 4 2 4 2 2 2" xfId="41741"/>
    <cellStyle name="Note 3 4 2 4 2 3" xfId="29510"/>
    <cellStyle name="Note 3 4 2 4 3" xfId="14929"/>
    <cellStyle name="Note 3 4 2 4 3 2" xfId="34997"/>
    <cellStyle name="Note 3 4 2 4 4" xfId="29509"/>
    <cellStyle name="Note 3 4 2 5" xfId="9323"/>
    <cellStyle name="Note 3 4 2 5 2" xfId="9324"/>
    <cellStyle name="Note 3 4 2 5 2 2" xfId="21674"/>
    <cellStyle name="Note 3 4 2 5 2 2 2" xfId="41742"/>
    <cellStyle name="Note 3 4 2 5 2 3" xfId="29512"/>
    <cellStyle name="Note 3 4 2 5 3" xfId="15098"/>
    <cellStyle name="Note 3 4 2 5 3 2" xfId="35166"/>
    <cellStyle name="Note 3 4 2 5 4" xfId="29511"/>
    <cellStyle name="Note 3 4 2 6" xfId="9325"/>
    <cellStyle name="Note 3 4 2 6 2" xfId="9326"/>
    <cellStyle name="Note 3 4 2 6 2 2" xfId="21675"/>
    <cellStyle name="Note 3 4 2 6 2 2 2" xfId="41743"/>
    <cellStyle name="Note 3 4 2 6 2 3" xfId="29514"/>
    <cellStyle name="Note 3 4 2 6 3" xfId="14118"/>
    <cellStyle name="Note 3 4 2 6 3 2" xfId="34186"/>
    <cellStyle name="Note 3 4 2 6 4" xfId="29513"/>
    <cellStyle name="Note 3 4 2 7" xfId="9327"/>
    <cellStyle name="Note 3 4 2 7 2" xfId="9328"/>
    <cellStyle name="Note 3 4 2 7 2 2" xfId="21676"/>
    <cellStyle name="Note 3 4 2 7 2 2 2" xfId="41744"/>
    <cellStyle name="Note 3 4 2 7 2 3" xfId="29516"/>
    <cellStyle name="Note 3 4 2 7 3" xfId="15230"/>
    <cellStyle name="Note 3 4 2 7 3 2" xfId="35298"/>
    <cellStyle name="Note 3 4 2 7 4" xfId="29515"/>
    <cellStyle name="Note 3 4 2 8" xfId="9329"/>
    <cellStyle name="Note 3 4 2 8 2" xfId="9330"/>
    <cellStyle name="Note 3 4 2 8 2 2" xfId="21677"/>
    <cellStyle name="Note 3 4 2 8 2 2 2" xfId="41745"/>
    <cellStyle name="Note 3 4 2 8 2 3" xfId="29518"/>
    <cellStyle name="Note 3 4 2 8 3" xfId="16595"/>
    <cellStyle name="Note 3 4 2 8 3 2" xfId="36663"/>
    <cellStyle name="Note 3 4 2 8 4" xfId="29517"/>
    <cellStyle name="Note 3 4 2 9" xfId="9331"/>
    <cellStyle name="Note 3 4 2 9 2" xfId="9332"/>
    <cellStyle name="Note 3 4 2 9 2 2" xfId="21678"/>
    <cellStyle name="Note 3 4 2 9 2 2 2" xfId="41746"/>
    <cellStyle name="Note 3 4 2 9 2 3" xfId="29520"/>
    <cellStyle name="Note 3 4 2 9 3" xfId="16799"/>
    <cellStyle name="Note 3 4 2 9 3 2" xfId="36867"/>
    <cellStyle name="Note 3 4 2 9 4" xfId="29519"/>
    <cellStyle name="Note 3 4 20" xfId="9333"/>
    <cellStyle name="Note 3 4 20 2" xfId="9334"/>
    <cellStyle name="Note 3 4 20 2 2" xfId="21679"/>
    <cellStyle name="Note 3 4 20 2 2 2" xfId="41747"/>
    <cellStyle name="Note 3 4 20 2 3" xfId="29522"/>
    <cellStyle name="Note 3 4 20 3" xfId="15726"/>
    <cellStyle name="Note 3 4 20 3 2" xfId="35794"/>
    <cellStyle name="Note 3 4 20 4" xfId="29521"/>
    <cellStyle name="Note 3 4 21" xfId="9335"/>
    <cellStyle name="Note 3 4 21 2" xfId="9336"/>
    <cellStyle name="Note 3 4 21 2 2" xfId="21680"/>
    <cellStyle name="Note 3 4 21 2 2 2" xfId="41748"/>
    <cellStyle name="Note 3 4 21 2 3" xfId="29524"/>
    <cellStyle name="Note 3 4 21 3" xfId="16347"/>
    <cellStyle name="Note 3 4 21 3 2" xfId="36415"/>
    <cellStyle name="Note 3 4 21 4" xfId="29523"/>
    <cellStyle name="Note 3 4 22" xfId="9337"/>
    <cellStyle name="Note 3 4 22 2" xfId="9338"/>
    <cellStyle name="Note 3 4 22 2 2" xfId="21681"/>
    <cellStyle name="Note 3 4 22 2 2 2" xfId="41749"/>
    <cellStyle name="Note 3 4 22 2 3" xfId="29526"/>
    <cellStyle name="Note 3 4 22 3" xfId="15989"/>
    <cellStyle name="Note 3 4 22 3 2" xfId="36057"/>
    <cellStyle name="Note 3 4 22 4" xfId="29525"/>
    <cellStyle name="Note 3 4 23" xfId="9339"/>
    <cellStyle name="Note 3 4 23 2" xfId="9340"/>
    <cellStyle name="Note 3 4 23 2 2" xfId="21682"/>
    <cellStyle name="Note 3 4 23 2 2 2" xfId="41750"/>
    <cellStyle name="Note 3 4 23 2 3" xfId="29528"/>
    <cellStyle name="Note 3 4 23 3" xfId="16260"/>
    <cellStyle name="Note 3 4 23 3 2" xfId="36328"/>
    <cellStyle name="Note 3 4 23 4" xfId="29527"/>
    <cellStyle name="Note 3 4 24" xfId="9341"/>
    <cellStyle name="Note 3 4 24 2" xfId="9342"/>
    <cellStyle name="Note 3 4 24 2 2" xfId="21683"/>
    <cellStyle name="Note 3 4 24 2 2 2" xfId="41751"/>
    <cellStyle name="Note 3 4 24 2 3" xfId="29530"/>
    <cellStyle name="Note 3 4 24 3" xfId="16870"/>
    <cellStyle name="Note 3 4 24 3 2" xfId="36938"/>
    <cellStyle name="Note 3 4 24 4" xfId="29529"/>
    <cellStyle name="Note 3 4 25" xfId="9343"/>
    <cellStyle name="Note 3 4 25 2" xfId="9344"/>
    <cellStyle name="Note 3 4 25 2 2" xfId="21684"/>
    <cellStyle name="Note 3 4 25 2 2 2" xfId="41752"/>
    <cellStyle name="Note 3 4 25 2 3" xfId="29532"/>
    <cellStyle name="Note 3 4 25 3" xfId="17996"/>
    <cellStyle name="Note 3 4 25 3 2" xfId="38064"/>
    <cellStyle name="Note 3 4 25 4" xfId="29531"/>
    <cellStyle name="Note 3 4 26" xfId="9345"/>
    <cellStyle name="Note 3 4 26 2" xfId="9346"/>
    <cellStyle name="Note 3 4 26 2 2" xfId="21685"/>
    <cellStyle name="Note 3 4 26 2 2 2" xfId="41753"/>
    <cellStyle name="Note 3 4 26 2 3" xfId="29534"/>
    <cellStyle name="Note 3 4 26 3" xfId="18328"/>
    <cellStyle name="Note 3 4 26 3 2" xfId="38396"/>
    <cellStyle name="Note 3 4 26 4" xfId="29533"/>
    <cellStyle name="Note 3 4 27" xfId="9347"/>
    <cellStyle name="Note 3 4 27 2" xfId="9348"/>
    <cellStyle name="Note 3 4 27 2 2" xfId="21686"/>
    <cellStyle name="Note 3 4 27 2 2 2" xfId="41754"/>
    <cellStyle name="Note 3 4 27 2 3" xfId="29536"/>
    <cellStyle name="Note 3 4 27 3" xfId="17170"/>
    <cellStyle name="Note 3 4 27 3 2" xfId="37238"/>
    <cellStyle name="Note 3 4 27 4" xfId="29535"/>
    <cellStyle name="Note 3 4 28" xfId="9349"/>
    <cellStyle name="Note 3 4 28 2" xfId="21643"/>
    <cellStyle name="Note 3 4 28 2 2" xfId="41711"/>
    <cellStyle name="Note 3 4 28 3" xfId="29537"/>
    <cellStyle name="Note 3 4 29" xfId="13911"/>
    <cellStyle name="Note 3 4 29 2" xfId="33979"/>
    <cellStyle name="Note 3 4 3" xfId="9350"/>
    <cellStyle name="Note 3 4 3 2" xfId="9351"/>
    <cellStyle name="Note 3 4 3 2 2" xfId="21687"/>
    <cellStyle name="Note 3 4 3 2 2 2" xfId="41755"/>
    <cellStyle name="Note 3 4 3 2 3" xfId="29539"/>
    <cellStyle name="Note 3 4 3 3" xfId="14429"/>
    <cellStyle name="Note 3 4 3 3 2" xfId="34497"/>
    <cellStyle name="Note 3 4 3 4" xfId="29538"/>
    <cellStyle name="Note 3 4 30" xfId="29450"/>
    <cellStyle name="Note 3 4 4" xfId="9352"/>
    <cellStyle name="Note 3 4 4 2" xfId="9353"/>
    <cellStyle name="Note 3 4 4 2 2" xfId="21688"/>
    <cellStyle name="Note 3 4 4 2 2 2" xfId="41756"/>
    <cellStyle name="Note 3 4 4 2 3" xfId="29541"/>
    <cellStyle name="Note 3 4 4 3" xfId="14068"/>
    <cellStyle name="Note 3 4 4 3 2" xfId="34136"/>
    <cellStyle name="Note 3 4 4 4" xfId="29540"/>
    <cellStyle name="Note 3 4 5" xfId="9354"/>
    <cellStyle name="Note 3 4 5 2" xfId="9355"/>
    <cellStyle name="Note 3 4 5 2 2" xfId="21689"/>
    <cellStyle name="Note 3 4 5 2 2 2" xfId="41757"/>
    <cellStyle name="Note 3 4 5 2 3" xfId="29543"/>
    <cellStyle name="Note 3 4 5 3" xfId="14110"/>
    <cellStyle name="Note 3 4 5 3 2" xfId="34178"/>
    <cellStyle name="Note 3 4 5 4" xfId="29542"/>
    <cellStyle name="Note 3 4 6" xfId="9356"/>
    <cellStyle name="Note 3 4 6 2" xfId="9357"/>
    <cellStyle name="Note 3 4 6 2 2" xfId="21690"/>
    <cellStyle name="Note 3 4 6 2 2 2" xfId="41758"/>
    <cellStyle name="Note 3 4 6 2 3" xfId="29545"/>
    <cellStyle name="Note 3 4 6 3" xfId="14424"/>
    <cellStyle name="Note 3 4 6 3 2" xfId="34492"/>
    <cellStyle name="Note 3 4 6 4" xfId="29544"/>
    <cellStyle name="Note 3 4 7" xfId="9358"/>
    <cellStyle name="Note 3 4 7 2" xfId="9359"/>
    <cellStyle name="Note 3 4 7 2 2" xfId="21691"/>
    <cellStyle name="Note 3 4 7 2 2 2" xfId="41759"/>
    <cellStyle name="Note 3 4 7 2 3" xfId="29547"/>
    <cellStyle name="Note 3 4 7 3" xfId="14399"/>
    <cellStyle name="Note 3 4 7 3 2" xfId="34467"/>
    <cellStyle name="Note 3 4 7 4" xfId="29546"/>
    <cellStyle name="Note 3 4 8" xfId="9360"/>
    <cellStyle name="Note 3 4 8 2" xfId="9361"/>
    <cellStyle name="Note 3 4 8 2 2" xfId="21692"/>
    <cellStyle name="Note 3 4 8 2 2 2" xfId="41760"/>
    <cellStyle name="Note 3 4 8 2 3" xfId="29549"/>
    <cellStyle name="Note 3 4 8 3" xfId="14573"/>
    <cellStyle name="Note 3 4 8 3 2" xfId="34641"/>
    <cellStyle name="Note 3 4 8 4" xfId="29548"/>
    <cellStyle name="Note 3 4 9" xfId="9362"/>
    <cellStyle name="Note 3 4 9 2" xfId="9363"/>
    <cellStyle name="Note 3 4 9 2 2" xfId="21693"/>
    <cellStyle name="Note 3 4 9 2 2 2" xfId="41761"/>
    <cellStyle name="Note 3 4 9 2 3" xfId="29551"/>
    <cellStyle name="Note 3 4 9 3" xfId="15317"/>
    <cellStyle name="Note 3 4 9 3 2" xfId="35385"/>
    <cellStyle name="Note 3 4 9 4" xfId="29550"/>
    <cellStyle name="Note 3 40" xfId="43995"/>
    <cellStyle name="Note 3 41" xfId="43998"/>
    <cellStyle name="Note 3 42" xfId="43989"/>
    <cellStyle name="Note 3 43" xfId="43990"/>
    <cellStyle name="Note 3 5" xfId="9364"/>
    <cellStyle name="Note 3 5 10" xfId="9365"/>
    <cellStyle name="Note 3 5 10 2" xfId="9366"/>
    <cellStyle name="Note 3 5 10 2 2" xfId="21695"/>
    <cellStyle name="Note 3 5 10 2 2 2" xfId="41763"/>
    <cellStyle name="Note 3 5 10 2 3" xfId="29554"/>
    <cellStyle name="Note 3 5 10 3" xfId="16461"/>
    <cellStyle name="Note 3 5 10 3 2" xfId="36529"/>
    <cellStyle name="Note 3 5 10 4" xfId="29553"/>
    <cellStyle name="Note 3 5 11" xfId="9367"/>
    <cellStyle name="Note 3 5 11 2" xfId="9368"/>
    <cellStyle name="Note 3 5 11 2 2" xfId="21696"/>
    <cellStyle name="Note 3 5 11 2 2 2" xfId="41764"/>
    <cellStyle name="Note 3 5 11 2 3" xfId="29556"/>
    <cellStyle name="Note 3 5 11 3" xfId="16654"/>
    <cellStyle name="Note 3 5 11 3 2" xfId="36722"/>
    <cellStyle name="Note 3 5 11 4" xfId="29555"/>
    <cellStyle name="Note 3 5 12" xfId="9369"/>
    <cellStyle name="Note 3 5 12 2" xfId="9370"/>
    <cellStyle name="Note 3 5 12 2 2" xfId="21697"/>
    <cellStyle name="Note 3 5 12 2 2 2" xfId="41765"/>
    <cellStyle name="Note 3 5 12 2 3" xfId="29558"/>
    <cellStyle name="Note 3 5 12 3" xfId="16015"/>
    <cellStyle name="Note 3 5 12 3 2" xfId="36083"/>
    <cellStyle name="Note 3 5 12 4" xfId="29557"/>
    <cellStyle name="Note 3 5 13" xfId="9371"/>
    <cellStyle name="Note 3 5 13 2" xfId="9372"/>
    <cellStyle name="Note 3 5 13 2 2" xfId="21698"/>
    <cellStyle name="Note 3 5 13 2 2 2" xfId="41766"/>
    <cellStyle name="Note 3 5 13 2 3" xfId="29560"/>
    <cellStyle name="Note 3 5 13 3" xfId="15706"/>
    <cellStyle name="Note 3 5 13 3 2" xfId="35774"/>
    <cellStyle name="Note 3 5 13 4" xfId="29559"/>
    <cellStyle name="Note 3 5 14" xfId="9373"/>
    <cellStyle name="Note 3 5 14 2" xfId="9374"/>
    <cellStyle name="Note 3 5 14 2 2" xfId="21699"/>
    <cellStyle name="Note 3 5 14 2 2 2" xfId="41767"/>
    <cellStyle name="Note 3 5 14 2 3" xfId="29562"/>
    <cellStyle name="Note 3 5 14 3" xfId="16125"/>
    <cellStyle name="Note 3 5 14 3 2" xfId="36193"/>
    <cellStyle name="Note 3 5 14 4" xfId="29561"/>
    <cellStyle name="Note 3 5 15" xfId="9375"/>
    <cellStyle name="Note 3 5 15 2" xfId="9376"/>
    <cellStyle name="Note 3 5 15 2 2" xfId="21700"/>
    <cellStyle name="Note 3 5 15 2 2 2" xfId="41768"/>
    <cellStyle name="Note 3 5 15 2 3" xfId="29564"/>
    <cellStyle name="Note 3 5 15 3" xfId="16418"/>
    <cellStyle name="Note 3 5 15 3 2" xfId="36486"/>
    <cellStyle name="Note 3 5 15 4" xfId="29563"/>
    <cellStyle name="Note 3 5 16" xfId="9377"/>
    <cellStyle name="Note 3 5 16 2" xfId="9378"/>
    <cellStyle name="Note 3 5 16 2 2" xfId="21701"/>
    <cellStyle name="Note 3 5 16 2 2 2" xfId="41769"/>
    <cellStyle name="Note 3 5 16 2 3" xfId="29566"/>
    <cellStyle name="Note 3 5 16 3" xfId="16200"/>
    <cellStyle name="Note 3 5 16 3 2" xfId="36268"/>
    <cellStyle name="Note 3 5 16 4" xfId="29565"/>
    <cellStyle name="Note 3 5 17" xfId="9379"/>
    <cellStyle name="Note 3 5 17 2" xfId="9380"/>
    <cellStyle name="Note 3 5 17 2 2" xfId="21702"/>
    <cellStyle name="Note 3 5 17 2 2 2" xfId="41770"/>
    <cellStyle name="Note 3 5 17 2 3" xfId="29568"/>
    <cellStyle name="Note 3 5 17 3" xfId="15869"/>
    <cellStyle name="Note 3 5 17 3 2" xfId="35937"/>
    <cellStyle name="Note 3 5 17 4" xfId="29567"/>
    <cellStyle name="Note 3 5 18" xfId="9381"/>
    <cellStyle name="Note 3 5 18 2" xfId="9382"/>
    <cellStyle name="Note 3 5 18 2 2" xfId="21703"/>
    <cellStyle name="Note 3 5 18 2 2 2" xfId="41771"/>
    <cellStyle name="Note 3 5 18 2 3" xfId="29570"/>
    <cellStyle name="Note 3 5 18 3" xfId="17703"/>
    <cellStyle name="Note 3 5 18 3 2" xfId="37771"/>
    <cellStyle name="Note 3 5 18 4" xfId="29569"/>
    <cellStyle name="Note 3 5 19" xfId="9383"/>
    <cellStyle name="Note 3 5 19 2" xfId="9384"/>
    <cellStyle name="Note 3 5 19 2 2" xfId="21704"/>
    <cellStyle name="Note 3 5 19 2 2 2" xfId="41772"/>
    <cellStyle name="Note 3 5 19 2 3" xfId="29572"/>
    <cellStyle name="Note 3 5 19 3" xfId="16397"/>
    <cellStyle name="Note 3 5 19 3 2" xfId="36465"/>
    <cellStyle name="Note 3 5 19 4" xfId="29571"/>
    <cellStyle name="Note 3 5 2" xfId="9385"/>
    <cellStyle name="Note 3 5 2 10" xfId="9386"/>
    <cellStyle name="Note 3 5 2 10 2" xfId="9387"/>
    <cellStyle name="Note 3 5 2 10 2 2" xfId="21706"/>
    <cellStyle name="Note 3 5 2 10 2 2 2" xfId="41774"/>
    <cellStyle name="Note 3 5 2 10 2 3" xfId="29575"/>
    <cellStyle name="Note 3 5 2 10 3" xfId="16961"/>
    <cellStyle name="Note 3 5 2 10 3 2" xfId="37029"/>
    <cellStyle name="Note 3 5 2 10 4" xfId="29574"/>
    <cellStyle name="Note 3 5 2 11" xfId="9388"/>
    <cellStyle name="Note 3 5 2 11 2" xfId="9389"/>
    <cellStyle name="Note 3 5 2 11 2 2" xfId="21707"/>
    <cellStyle name="Note 3 5 2 11 2 2 2" xfId="41775"/>
    <cellStyle name="Note 3 5 2 11 2 3" xfId="29577"/>
    <cellStyle name="Note 3 5 2 11 3" xfId="17106"/>
    <cellStyle name="Note 3 5 2 11 3 2" xfId="37174"/>
    <cellStyle name="Note 3 5 2 11 4" xfId="29576"/>
    <cellStyle name="Note 3 5 2 12" xfId="9390"/>
    <cellStyle name="Note 3 5 2 12 2" xfId="9391"/>
    <cellStyle name="Note 3 5 2 12 2 2" xfId="21708"/>
    <cellStyle name="Note 3 5 2 12 2 2 2" xfId="41776"/>
    <cellStyle name="Note 3 5 2 12 2 3" xfId="29579"/>
    <cellStyle name="Note 3 5 2 12 3" xfId="17278"/>
    <cellStyle name="Note 3 5 2 12 3 2" xfId="37346"/>
    <cellStyle name="Note 3 5 2 12 4" xfId="29578"/>
    <cellStyle name="Note 3 5 2 13" xfId="9392"/>
    <cellStyle name="Note 3 5 2 13 2" xfId="9393"/>
    <cellStyle name="Note 3 5 2 13 2 2" xfId="21709"/>
    <cellStyle name="Note 3 5 2 13 2 2 2" xfId="41777"/>
    <cellStyle name="Note 3 5 2 13 2 3" xfId="29581"/>
    <cellStyle name="Note 3 5 2 13 3" xfId="17442"/>
    <cellStyle name="Note 3 5 2 13 3 2" xfId="37510"/>
    <cellStyle name="Note 3 5 2 13 4" xfId="29580"/>
    <cellStyle name="Note 3 5 2 14" xfId="9394"/>
    <cellStyle name="Note 3 5 2 14 2" xfId="9395"/>
    <cellStyle name="Note 3 5 2 14 2 2" xfId="21710"/>
    <cellStyle name="Note 3 5 2 14 2 2 2" xfId="41778"/>
    <cellStyle name="Note 3 5 2 14 2 3" xfId="29583"/>
    <cellStyle name="Note 3 5 2 14 3" xfId="17568"/>
    <cellStyle name="Note 3 5 2 14 3 2" xfId="37636"/>
    <cellStyle name="Note 3 5 2 14 4" xfId="29582"/>
    <cellStyle name="Note 3 5 2 15" xfId="9396"/>
    <cellStyle name="Note 3 5 2 15 2" xfId="9397"/>
    <cellStyle name="Note 3 5 2 15 2 2" xfId="21711"/>
    <cellStyle name="Note 3 5 2 15 2 2 2" xfId="41779"/>
    <cellStyle name="Note 3 5 2 15 2 3" xfId="29585"/>
    <cellStyle name="Note 3 5 2 15 3" xfId="16685"/>
    <cellStyle name="Note 3 5 2 15 3 2" xfId="36753"/>
    <cellStyle name="Note 3 5 2 15 4" xfId="29584"/>
    <cellStyle name="Note 3 5 2 16" xfId="9398"/>
    <cellStyle name="Note 3 5 2 16 2" xfId="9399"/>
    <cellStyle name="Note 3 5 2 16 2 2" xfId="21712"/>
    <cellStyle name="Note 3 5 2 16 2 2 2" xfId="41780"/>
    <cellStyle name="Note 3 5 2 16 2 3" xfId="29587"/>
    <cellStyle name="Note 3 5 2 16 3" xfId="17818"/>
    <cellStyle name="Note 3 5 2 16 3 2" xfId="37886"/>
    <cellStyle name="Note 3 5 2 16 4" xfId="29586"/>
    <cellStyle name="Note 3 5 2 17" xfId="9400"/>
    <cellStyle name="Note 3 5 2 17 2" xfId="9401"/>
    <cellStyle name="Note 3 5 2 17 2 2" xfId="21713"/>
    <cellStyle name="Note 3 5 2 17 2 2 2" xfId="41781"/>
    <cellStyle name="Note 3 5 2 17 2 3" xfId="29589"/>
    <cellStyle name="Note 3 5 2 17 3" xfId="17956"/>
    <cellStyle name="Note 3 5 2 17 3 2" xfId="38024"/>
    <cellStyle name="Note 3 5 2 17 4" xfId="29588"/>
    <cellStyle name="Note 3 5 2 18" xfId="9402"/>
    <cellStyle name="Note 3 5 2 18 2" xfId="9403"/>
    <cellStyle name="Note 3 5 2 18 2 2" xfId="21714"/>
    <cellStyle name="Note 3 5 2 18 2 2 2" xfId="41782"/>
    <cellStyle name="Note 3 5 2 18 2 3" xfId="29591"/>
    <cellStyle name="Note 3 5 2 18 3" xfId="18095"/>
    <cellStyle name="Note 3 5 2 18 3 2" xfId="38163"/>
    <cellStyle name="Note 3 5 2 18 4" xfId="29590"/>
    <cellStyle name="Note 3 5 2 19" xfId="9404"/>
    <cellStyle name="Note 3 5 2 19 2" xfId="9405"/>
    <cellStyle name="Note 3 5 2 19 2 2" xfId="21715"/>
    <cellStyle name="Note 3 5 2 19 2 2 2" xfId="41783"/>
    <cellStyle name="Note 3 5 2 19 2 3" xfId="29593"/>
    <cellStyle name="Note 3 5 2 19 3" xfId="18213"/>
    <cellStyle name="Note 3 5 2 19 3 2" xfId="38281"/>
    <cellStyle name="Note 3 5 2 19 4" xfId="29592"/>
    <cellStyle name="Note 3 5 2 2" xfId="9406"/>
    <cellStyle name="Note 3 5 2 2 2" xfId="9407"/>
    <cellStyle name="Note 3 5 2 2 2 2" xfId="21716"/>
    <cellStyle name="Note 3 5 2 2 2 2 2" xfId="41784"/>
    <cellStyle name="Note 3 5 2 2 2 3" xfId="29595"/>
    <cellStyle name="Note 3 5 2 2 3" xfId="14681"/>
    <cellStyle name="Note 3 5 2 2 3 2" xfId="34749"/>
    <cellStyle name="Note 3 5 2 2 4" xfId="29594"/>
    <cellStyle name="Note 3 5 2 20" xfId="9408"/>
    <cellStyle name="Note 3 5 2 20 2" xfId="9409"/>
    <cellStyle name="Note 3 5 2 20 2 2" xfId="21717"/>
    <cellStyle name="Note 3 5 2 20 2 2 2" xfId="41785"/>
    <cellStyle name="Note 3 5 2 20 2 3" xfId="29597"/>
    <cellStyle name="Note 3 5 2 20 3" xfId="15986"/>
    <cellStyle name="Note 3 5 2 20 3 2" xfId="36054"/>
    <cellStyle name="Note 3 5 2 20 4" xfId="29596"/>
    <cellStyle name="Note 3 5 2 21" xfId="9410"/>
    <cellStyle name="Note 3 5 2 21 2" xfId="9411"/>
    <cellStyle name="Note 3 5 2 21 2 2" xfId="21718"/>
    <cellStyle name="Note 3 5 2 21 2 2 2" xfId="41786"/>
    <cellStyle name="Note 3 5 2 21 2 3" xfId="29599"/>
    <cellStyle name="Note 3 5 2 21 3" xfId="18418"/>
    <cellStyle name="Note 3 5 2 21 3 2" xfId="38486"/>
    <cellStyle name="Note 3 5 2 21 4" xfId="29598"/>
    <cellStyle name="Note 3 5 2 22" xfId="9412"/>
    <cellStyle name="Note 3 5 2 22 2" xfId="9413"/>
    <cellStyle name="Note 3 5 2 22 2 2" xfId="21719"/>
    <cellStyle name="Note 3 5 2 22 2 2 2" xfId="41787"/>
    <cellStyle name="Note 3 5 2 22 2 3" xfId="29601"/>
    <cellStyle name="Note 3 5 2 22 3" xfId="18551"/>
    <cellStyle name="Note 3 5 2 22 3 2" xfId="38619"/>
    <cellStyle name="Note 3 5 2 22 4" xfId="29600"/>
    <cellStyle name="Note 3 5 2 23" xfId="9414"/>
    <cellStyle name="Note 3 5 2 23 2" xfId="9415"/>
    <cellStyle name="Note 3 5 2 23 2 2" xfId="21720"/>
    <cellStyle name="Note 3 5 2 23 2 2 2" xfId="41788"/>
    <cellStyle name="Note 3 5 2 23 2 3" xfId="29603"/>
    <cellStyle name="Note 3 5 2 23 3" xfId="18662"/>
    <cellStyle name="Note 3 5 2 23 3 2" xfId="38730"/>
    <cellStyle name="Note 3 5 2 23 4" xfId="29602"/>
    <cellStyle name="Note 3 5 2 24" xfId="9416"/>
    <cellStyle name="Note 3 5 2 24 2" xfId="9417"/>
    <cellStyle name="Note 3 5 2 24 2 2" xfId="21721"/>
    <cellStyle name="Note 3 5 2 24 2 2 2" xfId="41789"/>
    <cellStyle name="Note 3 5 2 24 2 3" xfId="29605"/>
    <cellStyle name="Note 3 5 2 24 3" xfId="18762"/>
    <cellStyle name="Note 3 5 2 24 3 2" xfId="38830"/>
    <cellStyle name="Note 3 5 2 24 4" xfId="29604"/>
    <cellStyle name="Note 3 5 2 25" xfId="9418"/>
    <cellStyle name="Note 3 5 2 25 2" xfId="9419"/>
    <cellStyle name="Note 3 5 2 25 2 2" xfId="21722"/>
    <cellStyle name="Note 3 5 2 25 2 2 2" xfId="41790"/>
    <cellStyle name="Note 3 5 2 25 2 3" xfId="29607"/>
    <cellStyle name="Note 3 5 2 25 3" xfId="18862"/>
    <cellStyle name="Note 3 5 2 25 3 2" xfId="38930"/>
    <cellStyle name="Note 3 5 2 25 4" xfId="29606"/>
    <cellStyle name="Note 3 5 2 26" xfId="9420"/>
    <cellStyle name="Note 3 5 2 26 2" xfId="21705"/>
    <cellStyle name="Note 3 5 2 26 2 2" xfId="41773"/>
    <cellStyle name="Note 3 5 2 26 3" xfId="29608"/>
    <cellStyle name="Note 3 5 2 27" xfId="14367"/>
    <cellStyle name="Note 3 5 2 27 2" xfId="34435"/>
    <cellStyle name="Note 3 5 2 28" xfId="29573"/>
    <cellStyle name="Note 3 5 2 3" xfId="9421"/>
    <cellStyle name="Note 3 5 2 3 2" xfId="9422"/>
    <cellStyle name="Note 3 5 2 3 2 2" xfId="21723"/>
    <cellStyle name="Note 3 5 2 3 2 2 2" xfId="41791"/>
    <cellStyle name="Note 3 5 2 3 2 3" xfId="29610"/>
    <cellStyle name="Note 3 5 2 3 3" xfId="14805"/>
    <cellStyle name="Note 3 5 2 3 3 2" xfId="34873"/>
    <cellStyle name="Note 3 5 2 3 4" xfId="29609"/>
    <cellStyle name="Note 3 5 2 4" xfId="9423"/>
    <cellStyle name="Note 3 5 2 4 2" xfId="9424"/>
    <cellStyle name="Note 3 5 2 4 2 2" xfId="21724"/>
    <cellStyle name="Note 3 5 2 4 2 2 2" xfId="41792"/>
    <cellStyle name="Note 3 5 2 4 2 3" xfId="29612"/>
    <cellStyle name="Note 3 5 2 4 3" xfId="14930"/>
    <cellStyle name="Note 3 5 2 4 3 2" xfId="34998"/>
    <cellStyle name="Note 3 5 2 4 4" xfId="29611"/>
    <cellStyle name="Note 3 5 2 5" xfId="9425"/>
    <cellStyle name="Note 3 5 2 5 2" xfId="9426"/>
    <cellStyle name="Note 3 5 2 5 2 2" xfId="21725"/>
    <cellStyle name="Note 3 5 2 5 2 2 2" xfId="41793"/>
    <cellStyle name="Note 3 5 2 5 2 3" xfId="29614"/>
    <cellStyle name="Note 3 5 2 5 3" xfId="15099"/>
    <cellStyle name="Note 3 5 2 5 3 2" xfId="35167"/>
    <cellStyle name="Note 3 5 2 5 4" xfId="29613"/>
    <cellStyle name="Note 3 5 2 6" xfId="9427"/>
    <cellStyle name="Note 3 5 2 6 2" xfId="9428"/>
    <cellStyle name="Note 3 5 2 6 2 2" xfId="21726"/>
    <cellStyle name="Note 3 5 2 6 2 2 2" xfId="41794"/>
    <cellStyle name="Note 3 5 2 6 2 3" xfId="29616"/>
    <cellStyle name="Note 3 5 2 6 3" xfId="14177"/>
    <cellStyle name="Note 3 5 2 6 3 2" xfId="34245"/>
    <cellStyle name="Note 3 5 2 6 4" xfId="29615"/>
    <cellStyle name="Note 3 5 2 7" xfId="9429"/>
    <cellStyle name="Note 3 5 2 7 2" xfId="9430"/>
    <cellStyle name="Note 3 5 2 7 2 2" xfId="21727"/>
    <cellStyle name="Note 3 5 2 7 2 2 2" xfId="41795"/>
    <cellStyle name="Note 3 5 2 7 2 3" xfId="29618"/>
    <cellStyle name="Note 3 5 2 7 3" xfId="15231"/>
    <cellStyle name="Note 3 5 2 7 3 2" xfId="35299"/>
    <cellStyle name="Note 3 5 2 7 4" xfId="29617"/>
    <cellStyle name="Note 3 5 2 8" xfId="9431"/>
    <cellStyle name="Note 3 5 2 8 2" xfId="9432"/>
    <cellStyle name="Note 3 5 2 8 2 2" xfId="21728"/>
    <cellStyle name="Note 3 5 2 8 2 2 2" xfId="41796"/>
    <cellStyle name="Note 3 5 2 8 2 3" xfId="29620"/>
    <cellStyle name="Note 3 5 2 8 3" xfId="16596"/>
    <cellStyle name="Note 3 5 2 8 3 2" xfId="36664"/>
    <cellStyle name="Note 3 5 2 8 4" xfId="29619"/>
    <cellStyle name="Note 3 5 2 9" xfId="9433"/>
    <cellStyle name="Note 3 5 2 9 2" xfId="9434"/>
    <cellStyle name="Note 3 5 2 9 2 2" xfId="21729"/>
    <cellStyle name="Note 3 5 2 9 2 2 2" xfId="41797"/>
    <cellStyle name="Note 3 5 2 9 2 3" xfId="29622"/>
    <cellStyle name="Note 3 5 2 9 3" xfId="16800"/>
    <cellStyle name="Note 3 5 2 9 3 2" xfId="36868"/>
    <cellStyle name="Note 3 5 2 9 4" xfId="29621"/>
    <cellStyle name="Note 3 5 20" xfId="9435"/>
    <cellStyle name="Note 3 5 20 2" xfId="9436"/>
    <cellStyle name="Note 3 5 20 2 2" xfId="21730"/>
    <cellStyle name="Note 3 5 20 2 2 2" xfId="41798"/>
    <cellStyle name="Note 3 5 20 2 3" xfId="29624"/>
    <cellStyle name="Note 3 5 20 3" xfId="15975"/>
    <cellStyle name="Note 3 5 20 3 2" xfId="36043"/>
    <cellStyle name="Note 3 5 20 4" xfId="29623"/>
    <cellStyle name="Note 3 5 21" xfId="9437"/>
    <cellStyle name="Note 3 5 21 2" xfId="9438"/>
    <cellStyle name="Note 3 5 21 2 2" xfId="21731"/>
    <cellStyle name="Note 3 5 21 2 2 2" xfId="41799"/>
    <cellStyle name="Note 3 5 21 2 3" xfId="29626"/>
    <cellStyle name="Note 3 5 21 3" xfId="16421"/>
    <cellStyle name="Note 3 5 21 3 2" xfId="36489"/>
    <cellStyle name="Note 3 5 21 4" xfId="29625"/>
    <cellStyle name="Note 3 5 22" xfId="9439"/>
    <cellStyle name="Note 3 5 22 2" xfId="9440"/>
    <cellStyle name="Note 3 5 22 2 2" xfId="21732"/>
    <cellStyle name="Note 3 5 22 2 2 2" xfId="41800"/>
    <cellStyle name="Note 3 5 22 2 3" xfId="29628"/>
    <cellStyle name="Note 3 5 22 3" xfId="18251"/>
    <cellStyle name="Note 3 5 22 3 2" xfId="38319"/>
    <cellStyle name="Note 3 5 22 4" xfId="29627"/>
    <cellStyle name="Note 3 5 23" xfId="9441"/>
    <cellStyle name="Note 3 5 23 2" xfId="9442"/>
    <cellStyle name="Note 3 5 23 2 2" xfId="21733"/>
    <cellStyle name="Note 3 5 23 2 2 2" xfId="41801"/>
    <cellStyle name="Note 3 5 23 2 3" xfId="29630"/>
    <cellStyle name="Note 3 5 23 3" xfId="17316"/>
    <cellStyle name="Note 3 5 23 3 2" xfId="37384"/>
    <cellStyle name="Note 3 5 23 4" xfId="29629"/>
    <cellStyle name="Note 3 5 24" xfId="9443"/>
    <cellStyle name="Note 3 5 24 2" xfId="9444"/>
    <cellStyle name="Note 3 5 24 2 2" xfId="21734"/>
    <cellStyle name="Note 3 5 24 2 2 2" xfId="41802"/>
    <cellStyle name="Note 3 5 24 2 3" xfId="29632"/>
    <cellStyle name="Note 3 5 24 3" xfId="15802"/>
    <cellStyle name="Note 3 5 24 3 2" xfId="35870"/>
    <cellStyle name="Note 3 5 24 4" xfId="29631"/>
    <cellStyle name="Note 3 5 25" xfId="9445"/>
    <cellStyle name="Note 3 5 25 2" xfId="9446"/>
    <cellStyle name="Note 3 5 25 2 2" xfId="21735"/>
    <cellStyle name="Note 3 5 25 2 2 2" xfId="41803"/>
    <cellStyle name="Note 3 5 25 2 3" xfId="29634"/>
    <cellStyle name="Note 3 5 25 3" xfId="16337"/>
    <cellStyle name="Note 3 5 25 3 2" xfId="36405"/>
    <cellStyle name="Note 3 5 25 4" xfId="29633"/>
    <cellStyle name="Note 3 5 26" xfId="9447"/>
    <cellStyle name="Note 3 5 26 2" xfId="9448"/>
    <cellStyle name="Note 3 5 26 2 2" xfId="21736"/>
    <cellStyle name="Note 3 5 26 2 2 2" xfId="41804"/>
    <cellStyle name="Note 3 5 26 2 3" xfId="29636"/>
    <cellStyle name="Note 3 5 26 3" xfId="15855"/>
    <cellStyle name="Note 3 5 26 3 2" xfId="35923"/>
    <cellStyle name="Note 3 5 26 4" xfId="29635"/>
    <cellStyle name="Note 3 5 27" xfId="9449"/>
    <cellStyle name="Note 3 5 27 2" xfId="9450"/>
    <cellStyle name="Note 3 5 27 2 2" xfId="21737"/>
    <cellStyle name="Note 3 5 27 2 2 2" xfId="41805"/>
    <cellStyle name="Note 3 5 27 2 3" xfId="29638"/>
    <cellStyle name="Note 3 5 27 3" xfId="15462"/>
    <cellStyle name="Note 3 5 27 3 2" xfId="35530"/>
    <cellStyle name="Note 3 5 27 4" xfId="29637"/>
    <cellStyle name="Note 3 5 28" xfId="9451"/>
    <cellStyle name="Note 3 5 28 2" xfId="21694"/>
    <cellStyle name="Note 3 5 28 2 2" xfId="41762"/>
    <cellStyle name="Note 3 5 28 3" xfId="29639"/>
    <cellStyle name="Note 3 5 29" xfId="13912"/>
    <cellStyle name="Note 3 5 29 2" xfId="33980"/>
    <cellStyle name="Note 3 5 3" xfId="9452"/>
    <cellStyle name="Note 3 5 3 2" xfId="9453"/>
    <cellStyle name="Note 3 5 3 2 2" xfId="21738"/>
    <cellStyle name="Note 3 5 3 2 2 2" xfId="41806"/>
    <cellStyle name="Note 3 5 3 2 3" xfId="29641"/>
    <cellStyle name="Note 3 5 3 3" xfId="14442"/>
    <cellStyle name="Note 3 5 3 3 2" xfId="34510"/>
    <cellStyle name="Note 3 5 3 4" xfId="29640"/>
    <cellStyle name="Note 3 5 30" xfId="29552"/>
    <cellStyle name="Note 3 5 4" xfId="9454"/>
    <cellStyle name="Note 3 5 4 2" xfId="9455"/>
    <cellStyle name="Note 3 5 4 2 2" xfId="21739"/>
    <cellStyle name="Note 3 5 4 2 2 2" xfId="41807"/>
    <cellStyle name="Note 3 5 4 2 3" xfId="29643"/>
    <cellStyle name="Note 3 5 4 3" xfId="14605"/>
    <cellStyle name="Note 3 5 4 3 2" xfId="34673"/>
    <cellStyle name="Note 3 5 4 4" xfId="29642"/>
    <cellStyle name="Note 3 5 5" xfId="9456"/>
    <cellStyle name="Note 3 5 5 2" xfId="9457"/>
    <cellStyle name="Note 3 5 5 2 2" xfId="21740"/>
    <cellStyle name="Note 3 5 5 2 2 2" xfId="41808"/>
    <cellStyle name="Note 3 5 5 2 3" xfId="29645"/>
    <cellStyle name="Note 3 5 5 3" xfId="14319"/>
    <cellStyle name="Note 3 5 5 3 2" xfId="34387"/>
    <cellStyle name="Note 3 5 5 4" xfId="29644"/>
    <cellStyle name="Note 3 5 6" xfId="9458"/>
    <cellStyle name="Note 3 5 6 2" xfId="9459"/>
    <cellStyle name="Note 3 5 6 2 2" xfId="21741"/>
    <cellStyle name="Note 3 5 6 2 2 2" xfId="41809"/>
    <cellStyle name="Note 3 5 6 2 3" xfId="29647"/>
    <cellStyle name="Note 3 5 6 3" xfId="14076"/>
    <cellStyle name="Note 3 5 6 3 2" xfId="34144"/>
    <cellStyle name="Note 3 5 6 4" xfId="29646"/>
    <cellStyle name="Note 3 5 7" xfId="9460"/>
    <cellStyle name="Note 3 5 7 2" xfId="9461"/>
    <cellStyle name="Note 3 5 7 2 2" xfId="21742"/>
    <cellStyle name="Note 3 5 7 2 2 2" xfId="41810"/>
    <cellStyle name="Note 3 5 7 2 3" xfId="29649"/>
    <cellStyle name="Note 3 5 7 3" xfId="14091"/>
    <cellStyle name="Note 3 5 7 3 2" xfId="34159"/>
    <cellStyle name="Note 3 5 7 4" xfId="29648"/>
    <cellStyle name="Note 3 5 8" xfId="9462"/>
    <cellStyle name="Note 3 5 8 2" xfId="9463"/>
    <cellStyle name="Note 3 5 8 2 2" xfId="21743"/>
    <cellStyle name="Note 3 5 8 2 2 2" xfId="41811"/>
    <cellStyle name="Note 3 5 8 2 3" xfId="29651"/>
    <cellStyle name="Note 3 5 8 3" xfId="15146"/>
    <cellStyle name="Note 3 5 8 3 2" xfId="35214"/>
    <cellStyle name="Note 3 5 8 4" xfId="29650"/>
    <cellStyle name="Note 3 5 9" xfId="9464"/>
    <cellStyle name="Note 3 5 9 2" xfId="9465"/>
    <cellStyle name="Note 3 5 9 2 2" xfId="21744"/>
    <cellStyle name="Note 3 5 9 2 2 2" xfId="41812"/>
    <cellStyle name="Note 3 5 9 2 3" xfId="29653"/>
    <cellStyle name="Note 3 5 9 3" xfId="15318"/>
    <cellStyle name="Note 3 5 9 3 2" xfId="35386"/>
    <cellStyle name="Note 3 5 9 4" xfId="29652"/>
    <cellStyle name="Note 3 6" xfId="9466"/>
    <cellStyle name="Note 3 6 10" xfId="9467"/>
    <cellStyle name="Note 3 6 10 2" xfId="9468"/>
    <cellStyle name="Note 3 6 10 2 2" xfId="21746"/>
    <cellStyle name="Note 3 6 10 2 2 2" xfId="41814"/>
    <cellStyle name="Note 3 6 10 2 3" xfId="29656"/>
    <cellStyle name="Note 3 6 10 3" xfId="16953"/>
    <cellStyle name="Note 3 6 10 3 2" xfId="37021"/>
    <cellStyle name="Note 3 6 10 4" xfId="29655"/>
    <cellStyle name="Note 3 6 11" xfId="9469"/>
    <cellStyle name="Note 3 6 11 2" xfId="9470"/>
    <cellStyle name="Note 3 6 11 2 2" xfId="21747"/>
    <cellStyle name="Note 3 6 11 2 2 2" xfId="41815"/>
    <cellStyle name="Note 3 6 11 2 3" xfId="29658"/>
    <cellStyle name="Note 3 6 11 3" xfId="17098"/>
    <cellStyle name="Note 3 6 11 3 2" xfId="37166"/>
    <cellStyle name="Note 3 6 11 4" xfId="29657"/>
    <cellStyle name="Note 3 6 12" xfId="9471"/>
    <cellStyle name="Note 3 6 12 2" xfId="9472"/>
    <cellStyle name="Note 3 6 12 2 2" xfId="21748"/>
    <cellStyle name="Note 3 6 12 2 2 2" xfId="41816"/>
    <cellStyle name="Note 3 6 12 2 3" xfId="29660"/>
    <cellStyle name="Note 3 6 12 3" xfId="17270"/>
    <cellStyle name="Note 3 6 12 3 2" xfId="37338"/>
    <cellStyle name="Note 3 6 12 4" xfId="29659"/>
    <cellStyle name="Note 3 6 13" xfId="9473"/>
    <cellStyle name="Note 3 6 13 2" xfId="9474"/>
    <cellStyle name="Note 3 6 13 2 2" xfId="21749"/>
    <cellStyle name="Note 3 6 13 2 2 2" xfId="41817"/>
    <cellStyle name="Note 3 6 13 2 3" xfId="29662"/>
    <cellStyle name="Note 3 6 13 3" xfId="17434"/>
    <cellStyle name="Note 3 6 13 3 2" xfId="37502"/>
    <cellStyle name="Note 3 6 13 4" xfId="29661"/>
    <cellStyle name="Note 3 6 14" xfId="9475"/>
    <cellStyle name="Note 3 6 14 2" xfId="9476"/>
    <cellStyle name="Note 3 6 14 2 2" xfId="21750"/>
    <cellStyle name="Note 3 6 14 2 2 2" xfId="41818"/>
    <cellStyle name="Note 3 6 14 2 3" xfId="29664"/>
    <cellStyle name="Note 3 6 14 3" xfId="17560"/>
    <cellStyle name="Note 3 6 14 3 2" xfId="37628"/>
    <cellStyle name="Note 3 6 14 4" xfId="29663"/>
    <cellStyle name="Note 3 6 15" xfId="9477"/>
    <cellStyle name="Note 3 6 15 2" xfId="9478"/>
    <cellStyle name="Note 3 6 15 2 2" xfId="21751"/>
    <cellStyle name="Note 3 6 15 2 2 2" xfId="41819"/>
    <cellStyle name="Note 3 6 15 2 3" xfId="29666"/>
    <cellStyle name="Note 3 6 15 3" xfId="16902"/>
    <cellStyle name="Note 3 6 15 3 2" xfId="36970"/>
    <cellStyle name="Note 3 6 15 4" xfId="29665"/>
    <cellStyle name="Note 3 6 16" xfId="9479"/>
    <cellStyle name="Note 3 6 16 2" xfId="9480"/>
    <cellStyle name="Note 3 6 16 2 2" xfId="21752"/>
    <cellStyle name="Note 3 6 16 2 2 2" xfId="41820"/>
    <cellStyle name="Note 3 6 16 2 3" xfId="29668"/>
    <cellStyle name="Note 3 6 16 3" xfId="17810"/>
    <cellStyle name="Note 3 6 16 3 2" xfId="37878"/>
    <cellStyle name="Note 3 6 16 4" xfId="29667"/>
    <cellStyle name="Note 3 6 17" xfId="9481"/>
    <cellStyle name="Note 3 6 17 2" xfId="9482"/>
    <cellStyle name="Note 3 6 17 2 2" xfId="21753"/>
    <cellStyle name="Note 3 6 17 2 2 2" xfId="41821"/>
    <cellStyle name="Note 3 6 17 2 3" xfId="29670"/>
    <cellStyle name="Note 3 6 17 3" xfId="17948"/>
    <cellStyle name="Note 3 6 17 3 2" xfId="38016"/>
    <cellStyle name="Note 3 6 17 4" xfId="29669"/>
    <cellStyle name="Note 3 6 18" xfId="9483"/>
    <cellStyle name="Note 3 6 18 2" xfId="9484"/>
    <cellStyle name="Note 3 6 18 2 2" xfId="21754"/>
    <cellStyle name="Note 3 6 18 2 2 2" xfId="41822"/>
    <cellStyle name="Note 3 6 18 2 3" xfId="29672"/>
    <cellStyle name="Note 3 6 18 3" xfId="18087"/>
    <cellStyle name="Note 3 6 18 3 2" xfId="38155"/>
    <cellStyle name="Note 3 6 18 4" xfId="29671"/>
    <cellStyle name="Note 3 6 19" xfId="9485"/>
    <cellStyle name="Note 3 6 19 2" xfId="9486"/>
    <cellStyle name="Note 3 6 19 2 2" xfId="21755"/>
    <cellStyle name="Note 3 6 19 2 2 2" xfId="41823"/>
    <cellStyle name="Note 3 6 19 2 3" xfId="29674"/>
    <cellStyle name="Note 3 6 19 3" xfId="18205"/>
    <cellStyle name="Note 3 6 19 3 2" xfId="38273"/>
    <cellStyle name="Note 3 6 19 4" xfId="29673"/>
    <cellStyle name="Note 3 6 2" xfId="9487"/>
    <cellStyle name="Note 3 6 2 2" xfId="9488"/>
    <cellStyle name="Note 3 6 2 2 2" xfId="21756"/>
    <cellStyle name="Note 3 6 2 2 2 2" xfId="41824"/>
    <cellStyle name="Note 3 6 2 2 3" xfId="29676"/>
    <cellStyle name="Note 3 6 2 3" xfId="14673"/>
    <cellStyle name="Note 3 6 2 3 2" xfId="34741"/>
    <cellStyle name="Note 3 6 2 4" xfId="29675"/>
    <cellStyle name="Note 3 6 20" xfId="9489"/>
    <cellStyle name="Note 3 6 20 2" xfId="9490"/>
    <cellStyle name="Note 3 6 20 2 2" xfId="21757"/>
    <cellStyle name="Note 3 6 20 2 2 2" xfId="41825"/>
    <cellStyle name="Note 3 6 20 2 3" xfId="29678"/>
    <cellStyle name="Note 3 6 20 3" xfId="15928"/>
    <cellStyle name="Note 3 6 20 3 2" xfId="35996"/>
    <cellStyle name="Note 3 6 20 4" xfId="29677"/>
    <cellStyle name="Note 3 6 21" xfId="9491"/>
    <cellStyle name="Note 3 6 21 2" xfId="9492"/>
    <cellStyle name="Note 3 6 21 2 2" xfId="21758"/>
    <cellStyle name="Note 3 6 21 2 2 2" xfId="41826"/>
    <cellStyle name="Note 3 6 21 2 3" xfId="29680"/>
    <cellStyle name="Note 3 6 21 3" xfId="18410"/>
    <cellStyle name="Note 3 6 21 3 2" xfId="38478"/>
    <cellStyle name="Note 3 6 21 4" xfId="29679"/>
    <cellStyle name="Note 3 6 22" xfId="9493"/>
    <cellStyle name="Note 3 6 22 2" xfId="9494"/>
    <cellStyle name="Note 3 6 22 2 2" xfId="21759"/>
    <cellStyle name="Note 3 6 22 2 2 2" xfId="41827"/>
    <cellStyle name="Note 3 6 22 2 3" xfId="29682"/>
    <cellStyle name="Note 3 6 22 3" xfId="18543"/>
    <cellStyle name="Note 3 6 22 3 2" xfId="38611"/>
    <cellStyle name="Note 3 6 22 4" xfId="29681"/>
    <cellStyle name="Note 3 6 23" xfId="9495"/>
    <cellStyle name="Note 3 6 23 2" xfId="9496"/>
    <cellStyle name="Note 3 6 23 2 2" xfId="21760"/>
    <cellStyle name="Note 3 6 23 2 2 2" xfId="41828"/>
    <cellStyle name="Note 3 6 23 2 3" xfId="29684"/>
    <cellStyle name="Note 3 6 23 3" xfId="18654"/>
    <cellStyle name="Note 3 6 23 3 2" xfId="38722"/>
    <cellStyle name="Note 3 6 23 4" xfId="29683"/>
    <cellStyle name="Note 3 6 24" xfId="9497"/>
    <cellStyle name="Note 3 6 24 2" xfId="9498"/>
    <cellStyle name="Note 3 6 24 2 2" xfId="21761"/>
    <cellStyle name="Note 3 6 24 2 2 2" xfId="41829"/>
    <cellStyle name="Note 3 6 24 2 3" xfId="29686"/>
    <cellStyle name="Note 3 6 24 3" xfId="18754"/>
    <cellStyle name="Note 3 6 24 3 2" xfId="38822"/>
    <cellStyle name="Note 3 6 24 4" xfId="29685"/>
    <cellStyle name="Note 3 6 25" xfId="9499"/>
    <cellStyle name="Note 3 6 25 2" xfId="9500"/>
    <cellStyle name="Note 3 6 25 2 2" xfId="21762"/>
    <cellStyle name="Note 3 6 25 2 2 2" xfId="41830"/>
    <cellStyle name="Note 3 6 25 2 3" xfId="29688"/>
    <cellStyle name="Note 3 6 25 3" xfId="18854"/>
    <cellStyle name="Note 3 6 25 3 2" xfId="38922"/>
    <cellStyle name="Note 3 6 25 4" xfId="29687"/>
    <cellStyle name="Note 3 6 26" xfId="9501"/>
    <cellStyle name="Note 3 6 26 2" xfId="21745"/>
    <cellStyle name="Note 3 6 26 2 2" xfId="41813"/>
    <cellStyle name="Note 3 6 26 3" xfId="29689"/>
    <cellStyle name="Note 3 6 27" xfId="14616"/>
    <cellStyle name="Note 3 6 27 2" xfId="34684"/>
    <cellStyle name="Note 3 6 28" xfId="29654"/>
    <cellStyle name="Note 3 6 3" xfId="9502"/>
    <cellStyle name="Note 3 6 3 2" xfId="9503"/>
    <cellStyle name="Note 3 6 3 2 2" xfId="21763"/>
    <cellStyle name="Note 3 6 3 2 2 2" xfId="41831"/>
    <cellStyle name="Note 3 6 3 2 3" xfId="29691"/>
    <cellStyle name="Note 3 6 3 3" xfId="14797"/>
    <cellStyle name="Note 3 6 3 3 2" xfId="34865"/>
    <cellStyle name="Note 3 6 3 4" xfId="29690"/>
    <cellStyle name="Note 3 6 4" xfId="9504"/>
    <cellStyle name="Note 3 6 4 2" xfId="9505"/>
    <cellStyle name="Note 3 6 4 2 2" xfId="21764"/>
    <cellStyle name="Note 3 6 4 2 2 2" xfId="41832"/>
    <cellStyle name="Note 3 6 4 2 3" xfId="29693"/>
    <cellStyle name="Note 3 6 4 3" xfId="14922"/>
    <cellStyle name="Note 3 6 4 3 2" xfId="34990"/>
    <cellStyle name="Note 3 6 4 4" xfId="29692"/>
    <cellStyle name="Note 3 6 5" xfId="9506"/>
    <cellStyle name="Note 3 6 5 2" xfId="9507"/>
    <cellStyle name="Note 3 6 5 2 2" xfId="21765"/>
    <cellStyle name="Note 3 6 5 2 2 2" xfId="41833"/>
    <cellStyle name="Note 3 6 5 2 3" xfId="29695"/>
    <cellStyle name="Note 3 6 5 3" xfId="15091"/>
    <cellStyle name="Note 3 6 5 3 2" xfId="35159"/>
    <cellStyle name="Note 3 6 5 4" xfId="29694"/>
    <cellStyle name="Note 3 6 6" xfId="9508"/>
    <cellStyle name="Note 3 6 6 2" xfId="9509"/>
    <cellStyle name="Note 3 6 6 2 2" xfId="21766"/>
    <cellStyle name="Note 3 6 6 2 2 2" xfId="41834"/>
    <cellStyle name="Note 3 6 6 2 3" xfId="29697"/>
    <cellStyle name="Note 3 6 6 3" xfId="14287"/>
    <cellStyle name="Note 3 6 6 3 2" xfId="34355"/>
    <cellStyle name="Note 3 6 6 4" xfId="29696"/>
    <cellStyle name="Note 3 6 7" xfId="9510"/>
    <cellStyle name="Note 3 6 7 2" xfId="9511"/>
    <cellStyle name="Note 3 6 7 2 2" xfId="21767"/>
    <cellStyle name="Note 3 6 7 2 2 2" xfId="41835"/>
    <cellStyle name="Note 3 6 7 2 3" xfId="29699"/>
    <cellStyle name="Note 3 6 7 3" xfId="15223"/>
    <cellStyle name="Note 3 6 7 3 2" xfId="35291"/>
    <cellStyle name="Note 3 6 7 4" xfId="29698"/>
    <cellStyle name="Note 3 6 8" xfId="9512"/>
    <cellStyle name="Note 3 6 8 2" xfId="9513"/>
    <cellStyle name="Note 3 6 8 2 2" xfId="21768"/>
    <cellStyle name="Note 3 6 8 2 2 2" xfId="41836"/>
    <cellStyle name="Note 3 6 8 2 3" xfId="29701"/>
    <cellStyle name="Note 3 6 8 3" xfId="16588"/>
    <cellStyle name="Note 3 6 8 3 2" xfId="36656"/>
    <cellStyle name="Note 3 6 8 4" xfId="29700"/>
    <cellStyle name="Note 3 6 9" xfId="9514"/>
    <cellStyle name="Note 3 6 9 2" xfId="9515"/>
    <cellStyle name="Note 3 6 9 2 2" xfId="21769"/>
    <cellStyle name="Note 3 6 9 2 2 2" xfId="41837"/>
    <cellStyle name="Note 3 6 9 2 3" xfId="29703"/>
    <cellStyle name="Note 3 6 9 3" xfId="16792"/>
    <cellStyle name="Note 3 6 9 3 2" xfId="36860"/>
    <cellStyle name="Note 3 6 9 4" xfId="29702"/>
    <cellStyle name="Note 3 7" xfId="9516"/>
    <cellStyle name="Note 3 7 2" xfId="9517"/>
    <cellStyle name="Note 3 7 2 2" xfId="21770"/>
    <cellStyle name="Note 3 7 2 2 2" xfId="41838"/>
    <cellStyle name="Note 3 7 2 3" xfId="29705"/>
    <cellStyle name="Note 3 7 3" xfId="14257"/>
    <cellStyle name="Note 3 7 3 2" xfId="34325"/>
    <cellStyle name="Note 3 7 4" xfId="29704"/>
    <cellStyle name="Note 3 8" xfId="9518"/>
    <cellStyle name="Note 3 8 2" xfId="9519"/>
    <cellStyle name="Note 3 8 2 2" xfId="21771"/>
    <cellStyle name="Note 3 8 2 2 2" xfId="41839"/>
    <cellStyle name="Note 3 8 2 3" xfId="29707"/>
    <cellStyle name="Note 3 8 3" xfId="14098"/>
    <cellStyle name="Note 3 8 3 2" xfId="34166"/>
    <cellStyle name="Note 3 8 4" xfId="29706"/>
    <cellStyle name="Note 3 9" xfId="9520"/>
    <cellStyle name="Note 3 9 2" xfId="9521"/>
    <cellStyle name="Note 3 9 2 2" xfId="21772"/>
    <cellStyle name="Note 3 9 2 2 2" xfId="41840"/>
    <cellStyle name="Note 3 9 2 3" xfId="29709"/>
    <cellStyle name="Note 3 9 3" xfId="14113"/>
    <cellStyle name="Note 3 9 3 2" xfId="34181"/>
    <cellStyle name="Note 3 9 4" xfId="29708"/>
    <cellStyle name="Note 3_2011-2012" xfId="9522"/>
    <cellStyle name="Note 4" xfId="9523"/>
    <cellStyle name="Note 4 10" xfId="9524"/>
    <cellStyle name="Note 4 10 2" xfId="9525"/>
    <cellStyle name="Note 4 10 2 2" xfId="21774"/>
    <cellStyle name="Note 4 10 2 2 2" xfId="41842"/>
    <cellStyle name="Note 4 10 2 3" xfId="29712"/>
    <cellStyle name="Note 4 10 3" xfId="14223"/>
    <cellStyle name="Note 4 10 3 2" xfId="34291"/>
    <cellStyle name="Note 4 10 4" xfId="29711"/>
    <cellStyle name="Note 4 11" xfId="9526"/>
    <cellStyle name="Note 4 11 2" xfId="9527"/>
    <cellStyle name="Note 4 11 2 2" xfId="21775"/>
    <cellStyle name="Note 4 11 2 2 2" xfId="41843"/>
    <cellStyle name="Note 4 11 2 3" xfId="29714"/>
    <cellStyle name="Note 4 11 3" xfId="13849"/>
    <cellStyle name="Note 4 11 3 2" xfId="33917"/>
    <cellStyle name="Note 4 11 4" xfId="29713"/>
    <cellStyle name="Note 4 12" xfId="9528"/>
    <cellStyle name="Note 4 12 2" xfId="9529"/>
    <cellStyle name="Note 4 12 2 2" xfId="21776"/>
    <cellStyle name="Note 4 12 2 2 2" xfId="41844"/>
    <cellStyle name="Note 4 12 2 3" xfId="29716"/>
    <cellStyle name="Note 4 12 3" xfId="15319"/>
    <cellStyle name="Note 4 12 3 2" xfId="35387"/>
    <cellStyle name="Note 4 12 4" xfId="29715"/>
    <cellStyle name="Note 4 13" xfId="9530"/>
    <cellStyle name="Note 4 13 2" xfId="9531"/>
    <cellStyle name="Note 4 13 2 2" xfId="21777"/>
    <cellStyle name="Note 4 13 2 2 2" xfId="41845"/>
    <cellStyle name="Note 4 13 2 3" xfId="29718"/>
    <cellStyle name="Note 4 13 3" xfId="16462"/>
    <cellStyle name="Note 4 13 3 2" xfId="36530"/>
    <cellStyle name="Note 4 13 4" xfId="29717"/>
    <cellStyle name="Note 4 14" xfId="9532"/>
    <cellStyle name="Note 4 14 2" xfId="9533"/>
    <cellStyle name="Note 4 14 2 2" xfId="21778"/>
    <cellStyle name="Note 4 14 2 2 2" xfId="41846"/>
    <cellStyle name="Note 4 14 2 3" xfId="29720"/>
    <cellStyle name="Note 4 14 3" xfId="16655"/>
    <cellStyle name="Note 4 14 3 2" xfId="36723"/>
    <cellStyle name="Note 4 14 4" xfId="29719"/>
    <cellStyle name="Note 4 15" xfId="9534"/>
    <cellStyle name="Note 4 15 2" xfId="9535"/>
    <cellStyle name="Note 4 15 2 2" xfId="21779"/>
    <cellStyle name="Note 4 15 2 2 2" xfId="41847"/>
    <cellStyle name="Note 4 15 2 3" xfId="29722"/>
    <cellStyle name="Note 4 15 3" xfId="16016"/>
    <cellStyle name="Note 4 15 3 2" xfId="36084"/>
    <cellStyle name="Note 4 15 4" xfId="29721"/>
    <cellStyle name="Note 4 16" xfId="9536"/>
    <cellStyle name="Note 4 16 2" xfId="9537"/>
    <cellStyle name="Note 4 16 2 2" xfId="21780"/>
    <cellStyle name="Note 4 16 2 2 2" xfId="41848"/>
    <cellStyle name="Note 4 16 2 3" xfId="29724"/>
    <cellStyle name="Note 4 16 3" xfId="15705"/>
    <cellStyle name="Note 4 16 3 2" xfId="35773"/>
    <cellStyle name="Note 4 16 4" xfId="29723"/>
    <cellStyle name="Note 4 17" xfId="9538"/>
    <cellStyle name="Note 4 17 2" xfId="9539"/>
    <cellStyle name="Note 4 17 2 2" xfId="21781"/>
    <cellStyle name="Note 4 17 2 2 2" xfId="41849"/>
    <cellStyle name="Note 4 17 2 3" xfId="29726"/>
    <cellStyle name="Note 4 17 3" xfId="16126"/>
    <cellStyle name="Note 4 17 3 2" xfId="36194"/>
    <cellStyle name="Note 4 17 4" xfId="29725"/>
    <cellStyle name="Note 4 18" xfId="9540"/>
    <cellStyle name="Note 4 18 2" xfId="9541"/>
    <cellStyle name="Note 4 18 2 2" xfId="21782"/>
    <cellStyle name="Note 4 18 2 2 2" xfId="41850"/>
    <cellStyle name="Note 4 18 2 3" xfId="29728"/>
    <cellStyle name="Note 4 18 3" xfId="15647"/>
    <cellStyle name="Note 4 18 3 2" xfId="35715"/>
    <cellStyle name="Note 4 18 4" xfId="29727"/>
    <cellStyle name="Note 4 19" xfId="9542"/>
    <cellStyle name="Note 4 19 2" xfId="9543"/>
    <cellStyle name="Note 4 19 2 2" xfId="21783"/>
    <cellStyle name="Note 4 19 2 2 2" xfId="41851"/>
    <cellStyle name="Note 4 19 2 3" xfId="29730"/>
    <cellStyle name="Note 4 19 3" xfId="16201"/>
    <cellStyle name="Note 4 19 3 2" xfId="36269"/>
    <cellStyle name="Note 4 19 4" xfId="29729"/>
    <cellStyle name="Note 4 2" xfId="9544"/>
    <cellStyle name="Note 4 2 10" xfId="9545"/>
    <cellStyle name="Note 4 2 10 2" xfId="9546"/>
    <cellStyle name="Note 4 2 10 2 2" xfId="21785"/>
    <cellStyle name="Note 4 2 10 2 2 2" xfId="41853"/>
    <cellStyle name="Note 4 2 10 2 3" xfId="29733"/>
    <cellStyle name="Note 4 2 10 3" xfId="15147"/>
    <cellStyle name="Note 4 2 10 3 2" xfId="35215"/>
    <cellStyle name="Note 4 2 10 4" xfId="29732"/>
    <cellStyle name="Note 4 2 11" xfId="9547"/>
    <cellStyle name="Note 4 2 11 2" xfId="9548"/>
    <cellStyle name="Note 4 2 11 2 2" xfId="21786"/>
    <cellStyle name="Note 4 2 11 2 2 2" xfId="41854"/>
    <cellStyle name="Note 4 2 11 2 3" xfId="29735"/>
    <cellStyle name="Note 4 2 11 3" xfId="15320"/>
    <cellStyle name="Note 4 2 11 3 2" xfId="35388"/>
    <cellStyle name="Note 4 2 11 4" xfId="29734"/>
    <cellStyle name="Note 4 2 12" xfId="9549"/>
    <cellStyle name="Note 4 2 12 2" xfId="9550"/>
    <cellStyle name="Note 4 2 12 2 2" xfId="21787"/>
    <cellStyle name="Note 4 2 12 2 2 2" xfId="41855"/>
    <cellStyle name="Note 4 2 12 2 3" xfId="29737"/>
    <cellStyle name="Note 4 2 12 3" xfId="16463"/>
    <cellStyle name="Note 4 2 12 3 2" xfId="36531"/>
    <cellStyle name="Note 4 2 12 4" xfId="29736"/>
    <cellStyle name="Note 4 2 13" xfId="9551"/>
    <cellStyle name="Note 4 2 13 2" xfId="9552"/>
    <cellStyle name="Note 4 2 13 2 2" xfId="21788"/>
    <cellStyle name="Note 4 2 13 2 2 2" xfId="41856"/>
    <cellStyle name="Note 4 2 13 2 3" xfId="29739"/>
    <cellStyle name="Note 4 2 13 3" xfId="16656"/>
    <cellStyle name="Note 4 2 13 3 2" xfId="36724"/>
    <cellStyle name="Note 4 2 13 4" xfId="29738"/>
    <cellStyle name="Note 4 2 14" xfId="9553"/>
    <cellStyle name="Note 4 2 14 2" xfId="9554"/>
    <cellStyle name="Note 4 2 14 2 2" xfId="21789"/>
    <cellStyle name="Note 4 2 14 2 2 2" xfId="41857"/>
    <cellStyle name="Note 4 2 14 2 3" xfId="29741"/>
    <cellStyle name="Note 4 2 14 3" xfId="16017"/>
    <cellStyle name="Note 4 2 14 3 2" xfId="36085"/>
    <cellStyle name="Note 4 2 14 4" xfId="29740"/>
    <cellStyle name="Note 4 2 15" xfId="9555"/>
    <cellStyle name="Note 4 2 15 2" xfId="9556"/>
    <cellStyle name="Note 4 2 15 2 2" xfId="21790"/>
    <cellStyle name="Note 4 2 15 2 2 2" xfId="41858"/>
    <cellStyle name="Note 4 2 15 2 3" xfId="29743"/>
    <cellStyle name="Note 4 2 15 3" xfId="16329"/>
    <cellStyle name="Note 4 2 15 3 2" xfId="36397"/>
    <cellStyle name="Note 4 2 15 4" xfId="29742"/>
    <cellStyle name="Note 4 2 16" xfId="9557"/>
    <cellStyle name="Note 4 2 16 2" xfId="9558"/>
    <cellStyle name="Note 4 2 16 2 2" xfId="21791"/>
    <cellStyle name="Note 4 2 16 2 2 2" xfId="41859"/>
    <cellStyle name="Note 4 2 16 2 3" xfId="29745"/>
    <cellStyle name="Note 4 2 16 3" xfId="16127"/>
    <cellStyle name="Note 4 2 16 3 2" xfId="36195"/>
    <cellStyle name="Note 4 2 16 4" xfId="29744"/>
    <cellStyle name="Note 4 2 17" xfId="9559"/>
    <cellStyle name="Note 4 2 17 2" xfId="9560"/>
    <cellStyle name="Note 4 2 17 2 2" xfId="21792"/>
    <cellStyle name="Note 4 2 17 2 2 2" xfId="41860"/>
    <cellStyle name="Note 4 2 17 2 3" xfId="29747"/>
    <cellStyle name="Note 4 2 17 3" xfId="15646"/>
    <cellStyle name="Note 4 2 17 3 2" xfId="35714"/>
    <cellStyle name="Note 4 2 17 4" xfId="29746"/>
    <cellStyle name="Note 4 2 18" xfId="9561"/>
    <cellStyle name="Note 4 2 18 2" xfId="9562"/>
    <cellStyle name="Note 4 2 18 2 2" xfId="21793"/>
    <cellStyle name="Note 4 2 18 2 2 2" xfId="41861"/>
    <cellStyle name="Note 4 2 18 2 3" xfId="29749"/>
    <cellStyle name="Note 4 2 18 3" xfId="15848"/>
    <cellStyle name="Note 4 2 18 3 2" xfId="35916"/>
    <cellStyle name="Note 4 2 18 4" xfId="29748"/>
    <cellStyle name="Note 4 2 19" xfId="9563"/>
    <cellStyle name="Note 4 2 19 2" xfId="9564"/>
    <cellStyle name="Note 4 2 19 2 2" xfId="21794"/>
    <cellStyle name="Note 4 2 19 2 2 2" xfId="41862"/>
    <cellStyle name="Note 4 2 19 2 3" xfId="29751"/>
    <cellStyle name="Note 4 2 19 3" xfId="15451"/>
    <cellStyle name="Note 4 2 19 3 2" xfId="35519"/>
    <cellStyle name="Note 4 2 19 4" xfId="29750"/>
    <cellStyle name="Note 4 2 2" xfId="9565"/>
    <cellStyle name="Note 4 2 2 10" xfId="9566"/>
    <cellStyle name="Note 4 2 2 10 2" xfId="9567"/>
    <cellStyle name="Note 4 2 2 10 2 2" xfId="21796"/>
    <cellStyle name="Note 4 2 2 10 2 2 2" xfId="41864"/>
    <cellStyle name="Note 4 2 2 10 2 3" xfId="29754"/>
    <cellStyle name="Note 4 2 2 10 3" xfId="16464"/>
    <cellStyle name="Note 4 2 2 10 3 2" xfId="36532"/>
    <cellStyle name="Note 4 2 2 10 4" xfId="29753"/>
    <cellStyle name="Note 4 2 2 11" xfId="9568"/>
    <cellStyle name="Note 4 2 2 11 2" xfId="9569"/>
    <cellStyle name="Note 4 2 2 11 2 2" xfId="21797"/>
    <cellStyle name="Note 4 2 2 11 2 2 2" xfId="41865"/>
    <cellStyle name="Note 4 2 2 11 2 3" xfId="29756"/>
    <cellStyle name="Note 4 2 2 11 3" xfId="16657"/>
    <cellStyle name="Note 4 2 2 11 3 2" xfId="36725"/>
    <cellStyle name="Note 4 2 2 11 4" xfId="29755"/>
    <cellStyle name="Note 4 2 2 12" xfId="9570"/>
    <cellStyle name="Note 4 2 2 12 2" xfId="9571"/>
    <cellStyle name="Note 4 2 2 12 2 2" xfId="21798"/>
    <cellStyle name="Note 4 2 2 12 2 2 2" xfId="41866"/>
    <cellStyle name="Note 4 2 2 12 2 3" xfId="29758"/>
    <cellStyle name="Note 4 2 2 12 3" xfId="16018"/>
    <cellStyle name="Note 4 2 2 12 3 2" xfId="36086"/>
    <cellStyle name="Note 4 2 2 12 4" xfId="29757"/>
    <cellStyle name="Note 4 2 2 13" xfId="9572"/>
    <cellStyle name="Note 4 2 2 13 2" xfId="9573"/>
    <cellStyle name="Note 4 2 2 13 2 2" xfId="21799"/>
    <cellStyle name="Note 4 2 2 13 2 2 2" xfId="41867"/>
    <cellStyle name="Note 4 2 2 13 2 3" xfId="29760"/>
    <cellStyle name="Note 4 2 2 13 3" xfId="15544"/>
    <cellStyle name="Note 4 2 2 13 3 2" xfId="35612"/>
    <cellStyle name="Note 4 2 2 13 4" xfId="29759"/>
    <cellStyle name="Note 4 2 2 14" xfId="9574"/>
    <cellStyle name="Note 4 2 2 14 2" xfId="9575"/>
    <cellStyle name="Note 4 2 2 14 2 2" xfId="21800"/>
    <cellStyle name="Note 4 2 2 14 2 2 2" xfId="41868"/>
    <cellStyle name="Note 4 2 2 14 2 3" xfId="29762"/>
    <cellStyle name="Note 4 2 2 14 3" xfId="16128"/>
    <cellStyle name="Note 4 2 2 14 3 2" xfId="36196"/>
    <cellStyle name="Note 4 2 2 14 4" xfId="29761"/>
    <cellStyle name="Note 4 2 2 15" xfId="9576"/>
    <cellStyle name="Note 4 2 2 15 2" xfId="9577"/>
    <cellStyle name="Note 4 2 2 15 2 2" xfId="21801"/>
    <cellStyle name="Note 4 2 2 15 2 2 2" xfId="41869"/>
    <cellStyle name="Note 4 2 2 15 2 3" xfId="29764"/>
    <cellStyle name="Note 4 2 2 15 3" xfId="15645"/>
    <cellStyle name="Note 4 2 2 15 3 2" xfId="35713"/>
    <cellStyle name="Note 4 2 2 15 4" xfId="29763"/>
    <cellStyle name="Note 4 2 2 16" xfId="9578"/>
    <cellStyle name="Note 4 2 2 16 2" xfId="9579"/>
    <cellStyle name="Note 4 2 2 16 2 2" xfId="21802"/>
    <cellStyle name="Note 4 2 2 16 2 2 2" xfId="41870"/>
    <cellStyle name="Note 4 2 2 16 2 3" xfId="29766"/>
    <cellStyle name="Note 4 2 2 16 3" xfId="16076"/>
    <cellStyle name="Note 4 2 2 16 3 2" xfId="36144"/>
    <cellStyle name="Note 4 2 2 16 4" xfId="29765"/>
    <cellStyle name="Note 4 2 2 17" xfId="9580"/>
    <cellStyle name="Note 4 2 2 17 2" xfId="9581"/>
    <cellStyle name="Note 4 2 2 17 2 2" xfId="21803"/>
    <cellStyle name="Note 4 2 2 17 2 2 2" xfId="41871"/>
    <cellStyle name="Note 4 2 2 17 2 3" xfId="29768"/>
    <cellStyle name="Note 4 2 2 17 3" xfId="15450"/>
    <cellStyle name="Note 4 2 2 17 3 2" xfId="35518"/>
    <cellStyle name="Note 4 2 2 17 4" xfId="29767"/>
    <cellStyle name="Note 4 2 2 18" xfId="9582"/>
    <cellStyle name="Note 4 2 2 18 2" xfId="9583"/>
    <cellStyle name="Note 4 2 2 18 2 2" xfId="21804"/>
    <cellStyle name="Note 4 2 2 18 2 2 2" xfId="41872"/>
    <cellStyle name="Note 4 2 2 18 2 3" xfId="29770"/>
    <cellStyle name="Note 4 2 2 18 3" xfId="17706"/>
    <cellStyle name="Note 4 2 2 18 3 2" xfId="37774"/>
    <cellStyle name="Note 4 2 2 18 4" xfId="29769"/>
    <cellStyle name="Note 4 2 2 19" xfId="9584"/>
    <cellStyle name="Note 4 2 2 19 2" xfId="9585"/>
    <cellStyle name="Note 4 2 2 19 2 2" xfId="21805"/>
    <cellStyle name="Note 4 2 2 19 2 2 2" xfId="41873"/>
    <cellStyle name="Note 4 2 2 19 2 3" xfId="29772"/>
    <cellStyle name="Note 4 2 2 19 3" xfId="15691"/>
    <cellStyle name="Note 4 2 2 19 3 2" xfId="35759"/>
    <cellStyle name="Note 4 2 2 19 4" xfId="29771"/>
    <cellStyle name="Note 4 2 2 2" xfId="9586"/>
    <cellStyle name="Note 4 2 2 2 10" xfId="9587"/>
    <cellStyle name="Note 4 2 2 2 10 2" xfId="9588"/>
    <cellStyle name="Note 4 2 2 2 10 2 2" xfId="21807"/>
    <cellStyle name="Note 4 2 2 2 10 2 2 2" xfId="41875"/>
    <cellStyle name="Note 4 2 2 2 10 2 3" xfId="29775"/>
    <cellStyle name="Note 4 2 2 2 10 3" xfId="16964"/>
    <cellStyle name="Note 4 2 2 2 10 3 2" xfId="37032"/>
    <cellStyle name="Note 4 2 2 2 10 4" xfId="29774"/>
    <cellStyle name="Note 4 2 2 2 11" xfId="9589"/>
    <cellStyle name="Note 4 2 2 2 11 2" xfId="9590"/>
    <cellStyle name="Note 4 2 2 2 11 2 2" xfId="21808"/>
    <cellStyle name="Note 4 2 2 2 11 2 2 2" xfId="41876"/>
    <cellStyle name="Note 4 2 2 2 11 2 3" xfId="29777"/>
    <cellStyle name="Note 4 2 2 2 11 3" xfId="17109"/>
    <cellStyle name="Note 4 2 2 2 11 3 2" xfId="37177"/>
    <cellStyle name="Note 4 2 2 2 11 4" xfId="29776"/>
    <cellStyle name="Note 4 2 2 2 12" xfId="9591"/>
    <cellStyle name="Note 4 2 2 2 12 2" xfId="9592"/>
    <cellStyle name="Note 4 2 2 2 12 2 2" xfId="21809"/>
    <cellStyle name="Note 4 2 2 2 12 2 2 2" xfId="41877"/>
    <cellStyle name="Note 4 2 2 2 12 2 3" xfId="29779"/>
    <cellStyle name="Note 4 2 2 2 12 3" xfId="17281"/>
    <cellStyle name="Note 4 2 2 2 12 3 2" xfId="37349"/>
    <cellStyle name="Note 4 2 2 2 12 4" xfId="29778"/>
    <cellStyle name="Note 4 2 2 2 13" xfId="9593"/>
    <cellStyle name="Note 4 2 2 2 13 2" xfId="9594"/>
    <cellStyle name="Note 4 2 2 2 13 2 2" xfId="21810"/>
    <cellStyle name="Note 4 2 2 2 13 2 2 2" xfId="41878"/>
    <cellStyle name="Note 4 2 2 2 13 2 3" xfId="29781"/>
    <cellStyle name="Note 4 2 2 2 13 3" xfId="17445"/>
    <cellStyle name="Note 4 2 2 2 13 3 2" xfId="37513"/>
    <cellStyle name="Note 4 2 2 2 13 4" xfId="29780"/>
    <cellStyle name="Note 4 2 2 2 14" xfId="9595"/>
    <cellStyle name="Note 4 2 2 2 14 2" xfId="9596"/>
    <cellStyle name="Note 4 2 2 2 14 2 2" xfId="21811"/>
    <cellStyle name="Note 4 2 2 2 14 2 2 2" xfId="41879"/>
    <cellStyle name="Note 4 2 2 2 14 2 3" xfId="29783"/>
    <cellStyle name="Note 4 2 2 2 14 3" xfId="17571"/>
    <cellStyle name="Note 4 2 2 2 14 3 2" xfId="37639"/>
    <cellStyle name="Note 4 2 2 2 14 4" xfId="29782"/>
    <cellStyle name="Note 4 2 2 2 15" xfId="9597"/>
    <cellStyle name="Note 4 2 2 2 15 2" xfId="9598"/>
    <cellStyle name="Note 4 2 2 2 15 2 2" xfId="21812"/>
    <cellStyle name="Note 4 2 2 2 15 2 2 2" xfId="41880"/>
    <cellStyle name="Note 4 2 2 2 15 2 3" xfId="29785"/>
    <cellStyle name="Note 4 2 2 2 15 3" xfId="17639"/>
    <cellStyle name="Note 4 2 2 2 15 3 2" xfId="37707"/>
    <cellStyle name="Note 4 2 2 2 15 4" xfId="29784"/>
    <cellStyle name="Note 4 2 2 2 16" xfId="9599"/>
    <cellStyle name="Note 4 2 2 2 16 2" xfId="9600"/>
    <cellStyle name="Note 4 2 2 2 16 2 2" xfId="21813"/>
    <cellStyle name="Note 4 2 2 2 16 2 2 2" xfId="41881"/>
    <cellStyle name="Note 4 2 2 2 16 2 3" xfId="29787"/>
    <cellStyle name="Note 4 2 2 2 16 3" xfId="17821"/>
    <cellStyle name="Note 4 2 2 2 16 3 2" xfId="37889"/>
    <cellStyle name="Note 4 2 2 2 16 4" xfId="29786"/>
    <cellStyle name="Note 4 2 2 2 17" xfId="9601"/>
    <cellStyle name="Note 4 2 2 2 17 2" xfId="9602"/>
    <cellStyle name="Note 4 2 2 2 17 2 2" xfId="21814"/>
    <cellStyle name="Note 4 2 2 2 17 2 2 2" xfId="41882"/>
    <cellStyle name="Note 4 2 2 2 17 2 3" xfId="29789"/>
    <cellStyle name="Note 4 2 2 2 17 3" xfId="17959"/>
    <cellStyle name="Note 4 2 2 2 17 3 2" xfId="38027"/>
    <cellStyle name="Note 4 2 2 2 17 4" xfId="29788"/>
    <cellStyle name="Note 4 2 2 2 18" xfId="9603"/>
    <cellStyle name="Note 4 2 2 2 18 2" xfId="9604"/>
    <cellStyle name="Note 4 2 2 2 18 2 2" xfId="21815"/>
    <cellStyle name="Note 4 2 2 2 18 2 2 2" xfId="41883"/>
    <cellStyle name="Note 4 2 2 2 18 2 3" xfId="29791"/>
    <cellStyle name="Note 4 2 2 2 18 3" xfId="18098"/>
    <cellStyle name="Note 4 2 2 2 18 3 2" xfId="38166"/>
    <cellStyle name="Note 4 2 2 2 18 4" xfId="29790"/>
    <cellStyle name="Note 4 2 2 2 19" xfId="9605"/>
    <cellStyle name="Note 4 2 2 2 19 2" xfId="9606"/>
    <cellStyle name="Note 4 2 2 2 19 2 2" xfId="21816"/>
    <cellStyle name="Note 4 2 2 2 19 2 2 2" xfId="41884"/>
    <cellStyle name="Note 4 2 2 2 19 2 3" xfId="29793"/>
    <cellStyle name="Note 4 2 2 2 19 3" xfId="18216"/>
    <cellStyle name="Note 4 2 2 2 19 3 2" xfId="38284"/>
    <cellStyle name="Note 4 2 2 2 19 4" xfId="29792"/>
    <cellStyle name="Note 4 2 2 2 2" xfId="9607"/>
    <cellStyle name="Note 4 2 2 2 2 2" xfId="9608"/>
    <cellStyle name="Note 4 2 2 2 2 2 2" xfId="21817"/>
    <cellStyle name="Note 4 2 2 2 2 2 2 2" xfId="41885"/>
    <cellStyle name="Note 4 2 2 2 2 2 3" xfId="29795"/>
    <cellStyle name="Note 4 2 2 2 2 3" xfId="14684"/>
    <cellStyle name="Note 4 2 2 2 2 3 2" xfId="34752"/>
    <cellStyle name="Note 4 2 2 2 2 4" xfId="29794"/>
    <cellStyle name="Note 4 2 2 2 20" xfId="9609"/>
    <cellStyle name="Note 4 2 2 2 20 2" xfId="9610"/>
    <cellStyle name="Note 4 2 2 2 20 2 2" xfId="21818"/>
    <cellStyle name="Note 4 2 2 2 20 2 2 2" xfId="41886"/>
    <cellStyle name="Note 4 2 2 2 20 2 3" xfId="29797"/>
    <cellStyle name="Note 4 2 2 2 20 3" xfId="18142"/>
    <cellStyle name="Note 4 2 2 2 20 3 2" xfId="38210"/>
    <cellStyle name="Note 4 2 2 2 20 4" xfId="29796"/>
    <cellStyle name="Note 4 2 2 2 21" xfId="9611"/>
    <cellStyle name="Note 4 2 2 2 21 2" xfId="9612"/>
    <cellStyle name="Note 4 2 2 2 21 2 2" xfId="21819"/>
    <cellStyle name="Note 4 2 2 2 21 2 2 2" xfId="41887"/>
    <cellStyle name="Note 4 2 2 2 21 2 3" xfId="29799"/>
    <cellStyle name="Note 4 2 2 2 21 3" xfId="18421"/>
    <cellStyle name="Note 4 2 2 2 21 3 2" xfId="38489"/>
    <cellStyle name="Note 4 2 2 2 21 4" xfId="29798"/>
    <cellStyle name="Note 4 2 2 2 22" xfId="9613"/>
    <cellStyle name="Note 4 2 2 2 22 2" xfId="9614"/>
    <cellStyle name="Note 4 2 2 2 22 2 2" xfId="21820"/>
    <cellStyle name="Note 4 2 2 2 22 2 2 2" xfId="41888"/>
    <cellStyle name="Note 4 2 2 2 22 2 3" xfId="29801"/>
    <cellStyle name="Note 4 2 2 2 22 3" xfId="18554"/>
    <cellStyle name="Note 4 2 2 2 22 3 2" xfId="38622"/>
    <cellStyle name="Note 4 2 2 2 22 4" xfId="29800"/>
    <cellStyle name="Note 4 2 2 2 23" xfId="9615"/>
    <cellStyle name="Note 4 2 2 2 23 2" xfId="9616"/>
    <cellStyle name="Note 4 2 2 2 23 2 2" xfId="21821"/>
    <cellStyle name="Note 4 2 2 2 23 2 2 2" xfId="41889"/>
    <cellStyle name="Note 4 2 2 2 23 2 3" xfId="29803"/>
    <cellStyle name="Note 4 2 2 2 23 3" xfId="18665"/>
    <cellStyle name="Note 4 2 2 2 23 3 2" xfId="38733"/>
    <cellStyle name="Note 4 2 2 2 23 4" xfId="29802"/>
    <cellStyle name="Note 4 2 2 2 24" xfId="9617"/>
    <cellStyle name="Note 4 2 2 2 24 2" xfId="9618"/>
    <cellStyle name="Note 4 2 2 2 24 2 2" xfId="21822"/>
    <cellStyle name="Note 4 2 2 2 24 2 2 2" xfId="41890"/>
    <cellStyle name="Note 4 2 2 2 24 2 3" xfId="29805"/>
    <cellStyle name="Note 4 2 2 2 24 3" xfId="18765"/>
    <cellStyle name="Note 4 2 2 2 24 3 2" xfId="38833"/>
    <cellStyle name="Note 4 2 2 2 24 4" xfId="29804"/>
    <cellStyle name="Note 4 2 2 2 25" xfId="9619"/>
    <cellStyle name="Note 4 2 2 2 25 2" xfId="9620"/>
    <cellStyle name="Note 4 2 2 2 25 2 2" xfId="21823"/>
    <cellStyle name="Note 4 2 2 2 25 2 2 2" xfId="41891"/>
    <cellStyle name="Note 4 2 2 2 25 2 3" xfId="29807"/>
    <cellStyle name="Note 4 2 2 2 25 3" xfId="18865"/>
    <cellStyle name="Note 4 2 2 2 25 3 2" xfId="38933"/>
    <cellStyle name="Note 4 2 2 2 25 4" xfId="29806"/>
    <cellStyle name="Note 4 2 2 2 26" xfId="9621"/>
    <cellStyle name="Note 4 2 2 2 26 2" xfId="21806"/>
    <cellStyle name="Note 4 2 2 2 26 2 2" xfId="41874"/>
    <cellStyle name="Note 4 2 2 2 26 3" xfId="29808"/>
    <cellStyle name="Note 4 2 2 2 27" xfId="14498"/>
    <cellStyle name="Note 4 2 2 2 27 2" xfId="34566"/>
    <cellStyle name="Note 4 2 2 2 28" xfId="29773"/>
    <cellStyle name="Note 4 2 2 2 3" xfId="9622"/>
    <cellStyle name="Note 4 2 2 2 3 2" xfId="9623"/>
    <cellStyle name="Note 4 2 2 2 3 2 2" xfId="21824"/>
    <cellStyle name="Note 4 2 2 2 3 2 2 2" xfId="41892"/>
    <cellStyle name="Note 4 2 2 2 3 2 3" xfId="29810"/>
    <cellStyle name="Note 4 2 2 2 3 3" xfId="14808"/>
    <cellStyle name="Note 4 2 2 2 3 3 2" xfId="34876"/>
    <cellStyle name="Note 4 2 2 2 3 4" xfId="29809"/>
    <cellStyle name="Note 4 2 2 2 4" xfId="9624"/>
    <cellStyle name="Note 4 2 2 2 4 2" xfId="9625"/>
    <cellStyle name="Note 4 2 2 2 4 2 2" xfId="21825"/>
    <cellStyle name="Note 4 2 2 2 4 2 2 2" xfId="41893"/>
    <cellStyle name="Note 4 2 2 2 4 2 3" xfId="29812"/>
    <cellStyle name="Note 4 2 2 2 4 3" xfId="14933"/>
    <cellStyle name="Note 4 2 2 2 4 3 2" xfId="35001"/>
    <cellStyle name="Note 4 2 2 2 4 4" xfId="29811"/>
    <cellStyle name="Note 4 2 2 2 5" xfId="9626"/>
    <cellStyle name="Note 4 2 2 2 5 2" xfId="9627"/>
    <cellStyle name="Note 4 2 2 2 5 2 2" xfId="21826"/>
    <cellStyle name="Note 4 2 2 2 5 2 2 2" xfId="41894"/>
    <cellStyle name="Note 4 2 2 2 5 2 3" xfId="29814"/>
    <cellStyle name="Note 4 2 2 2 5 3" xfId="15102"/>
    <cellStyle name="Note 4 2 2 2 5 3 2" xfId="35170"/>
    <cellStyle name="Note 4 2 2 2 5 4" xfId="29813"/>
    <cellStyle name="Note 4 2 2 2 6" xfId="9628"/>
    <cellStyle name="Note 4 2 2 2 6 2" xfId="9629"/>
    <cellStyle name="Note 4 2 2 2 6 2 2" xfId="21827"/>
    <cellStyle name="Note 4 2 2 2 6 2 2 2" xfId="41895"/>
    <cellStyle name="Note 4 2 2 2 6 2 3" xfId="29816"/>
    <cellStyle name="Note 4 2 2 2 6 3" xfId="15016"/>
    <cellStyle name="Note 4 2 2 2 6 3 2" xfId="35084"/>
    <cellStyle name="Note 4 2 2 2 6 4" xfId="29815"/>
    <cellStyle name="Note 4 2 2 2 7" xfId="9630"/>
    <cellStyle name="Note 4 2 2 2 7 2" xfId="9631"/>
    <cellStyle name="Note 4 2 2 2 7 2 2" xfId="21828"/>
    <cellStyle name="Note 4 2 2 2 7 2 2 2" xfId="41896"/>
    <cellStyle name="Note 4 2 2 2 7 2 3" xfId="29818"/>
    <cellStyle name="Note 4 2 2 2 7 3" xfId="15234"/>
    <cellStyle name="Note 4 2 2 2 7 3 2" xfId="35302"/>
    <cellStyle name="Note 4 2 2 2 7 4" xfId="29817"/>
    <cellStyle name="Note 4 2 2 2 8" xfId="9632"/>
    <cellStyle name="Note 4 2 2 2 8 2" xfId="9633"/>
    <cellStyle name="Note 4 2 2 2 8 2 2" xfId="21829"/>
    <cellStyle name="Note 4 2 2 2 8 2 2 2" xfId="41897"/>
    <cellStyle name="Note 4 2 2 2 8 2 3" xfId="29820"/>
    <cellStyle name="Note 4 2 2 2 8 3" xfId="16599"/>
    <cellStyle name="Note 4 2 2 2 8 3 2" xfId="36667"/>
    <cellStyle name="Note 4 2 2 2 8 4" xfId="29819"/>
    <cellStyle name="Note 4 2 2 2 9" xfId="9634"/>
    <cellStyle name="Note 4 2 2 2 9 2" xfId="9635"/>
    <cellStyle name="Note 4 2 2 2 9 2 2" xfId="21830"/>
    <cellStyle name="Note 4 2 2 2 9 2 2 2" xfId="41898"/>
    <cellStyle name="Note 4 2 2 2 9 2 3" xfId="29822"/>
    <cellStyle name="Note 4 2 2 2 9 3" xfId="16803"/>
    <cellStyle name="Note 4 2 2 2 9 3 2" xfId="36871"/>
    <cellStyle name="Note 4 2 2 2 9 4" xfId="29821"/>
    <cellStyle name="Note 4 2 2 20" xfId="9636"/>
    <cellStyle name="Note 4 2 2 20 2" xfId="9637"/>
    <cellStyle name="Note 4 2 2 20 2 2" xfId="21831"/>
    <cellStyle name="Note 4 2 2 20 2 2 2" xfId="41899"/>
    <cellStyle name="Note 4 2 2 20 2 3" xfId="29824"/>
    <cellStyle name="Note 4 2 2 20 3" xfId="15779"/>
    <cellStyle name="Note 4 2 2 20 3 2" xfId="35847"/>
    <cellStyle name="Note 4 2 2 20 4" xfId="29823"/>
    <cellStyle name="Note 4 2 2 21" xfId="9638"/>
    <cellStyle name="Note 4 2 2 21 2" xfId="9639"/>
    <cellStyle name="Note 4 2 2 21 2 2" xfId="21832"/>
    <cellStyle name="Note 4 2 2 21 2 2 2" xfId="41900"/>
    <cellStyle name="Note 4 2 2 21 2 3" xfId="29826"/>
    <cellStyle name="Note 4 2 2 21 3" xfId="16178"/>
    <cellStyle name="Note 4 2 2 21 3 2" xfId="36246"/>
    <cellStyle name="Note 4 2 2 21 4" xfId="29825"/>
    <cellStyle name="Note 4 2 2 22" xfId="9640"/>
    <cellStyle name="Note 4 2 2 22 2" xfId="9641"/>
    <cellStyle name="Note 4 2 2 22 2 2" xfId="21833"/>
    <cellStyle name="Note 4 2 2 22 2 2 2" xfId="41901"/>
    <cellStyle name="Note 4 2 2 22 2 3" xfId="29828"/>
    <cellStyle name="Note 4 2 2 22 3" xfId="18254"/>
    <cellStyle name="Note 4 2 2 22 3 2" xfId="38322"/>
    <cellStyle name="Note 4 2 2 22 4" xfId="29827"/>
    <cellStyle name="Note 4 2 2 23" xfId="9642"/>
    <cellStyle name="Note 4 2 2 23 2" xfId="9643"/>
    <cellStyle name="Note 4 2 2 23 2 2" xfId="21834"/>
    <cellStyle name="Note 4 2 2 23 2 2 2" xfId="41902"/>
    <cellStyle name="Note 4 2 2 23 2 3" xfId="29830"/>
    <cellStyle name="Note 4 2 2 23 3" xfId="17168"/>
    <cellStyle name="Note 4 2 2 23 3 2" xfId="37236"/>
    <cellStyle name="Note 4 2 2 23 4" xfId="29829"/>
    <cellStyle name="Note 4 2 2 24" xfId="9644"/>
    <cellStyle name="Note 4 2 2 24 2" xfId="9645"/>
    <cellStyle name="Note 4 2 2 24 2 2" xfId="21835"/>
    <cellStyle name="Note 4 2 2 24 2 2 2" xfId="41903"/>
    <cellStyle name="Note 4 2 2 24 2 3" xfId="29832"/>
    <cellStyle name="Note 4 2 2 24 3" xfId="15685"/>
    <cellStyle name="Note 4 2 2 24 3 2" xfId="35753"/>
    <cellStyle name="Note 4 2 2 24 4" xfId="29831"/>
    <cellStyle name="Note 4 2 2 25" xfId="9646"/>
    <cellStyle name="Note 4 2 2 25 2" xfId="9647"/>
    <cellStyle name="Note 4 2 2 25 2 2" xfId="21836"/>
    <cellStyle name="Note 4 2 2 25 2 2 2" xfId="41904"/>
    <cellStyle name="Note 4 2 2 25 2 3" xfId="29834"/>
    <cellStyle name="Note 4 2 2 25 3" xfId="18033"/>
    <cellStyle name="Note 4 2 2 25 3 2" xfId="38101"/>
    <cellStyle name="Note 4 2 2 25 4" xfId="29833"/>
    <cellStyle name="Note 4 2 2 26" xfId="9648"/>
    <cellStyle name="Note 4 2 2 26 2" xfId="9649"/>
    <cellStyle name="Note 4 2 2 26 2 2" xfId="21837"/>
    <cellStyle name="Note 4 2 2 26 2 2 2" xfId="41905"/>
    <cellStyle name="Note 4 2 2 26 2 3" xfId="29836"/>
    <cellStyle name="Note 4 2 2 26 3" xfId="16036"/>
    <cellStyle name="Note 4 2 2 26 3 2" xfId="36104"/>
    <cellStyle name="Note 4 2 2 26 4" xfId="29835"/>
    <cellStyle name="Note 4 2 2 27" xfId="9650"/>
    <cellStyle name="Note 4 2 2 27 2" xfId="9651"/>
    <cellStyle name="Note 4 2 2 27 2 2" xfId="21838"/>
    <cellStyle name="Note 4 2 2 27 2 2 2" xfId="41906"/>
    <cellStyle name="Note 4 2 2 27 2 3" xfId="29838"/>
    <cellStyle name="Note 4 2 2 27 3" xfId="16184"/>
    <cellStyle name="Note 4 2 2 27 3 2" xfId="36252"/>
    <cellStyle name="Note 4 2 2 27 4" xfId="29837"/>
    <cellStyle name="Note 4 2 2 28" xfId="9652"/>
    <cellStyle name="Note 4 2 2 28 2" xfId="21795"/>
    <cellStyle name="Note 4 2 2 28 2 2" xfId="41863"/>
    <cellStyle name="Note 4 2 2 28 3" xfId="29839"/>
    <cellStyle name="Note 4 2 2 29" xfId="13915"/>
    <cellStyle name="Note 4 2 2 29 2" xfId="33983"/>
    <cellStyle name="Note 4 2 2 3" xfId="9653"/>
    <cellStyle name="Note 4 2 2 3 2" xfId="9654"/>
    <cellStyle name="Note 4 2 2 3 2 2" xfId="21839"/>
    <cellStyle name="Note 4 2 2 3 2 2 2" xfId="41907"/>
    <cellStyle name="Note 4 2 2 3 2 3" xfId="29841"/>
    <cellStyle name="Note 4 2 2 3 3" xfId="14368"/>
    <cellStyle name="Note 4 2 2 3 3 2" xfId="34436"/>
    <cellStyle name="Note 4 2 2 3 4" xfId="29840"/>
    <cellStyle name="Note 4 2 2 30" xfId="29752"/>
    <cellStyle name="Note 4 2 2 4" xfId="9655"/>
    <cellStyle name="Note 4 2 2 4 2" xfId="9656"/>
    <cellStyle name="Note 4 2 2 4 2 2" xfId="21840"/>
    <cellStyle name="Note 4 2 2 4 2 2 2" xfId="41908"/>
    <cellStyle name="Note 4 2 2 4 2 3" xfId="29843"/>
    <cellStyle name="Note 4 2 2 4 3" xfId="14073"/>
    <cellStyle name="Note 4 2 2 4 3 2" xfId="34141"/>
    <cellStyle name="Note 4 2 2 4 4" xfId="29842"/>
    <cellStyle name="Note 4 2 2 5" xfId="9657"/>
    <cellStyle name="Note 4 2 2 5 2" xfId="9658"/>
    <cellStyle name="Note 4 2 2 5 2 2" xfId="21841"/>
    <cellStyle name="Note 4 2 2 5 2 2 2" xfId="41909"/>
    <cellStyle name="Note 4 2 2 5 2 3" xfId="29845"/>
    <cellStyle name="Note 4 2 2 5 3" xfId="14543"/>
    <cellStyle name="Note 4 2 2 5 3 2" xfId="34611"/>
    <cellStyle name="Note 4 2 2 5 4" xfId="29844"/>
    <cellStyle name="Note 4 2 2 6" xfId="9659"/>
    <cellStyle name="Note 4 2 2 6 2" xfId="9660"/>
    <cellStyle name="Note 4 2 2 6 2 2" xfId="21842"/>
    <cellStyle name="Note 4 2 2 6 2 2 2" xfId="41910"/>
    <cellStyle name="Note 4 2 2 6 2 3" xfId="29847"/>
    <cellStyle name="Note 4 2 2 6 3" xfId="14968"/>
    <cellStyle name="Note 4 2 2 6 3 2" xfId="35036"/>
    <cellStyle name="Note 4 2 2 6 4" xfId="29846"/>
    <cellStyle name="Note 4 2 2 7" xfId="9661"/>
    <cellStyle name="Note 4 2 2 7 2" xfId="9662"/>
    <cellStyle name="Note 4 2 2 7 2 2" xfId="21843"/>
    <cellStyle name="Note 4 2 2 7 2 2 2" xfId="41911"/>
    <cellStyle name="Note 4 2 2 7 2 3" xfId="29849"/>
    <cellStyle name="Note 4 2 2 7 3" xfId="14721"/>
    <cellStyle name="Note 4 2 2 7 3 2" xfId="34789"/>
    <cellStyle name="Note 4 2 2 7 4" xfId="29848"/>
    <cellStyle name="Note 4 2 2 8" xfId="9663"/>
    <cellStyle name="Note 4 2 2 8 2" xfId="9664"/>
    <cellStyle name="Note 4 2 2 8 2 2" xfId="21844"/>
    <cellStyle name="Note 4 2 2 8 2 2 2" xfId="41912"/>
    <cellStyle name="Note 4 2 2 8 2 3" xfId="29851"/>
    <cellStyle name="Note 4 2 2 8 3" xfId="14548"/>
    <cellStyle name="Note 4 2 2 8 3 2" xfId="34616"/>
    <cellStyle name="Note 4 2 2 8 4" xfId="29850"/>
    <cellStyle name="Note 4 2 2 9" xfId="9665"/>
    <cellStyle name="Note 4 2 2 9 2" xfId="9666"/>
    <cellStyle name="Note 4 2 2 9 2 2" xfId="21845"/>
    <cellStyle name="Note 4 2 2 9 2 2 2" xfId="41913"/>
    <cellStyle name="Note 4 2 2 9 2 3" xfId="29853"/>
    <cellStyle name="Note 4 2 2 9 3" xfId="15321"/>
    <cellStyle name="Note 4 2 2 9 3 2" xfId="35389"/>
    <cellStyle name="Note 4 2 2 9 4" xfId="29852"/>
    <cellStyle name="Note 4 2 20" xfId="9667"/>
    <cellStyle name="Note 4 2 20 2" xfId="9668"/>
    <cellStyle name="Note 4 2 20 2 2" xfId="21846"/>
    <cellStyle name="Note 4 2 20 2 2 2" xfId="41914"/>
    <cellStyle name="Note 4 2 20 2 3" xfId="29855"/>
    <cellStyle name="Note 4 2 20 3" xfId="17705"/>
    <cellStyle name="Note 4 2 20 3 2" xfId="37773"/>
    <cellStyle name="Note 4 2 20 4" xfId="29854"/>
    <cellStyle name="Note 4 2 21" xfId="9669"/>
    <cellStyle name="Note 4 2 21 2" xfId="9670"/>
    <cellStyle name="Note 4 2 21 2 2" xfId="21847"/>
    <cellStyle name="Note 4 2 21 2 2 2" xfId="41915"/>
    <cellStyle name="Note 4 2 21 2 3" xfId="29857"/>
    <cellStyle name="Note 4 2 21 3" xfId="15486"/>
    <cellStyle name="Note 4 2 21 3 2" xfId="35554"/>
    <cellStyle name="Note 4 2 21 4" xfId="29856"/>
    <cellStyle name="Note 4 2 22" xfId="9671"/>
    <cellStyle name="Note 4 2 22 2" xfId="9672"/>
    <cellStyle name="Note 4 2 22 2 2" xfId="21848"/>
    <cellStyle name="Note 4 2 22 2 2 2" xfId="41916"/>
    <cellStyle name="Note 4 2 22 2 3" xfId="29859"/>
    <cellStyle name="Note 4 2 22 3" xfId="16181"/>
    <cellStyle name="Note 4 2 22 3 2" xfId="36249"/>
    <cellStyle name="Note 4 2 22 4" xfId="29858"/>
    <cellStyle name="Note 4 2 23" xfId="9673"/>
    <cellStyle name="Note 4 2 23 2" xfId="9674"/>
    <cellStyle name="Note 4 2 23 2 2" xfId="21849"/>
    <cellStyle name="Note 4 2 23 2 2 2" xfId="41917"/>
    <cellStyle name="Note 4 2 23 2 3" xfId="29861"/>
    <cellStyle name="Note 4 2 23 3" xfId="15969"/>
    <cellStyle name="Note 4 2 23 3 2" xfId="36037"/>
    <cellStyle name="Note 4 2 23 4" xfId="29860"/>
    <cellStyle name="Note 4 2 24" xfId="9675"/>
    <cellStyle name="Note 4 2 24 2" xfId="9676"/>
    <cellStyle name="Note 4 2 24 2 2" xfId="21850"/>
    <cellStyle name="Note 4 2 24 2 2 2" xfId="41918"/>
    <cellStyle name="Note 4 2 24 2 3" xfId="29863"/>
    <cellStyle name="Note 4 2 24 3" xfId="18253"/>
    <cellStyle name="Note 4 2 24 3 2" xfId="38321"/>
    <cellStyle name="Note 4 2 24 4" xfId="29862"/>
    <cellStyle name="Note 4 2 25" xfId="9677"/>
    <cellStyle name="Note 4 2 25 2" xfId="9678"/>
    <cellStyle name="Note 4 2 25 2 2" xfId="21851"/>
    <cellStyle name="Note 4 2 25 2 2 2" xfId="41919"/>
    <cellStyle name="Note 4 2 25 2 3" xfId="29865"/>
    <cellStyle name="Note 4 2 25 3" xfId="16341"/>
    <cellStyle name="Note 4 2 25 3 2" xfId="36409"/>
    <cellStyle name="Note 4 2 25 4" xfId="29864"/>
    <cellStyle name="Note 4 2 26" xfId="9679"/>
    <cellStyle name="Note 4 2 26 2" xfId="9680"/>
    <cellStyle name="Note 4 2 26 2 2" xfId="21852"/>
    <cellStyle name="Note 4 2 26 2 2 2" xfId="41920"/>
    <cellStyle name="Note 4 2 26 2 3" xfId="29867"/>
    <cellStyle name="Note 4 2 26 3" xfId="18293"/>
    <cellStyle name="Note 4 2 26 3 2" xfId="38361"/>
    <cellStyle name="Note 4 2 26 4" xfId="29866"/>
    <cellStyle name="Note 4 2 27" xfId="9681"/>
    <cellStyle name="Note 4 2 27 2" xfId="9682"/>
    <cellStyle name="Note 4 2 27 2 2" xfId="21853"/>
    <cellStyle name="Note 4 2 27 2 2 2" xfId="41921"/>
    <cellStyle name="Note 4 2 27 2 3" xfId="29869"/>
    <cellStyle name="Note 4 2 27 3" xfId="16880"/>
    <cellStyle name="Note 4 2 27 3 2" xfId="36948"/>
    <cellStyle name="Note 4 2 27 4" xfId="29868"/>
    <cellStyle name="Note 4 2 28" xfId="9683"/>
    <cellStyle name="Note 4 2 28 2" xfId="9684"/>
    <cellStyle name="Note 4 2 28 2 2" xfId="21854"/>
    <cellStyle name="Note 4 2 28 2 2 2" xfId="41922"/>
    <cellStyle name="Note 4 2 28 2 3" xfId="29871"/>
    <cellStyle name="Note 4 2 28 3" xfId="16435"/>
    <cellStyle name="Note 4 2 28 3 2" xfId="36503"/>
    <cellStyle name="Note 4 2 28 4" xfId="29870"/>
    <cellStyle name="Note 4 2 29" xfId="9685"/>
    <cellStyle name="Note 4 2 29 2" xfId="9686"/>
    <cellStyle name="Note 4 2 29 2 2" xfId="21855"/>
    <cellStyle name="Note 4 2 29 2 2 2" xfId="41923"/>
    <cellStyle name="Note 4 2 29 2 3" xfId="29873"/>
    <cellStyle name="Note 4 2 29 3" xfId="16031"/>
    <cellStyle name="Note 4 2 29 3 2" xfId="36099"/>
    <cellStyle name="Note 4 2 29 4" xfId="29872"/>
    <cellStyle name="Note 4 2 3" xfId="9687"/>
    <cellStyle name="Note 4 2 3 10" xfId="9688"/>
    <cellStyle name="Note 4 2 3 10 2" xfId="9689"/>
    <cellStyle name="Note 4 2 3 10 2 2" xfId="21857"/>
    <cellStyle name="Note 4 2 3 10 2 2 2" xfId="41925"/>
    <cellStyle name="Note 4 2 3 10 2 3" xfId="29876"/>
    <cellStyle name="Note 4 2 3 10 3" xfId="16465"/>
    <cellStyle name="Note 4 2 3 10 3 2" xfId="36533"/>
    <cellStyle name="Note 4 2 3 10 4" xfId="29875"/>
    <cellStyle name="Note 4 2 3 11" xfId="9690"/>
    <cellStyle name="Note 4 2 3 11 2" xfId="9691"/>
    <cellStyle name="Note 4 2 3 11 2 2" xfId="21858"/>
    <cellStyle name="Note 4 2 3 11 2 2 2" xfId="41926"/>
    <cellStyle name="Note 4 2 3 11 2 3" xfId="29878"/>
    <cellStyle name="Note 4 2 3 11 3" xfId="16658"/>
    <cellStyle name="Note 4 2 3 11 3 2" xfId="36726"/>
    <cellStyle name="Note 4 2 3 11 4" xfId="29877"/>
    <cellStyle name="Note 4 2 3 12" xfId="9692"/>
    <cellStyle name="Note 4 2 3 12 2" xfId="9693"/>
    <cellStyle name="Note 4 2 3 12 2 2" xfId="21859"/>
    <cellStyle name="Note 4 2 3 12 2 2 2" xfId="41927"/>
    <cellStyle name="Note 4 2 3 12 2 3" xfId="29880"/>
    <cellStyle name="Note 4 2 3 12 3" xfId="15566"/>
    <cellStyle name="Note 4 2 3 12 3 2" xfId="35634"/>
    <cellStyle name="Note 4 2 3 12 4" xfId="29879"/>
    <cellStyle name="Note 4 2 3 13" xfId="9694"/>
    <cellStyle name="Note 4 2 3 13 2" xfId="9695"/>
    <cellStyle name="Note 4 2 3 13 2 2" xfId="21860"/>
    <cellStyle name="Note 4 2 3 13 2 2 2" xfId="41928"/>
    <cellStyle name="Note 4 2 3 13 2 3" xfId="29882"/>
    <cellStyle name="Note 4 2 3 13 3" xfId="16328"/>
    <cellStyle name="Note 4 2 3 13 3 2" xfId="36396"/>
    <cellStyle name="Note 4 2 3 13 4" xfId="29881"/>
    <cellStyle name="Note 4 2 3 14" xfId="9696"/>
    <cellStyle name="Note 4 2 3 14 2" xfId="9697"/>
    <cellStyle name="Note 4 2 3 14 2 2" xfId="21861"/>
    <cellStyle name="Note 4 2 3 14 2 2 2" xfId="41929"/>
    <cellStyle name="Note 4 2 3 14 2 3" xfId="29884"/>
    <cellStyle name="Note 4 2 3 14 3" xfId="15434"/>
    <cellStyle name="Note 4 2 3 14 3 2" xfId="35502"/>
    <cellStyle name="Note 4 2 3 14 4" xfId="29883"/>
    <cellStyle name="Note 4 2 3 15" xfId="9698"/>
    <cellStyle name="Note 4 2 3 15 2" xfId="9699"/>
    <cellStyle name="Note 4 2 3 15 2 2" xfId="21862"/>
    <cellStyle name="Note 4 2 3 15 2 2 2" xfId="41930"/>
    <cellStyle name="Note 4 2 3 15 2 3" xfId="29886"/>
    <cellStyle name="Note 4 2 3 15 3" xfId="15644"/>
    <cellStyle name="Note 4 2 3 15 3 2" xfId="35712"/>
    <cellStyle name="Note 4 2 3 15 4" xfId="29885"/>
    <cellStyle name="Note 4 2 3 16" xfId="9700"/>
    <cellStyle name="Note 4 2 3 16 2" xfId="9701"/>
    <cellStyle name="Note 4 2 3 16 2 2" xfId="21863"/>
    <cellStyle name="Note 4 2 3 16 2 2 2" xfId="41931"/>
    <cellStyle name="Note 4 2 3 16 2 3" xfId="29888"/>
    <cellStyle name="Note 4 2 3 16 3" xfId="16906"/>
    <cellStyle name="Note 4 2 3 16 3 2" xfId="36974"/>
    <cellStyle name="Note 4 2 3 16 4" xfId="29887"/>
    <cellStyle name="Note 4 2 3 17" xfId="9702"/>
    <cellStyle name="Note 4 2 3 17 2" xfId="9703"/>
    <cellStyle name="Note 4 2 3 17 2 2" xfId="21864"/>
    <cellStyle name="Note 4 2 3 17 2 2 2" xfId="41932"/>
    <cellStyle name="Note 4 2 3 17 2 3" xfId="29890"/>
    <cellStyle name="Note 4 2 3 17 3" xfId="15466"/>
    <cellStyle name="Note 4 2 3 17 3 2" xfId="35534"/>
    <cellStyle name="Note 4 2 3 17 4" xfId="29889"/>
    <cellStyle name="Note 4 2 3 18" xfId="9704"/>
    <cellStyle name="Note 4 2 3 18 2" xfId="9705"/>
    <cellStyle name="Note 4 2 3 18 2 2" xfId="21865"/>
    <cellStyle name="Note 4 2 3 18 2 2 2" xfId="41933"/>
    <cellStyle name="Note 4 2 3 18 2 3" xfId="29892"/>
    <cellStyle name="Note 4 2 3 18 3" xfId="17707"/>
    <cellStyle name="Note 4 2 3 18 3 2" xfId="37775"/>
    <cellStyle name="Note 4 2 3 18 4" xfId="29891"/>
    <cellStyle name="Note 4 2 3 19" xfId="9706"/>
    <cellStyle name="Note 4 2 3 19 2" xfId="9707"/>
    <cellStyle name="Note 4 2 3 19 2 2" xfId="21866"/>
    <cellStyle name="Note 4 2 3 19 2 2 2" xfId="41934"/>
    <cellStyle name="Note 4 2 3 19 2 3" xfId="29894"/>
    <cellStyle name="Note 4 2 3 19 3" xfId="15817"/>
    <cellStyle name="Note 4 2 3 19 3 2" xfId="35885"/>
    <cellStyle name="Note 4 2 3 19 4" xfId="29893"/>
    <cellStyle name="Note 4 2 3 2" xfId="9708"/>
    <cellStyle name="Note 4 2 3 2 10" xfId="9709"/>
    <cellStyle name="Note 4 2 3 2 10 2" xfId="9710"/>
    <cellStyle name="Note 4 2 3 2 10 2 2" xfId="21868"/>
    <cellStyle name="Note 4 2 3 2 10 2 2 2" xfId="41936"/>
    <cellStyle name="Note 4 2 3 2 10 2 3" xfId="29897"/>
    <cellStyle name="Note 4 2 3 2 10 3" xfId="16965"/>
    <cellStyle name="Note 4 2 3 2 10 3 2" xfId="37033"/>
    <cellStyle name="Note 4 2 3 2 10 4" xfId="29896"/>
    <cellStyle name="Note 4 2 3 2 11" xfId="9711"/>
    <cellStyle name="Note 4 2 3 2 11 2" xfId="9712"/>
    <cellStyle name="Note 4 2 3 2 11 2 2" xfId="21869"/>
    <cellStyle name="Note 4 2 3 2 11 2 2 2" xfId="41937"/>
    <cellStyle name="Note 4 2 3 2 11 2 3" xfId="29899"/>
    <cellStyle name="Note 4 2 3 2 11 3" xfId="17110"/>
    <cellStyle name="Note 4 2 3 2 11 3 2" xfId="37178"/>
    <cellStyle name="Note 4 2 3 2 11 4" xfId="29898"/>
    <cellStyle name="Note 4 2 3 2 12" xfId="9713"/>
    <cellStyle name="Note 4 2 3 2 12 2" xfId="9714"/>
    <cellStyle name="Note 4 2 3 2 12 2 2" xfId="21870"/>
    <cellStyle name="Note 4 2 3 2 12 2 2 2" xfId="41938"/>
    <cellStyle name="Note 4 2 3 2 12 2 3" xfId="29901"/>
    <cellStyle name="Note 4 2 3 2 12 3" xfId="17282"/>
    <cellStyle name="Note 4 2 3 2 12 3 2" xfId="37350"/>
    <cellStyle name="Note 4 2 3 2 12 4" xfId="29900"/>
    <cellStyle name="Note 4 2 3 2 13" xfId="9715"/>
    <cellStyle name="Note 4 2 3 2 13 2" xfId="9716"/>
    <cellStyle name="Note 4 2 3 2 13 2 2" xfId="21871"/>
    <cellStyle name="Note 4 2 3 2 13 2 2 2" xfId="41939"/>
    <cellStyle name="Note 4 2 3 2 13 2 3" xfId="29903"/>
    <cellStyle name="Note 4 2 3 2 13 3" xfId="17446"/>
    <cellStyle name="Note 4 2 3 2 13 3 2" xfId="37514"/>
    <cellStyle name="Note 4 2 3 2 13 4" xfId="29902"/>
    <cellStyle name="Note 4 2 3 2 14" xfId="9717"/>
    <cellStyle name="Note 4 2 3 2 14 2" xfId="9718"/>
    <cellStyle name="Note 4 2 3 2 14 2 2" xfId="21872"/>
    <cellStyle name="Note 4 2 3 2 14 2 2 2" xfId="41940"/>
    <cellStyle name="Note 4 2 3 2 14 2 3" xfId="29905"/>
    <cellStyle name="Note 4 2 3 2 14 3" xfId="17572"/>
    <cellStyle name="Note 4 2 3 2 14 3 2" xfId="37640"/>
    <cellStyle name="Note 4 2 3 2 14 4" xfId="29904"/>
    <cellStyle name="Note 4 2 3 2 15" xfId="9719"/>
    <cellStyle name="Note 4 2 3 2 15 2" xfId="9720"/>
    <cellStyle name="Note 4 2 3 2 15 2 2" xfId="21873"/>
    <cellStyle name="Note 4 2 3 2 15 2 2 2" xfId="41941"/>
    <cellStyle name="Note 4 2 3 2 15 2 3" xfId="29907"/>
    <cellStyle name="Note 4 2 3 2 15 3" xfId="17688"/>
    <cellStyle name="Note 4 2 3 2 15 3 2" xfId="37756"/>
    <cellStyle name="Note 4 2 3 2 15 4" xfId="29906"/>
    <cellStyle name="Note 4 2 3 2 16" xfId="9721"/>
    <cellStyle name="Note 4 2 3 2 16 2" xfId="9722"/>
    <cellStyle name="Note 4 2 3 2 16 2 2" xfId="21874"/>
    <cellStyle name="Note 4 2 3 2 16 2 2 2" xfId="41942"/>
    <cellStyle name="Note 4 2 3 2 16 2 3" xfId="29909"/>
    <cellStyle name="Note 4 2 3 2 16 3" xfId="17822"/>
    <cellStyle name="Note 4 2 3 2 16 3 2" xfId="37890"/>
    <cellStyle name="Note 4 2 3 2 16 4" xfId="29908"/>
    <cellStyle name="Note 4 2 3 2 17" xfId="9723"/>
    <cellStyle name="Note 4 2 3 2 17 2" xfId="9724"/>
    <cellStyle name="Note 4 2 3 2 17 2 2" xfId="21875"/>
    <cellStyle name="Note 4 2 3 2 17 2 2 2" xfId="41943"/>
    <cellStyle name="Note 4 2 3 2 17 2 3" xfId="29911"/>
    <cellStyle name="Note 4 2 3 2 17 3" xfId="17960"/>
    <cellStyle name="Note 4 2 3 2 17 3 2" xfId="38028"/>
    <cellStyle name="Note 4 2 3 2 17 4" xfId="29910"/>
    <cellStyle name="Note 4 2 3 2 18" xfId="9725"/>
    <cellStyle name="Note 4 2 3 2 18 2" xfId="9726"/>
    <cellStyle name="Note 4 2 3 2 18 2 2" xfId="21876"/>
    <cellStyle name="Note 4 2 3 2 18 2 2 2" xfId="41944"/>
    <cellStyle name="Note 4 2 3 2 18 2 3" xfId="29913"/>
    <cellStyle name="Note 4 2 3 2 18 3" xfId="18099"/>
    <cellStyle name="Note 4 2 3 2 18 3 2" xfId="38167"/>
    <cellStyle name="Note 4 2 3 2 18 4" xfId="29912"/>
    <cellStyle name="Note 4 2 3 2 19" xfId="9727"/>
    <cellStyle name="Note 4 2 3 2 19 2" xfId="9728"/>
    <cellStyle name="Note 4 2 3 2 19 2 2" xfId="21877"/>
    <cellStyle name="Note 4 2 3 2 19 2 2 2" xfId="41945"/>
    <cellStyle name="Note 4 2 3 2 19 2 3" xfId="29915"/>
    <cellStyle name="Note 4 2 3 2 19 3" xfId="18217"/>
    <cellStyle name="Note 4 2 3 2 19 3 2" xfId="38285"/>
    <cellStyle name="Note 4 2 3 2 19 4" xfId="29914"/>
    <cellStyle name="Note 4 2 3 2 2" xfId="9729"/>
    <cellStyle name="Note 4 2 3 2 2 2" xfId="9730"/>
    <cellStyle name="Note 4 2 3 2 2 2 2" xfId="21878"/>
    <cellStyle name="Note 4 2 3 2 2 2 2 2" xfId="41946"/>
    <cellStyle name="Note 4 2 3 2 2 2 3" xfId="29917"/>
    <cellStyle name="Note 4 2 3 2 2 3" xfId="14685"/>
    <cellStyle name="Note 4 2 3 2 2 3 2" xfId="34753"/>
    <cellStyle name="Note 4 2 3 2 2 4" xfId="29916"/>
    <cellStyle name="Note 4 2 3 2 20" xfId="9731"/>
    <cellStyle name="Note 4 2 3 2 20 2" xfId="9732"/>
    <cellStyle name="Note 4 2 3 2 20 2 2" xfId="21879"/>
    <cellStyle name="Note 4 2 3 2 20 2 2 2" xfId="41947"/>
    <cellStyle name="Note 4 2 3 2 20 2 3" xfId="29919"/>
    <cellStyle name="Note 4 2 3 2 20 3" xfId="15536"/>
    <cellStyle name="Note 4 2 3 2 20 3 2" xfId="35604"/>
    <cellStyle name="Note 4 2 3 2 20 4" xfId="29918"/>
    <cellStyle name="Note 4 2 3 2 21" xfId="9733"/>
    <cellStyle name="Note 4 2 3 2 21 2" xfId="9734"/>
    <cellStyle name="Note 4 2 3 2 21 2 2" xfId="21880"/>
    <cellStyle name="Note 4 2 3 2 21 2 2 2" xfId="41948"/>
    <cellStyle name="Note 4 2 3 2 21 2 3" xfId="29921"/>
    <cellStyle name="Note 4 2 3 2 21 3" xfId="18422"/>
    <cellStyle name="Note 4 2 3 2 21 3 2" xfId="38490"/>
    <cellStyle name="Note 4 2 3 2 21 4" xfId="29920"/>
    <cellStyle name="Note 4 2 3 2 22" xfId="9735"/>
    <cellStyle name="Note 4 2 3 2 22 2" xfId="9736"/>
    <cellStyle name="Note 4 2 3 2 22 2 2" xfId="21881"/>
    <cellStyle name="Note 4 2 3 2 22 2 2 2" xfId="41949"/>
    <cellStyle name="Note 4 2 3 2 22 2 3" xfId="29923"/>
    <cellStyle name="Note 4 2 3 2 22 3" xfId="18555"/>
    <cellStyle name="Note 4 2 3 2 22 3 2" xfId="38623"/>
    <cellStyle name="Note 4 2 3 2 22 4" xfId="29922"/>
    <cellStyle name="Note 4 2 3 2 23" xfId="9737"/>
    <cellStyle name="Note 4 2 3 2 23 2" xfId="9738"/>
    <cellStyle name="Note 4 2 3 2 23 2 2" xfId="21882"/>
    <cellStyle name="Note 4 2 3 2 23 2 2 2" xfId="41950"/>
    <cellStyle name="Note 4 2 3 2 23 2 3" xfId="29925"/>
    <cellStyle name="Note 4 2 3 2 23 3" xfId="18666"/>
    <cellStyle name="Note 4 2 3 2 23 3 2" xfId="38734"/>
    <cellStyle name="Note 4 2 3 2 23 4" xfId="29924"/>
    <cellStyle name="Note 4 2 3 2 24" xfId="9739"/>
    <cellStyle name="Note 4 2 3 2 24 2" xfId="9740"/>
    <cellStyle name="Note 4 2 3 2 24 2 2" xfId="21883"/>
    <cellStyle name="Note 4 2 3 2 24 2 2 2" xfId="41951"/>
    <cellStyle name="Note 4 2 3 2 24 2 3" xfId="29927"/>
    <cellStyle name="Note 4 2 3 2 24 3" xfId="18766"/>
    <cellStyle name="Note 4 2 3 2 24 3 2" xfId="38834"/>
    <cellStyle name="Note 4 2 3 2 24 4" xfId="29926"/>
    <cellStyle name="Note 4 2 3 2 25" xfId="9741"/>
    <cellStyle name="Note 4 2 3 2 25 2" xfId="9742"/>
    <cellStyle name="Note 4 2 3 2 25 2 2" xfId="21884"/>
    <cellStyle name="Note 4 2 3 2 25 2 2 2" xfId="41952"/>
    <cellStyle name="Note 4 2 3 2 25 2 3" xfId="29929"/>
    <cellStyle name="Note 4 2 3 2 25 3" xfId="18866"/>
    <cellStyle name="Note 4 2 3 2 25 3 2" xfId="38934"/>
    <cellStyle name="Note 4 2 3 2 25 4" xfId="29928"/>
    <cellStyle name="Note 4 2 3 2 26" xfId="9743"/>
    <cellStyle name="Note 4 2 3 2 26 2" xfId="21867"/>
    <cellStyle name="Note 4 2 3 2 26 2 2" xfId="41935"/>
    <cellStyle name="Note 4 2 3 2 26 3" xfId="29930"/>
    <cellStyle name="Note 4 2 3 2 27" xfId="14006"/>
    <cellStyle name="Note 4 2 3 2 27 2" xfId="34074"/>
    <cellStyle name="Note 4 2 3 2 28" xfId="29895"/>
    <cellStyle name="Note 4 2 3 2 3" xfId="9744"/>
    <cellStyle name="Note 4 2 3 2 3 2" xfId="9745"/>
    <cellStyle name="Note 4 2 3 2 3 2 2" xfId="21885"/>
    <cellStyle name="Note 4 2 3 2 3 2 2 2" xfId="41953"/>
    <cellStyle name="Note 4 2 3 2 3 2 3" xfId="29932"/>
    <cellStyle name="Note 4 2 3 2 3 3" xfId="14809"/>
    <cellStyle name="Note 4 2 3 2 3 3 2" xfId="34877"/>
    <cellStyle name="Note 4 2 3 2 3 4" xfId="29931"/>
    <cellStyle name="Note 4 2 3 2 4" xfId="9746"/>
    <cellStyle name="Note 4 2 3 2 4 2" xfId="9747"/>
    <cellStyle name="Note 4 2 3 2 4 2 2" xfId="21886"/>
    <cellStyle name="Note 4 2 3 2 4 2 2 2" xfId="41954"/>
    <cellStyle name="Note 4 2 3 2 4 2 3" xfId="29934"/>
    <cellStyle name="Note 4 2 3 2 4 3" xfId="14934"/>
    <cellStyle name="Note 4 2 3 2 4 3 2" xfId="35002"/>
    <cellStyle name="Note 4 2 3 2 4 4" xfId="29933"/>
    <cellStyle name="Note 4 2 3 2 5" xfId="9748"/>
    <cellStyle name="Note 4 2 3 2 5 2" xfId="9749"/>
    <cellStyle name="Note 4 2 3 2 5 2 2" xfId="21887"/>
    <cellStyle name="Note 4 2 3 2 5 2 2 2" xfId="41955"/>
    <cellStyle name="Note 4 2 3 2 5 2 3" xfId="29936"/>
    <cellStyle name="Note 4 2 3 2 5 3" xfId="15103"/>
    <cellStyle name="Note 4 2 3 2 5 3 2" xfId="35171"/>
    <cellStyle name="Note 4 2 3 2 5 4" xfId="29935"/>
    <cellStyle name="Note 4 2 3 2 6" xfId="9750"/>
    <cellStyle name="Note 4 2 3 2 6 2" xfId="9751"/>
    <cellStyle name="Note 4 2 3 2 6 2 2" xfId="21888"/>
    <cellStyle name="Note 4 2 3 2 6 2 2 2" xfId="41956"/>
    <cellStyle name="Note 4 2 3 2 6 2 3" xfId="29938"/>
    <cellStyle name="Note 4 2 3 2 6 3" xfId="14531"/>
    <cellStyle name="Note 4 2 3 2 6 3 2" xfId="34599"/>
    <cellStyle name="Note 4 2 3 2 6 4" xfId="29937"/>
    <cellStyle name="Note 4 2 3 2 7" xfId="9752"/>
    <cellStyle name="Note 4 2 3 2 7 2" xfId="9753"/>
    <cellStyle name="Note 4 2 3 2 7 2 2" xfId="21889"/>
    <cellStyle name="Note 4 2 3 2 7 2 2 2" xfId="41957"/>
    <cellStyle name="Note 4 2 3 2 7 2 3" xfId="29940"/>
    <cellStyle name="Note 4 2 3 2 7 3" xfId="15235"/>
    <cellStyle name="Note 4 2 3 2 7 3 2" xfId="35303"/>
    <cellStyle name="Note 4 2 3 2 7 4" xfId="29939"/>
    <cellStyle name="Note 4 2 3 2 8" xfId="9754"/>
    <cellStyle name="Note 4 2 3 2 8 2" xfId="9755"/>
    <cellStyle name="Note 4 2 3 2 8 2 2" xfId="21890"/>
    <cellStyle name="Note 4 2 3 2 8 2 2 2" xfId="41958"/>
    <cellStyle name="Note 4 2 3 2 8 2 3" xfId="29942"/>
    <cellStyle name="Note 4 2 3 2 8 3" xfId="16600"/>
    <cellStyle name="Note 4 2 3 2 8 3 2" xfId="36668"/>
    <cellStyle name="Note 4 2 3 2 8 4" xfId="29941"/>
    <cellStyle name="Note 4 2 3 2 9" xfId="9756"/>
    <cellStyle name="Note 4 2 3 2 9 2" xfId="9757"/>
    <cellStyle name="Note 4 2 3 2 9 2 2" xfId="21891"/>
    <cellStyle name="Note 4 2 3 2 9 2 2 2" xfId="41959"/>
    <cellStyle name="Note 4 2 3 2 9 2 3" xfId="29944"/>
    <cellStyle name="Note 4 2 3 2 9 3" xfId="16804"/>
    <cellStyle name="Note 4 2 3 2 9 3 2" xfId="36872"/>
    <cellStyle name="Note 4 2 3 2 9 4" xfId="29943"/>
    <cellStyle name="Note 4 2 3 20" xfId="9758"/>
    <cellStyle name="Note 4 2 3 20 2" xfId="9759"/>
    <cellStyle name="Note 4 2 3 20 2 2" xfId="21892"/>
    <cellStyle name="Note 4 2 3 20 2 2 2" xfId="41960"/>
    <cellStyle name="Note 4 2 3 20 2 3" xfId="29946"/>
    <cellStyle name="Note 4 2 3 20 3" xfId="16109"/>
    <cellStyle name="Note 4 2 3 20 3 2" xfId="36177"/>
    <cellStyle name="Note 4 2 3 20 4" xfId="29945"/>
    <cellStyle name="Note 4 2 3 21" xfId="9760"/>
    <cellStyle name="Note 4 2 3 21 2" xfId="9761"/>
    <cellStyle name="Note 4 2 3 21 2 2" xfId="21893"/>
    <cellStyle name="Note 4 2 3 21 2 2 2" xfId="41961"/>
    <cellStyle name="Note 4 2 3 21 2 3" xfId="29948"/>
    <cellStyle name="Note 4 2 3 21 3" xfId="15920"/>
    <cellStyle name="Note 4 2 3 21 3 2" xfId="35988"/>
    <cellStyle name="Note 4 2 3 21 4" xfId="29947"/>
    <cellStyle name="Note 4 2 3 22" xfId="9762"/>
    <cellStyle name="Note 4 2 3 22 2" xfId="9763"/>
    <cellStyle name="Note 4 2 3 22 2 2" xfId="21894"/>
    <cellStyle name="Note 4 2 3 22 2 2 2" xfId="41962"/>
    <cellStyle name="Note 4 2 3 22 2 3" xfId="29950"/>
    <cellStyle name="Note 4 2 3 22 3" xfId="18255"/>
    <cellStyle name="Note 4 2 3 22 3 2" xfId="38323"/>
    <cellStyle name="Note 4 2 3 22 4" xfId="29949"/>
    <cellStyle name="Note 4 2 3 23" xfId="9764"/>
    <cellStyle name="Note 4 2 3 23 2" xfId="9765"/>
    <cellStyle name="Note 4 2 3 23 2 2" xfId="21895"/>
    <cellStyle name="Note 4 2 3 23 2 2 2" xfId="41963"/>
    <cellStyle name="Note 4 2 3 23 2 3" xfId="29952"/>
    <cellStyle name="Note 4 2 3 23 3" xfId="15840"/>
    <cellStyle name="Note 4 2 3 23 3 2" xfId="35908"/>
    <cellStyle name="Note 4 2 3 23 4" xfId="29951"/>
    <cellStyle name="Note 4 2 3 24" xfId="9766"/>
    <cellStyle name="Note 4 2 3 24 2" xfId="9767"/>
    <cellStyle name="Note 4 2 3 24 2 2" xfId="21896"/>
    <cellStyle name="Note 4 2 3 24 2 2 2" xfId="41964"/>
    <cellStyle name="Note 4 2 3 24 2 3" xfId="29954"/>
    <cellStyle name="Note 4 2 3 24 3" xfId="15457"/>
    <cellStyle name="Note 4 2 3 24 3 2" xfId="35525"/>
    <cellStyle name="Note 4 2 3 24 4" xfId="29953"/>
    <cellStyle name="Note 4 2 3 25" xfId="9768"/>
    <cellStyle name="Note 4 2 3 25 2" xfId="9769"/>
    <cellStyle name="Note 4 2 3 25 2 2" xfId="21897"/>
    <cellStyle name="Note 4 2 3 25 2 2 2" xfId="41965"/>
    <cellStyle name="Note 4 2 3 25 2 3" xfId="29956"/>
    <cellStyle name="Note 4 2 3 25 3" xfId="16839"/>
    <cellStyle name="Note 4 2 3 25 3 2" xfId="36907"/>
    <cellStyle name="Note 4 2 3 25 4" xfId="29955"/>
    <cellStyle name="Note 4 2 3 26" xfId="9770"/>
    <cellStyle name="Note 4 2 3 26 2" xfId="9771"/>
    <cellStyle name="Note 4 2 3 26 2 2" xfId="21898"/>
    <cellStyle name="Note 4 2 3 26 2 2 2" xfId="41966"/>
    <cellStyle name="Note 4 2 3 26 2 3" xfId="29958"/>
    <cellStyle name="Note 4 2 3 26 3" xfId="17011"/>
    <cellStyle name="Note 4 2 3 26 3 2" xfId="37079"/>
    <cellStyle name="Note 4 2 3 26 4" xfId="29957"/>
    <cellStyle name="Note 4 2 3 27" xfId="9772"/>
    <cellStyle name="Note 4 2 3 27 2" xfId="9773"/>
    <cellStyle name="Note 4 2 3 27 2 2" xfId="21899"/>
    <cellStyle name="Note 4 2 3 27 2 2 2" xfId="41967"/>
    <cellStyle name="Note 4 2 3 27 2 3" xfId="29960"/>
    <cellStyle name="Note 4 2 3 27 3" xfId="16032"/>
    <cellStyle name="Note 4 2 3 27 3 2" xfId="36100"/>
    <cellStyle name="Note 4 2 3 27 4" xfId="29959"/>
    <cellStyle name="Note 4 2 3 28" xfId="9774"/>
    <cellStyle name="Note 4 2 3 28 2" xfId="21856"/>
    <cellStyle name="Note 4 2 3 28 2 2" xfId="41924"/>
    <cellStyle name="Note 4 2 3 28 3" xfId="29961"/>
    <cellStyle name="Note 4 2 3 29" xfId="13916"/>
    <cellStyle name="Note 4 2 3 29 2" xfId="33984"/>
    <cellStyle name="Note 4 2 3 3" xfId="9775"/>
    <cellStyle name="Note 4 2 3 3 2" xfId="9776"/>
    <cellStyle name="Note 4 2 3 3 2 2" xfId="21900"/>
    <cellStyle name="Note 4 2 3 3 2 2 2" xfId="41968"/>
    <cellStyle name="Note 4 2 3 3 2 3" xfId="29963"/>
    <cellStyle name="Note 4 2 3 3 3" xfId="14036"/>
    <cellStyle name="Note 4 2 3 3 3 2" xfId="34104"/>
    <cellStyle name="Note 4 2 3 3 4" xfId="29962"/>
    <cellStyle name="Note 4 2 3 30" xfId="29874"/>
    <cellStyle name="Note 4 2 3 4" xfId="9777"/>
    <cellStyle name="Note 4 2 3 4 2" xfId="9778"/>
    <cellStyle name="Note 4 2 3 4 2 2" xfId="21901"/>
    <cellStyle name="Note 4 2 3 4 2 2 2" xfId="41969"/>
    <cellStyle name="Note 4 2 3 4 2 3" xfId="29965"/>
    <cellStyle name="Note 4 2 3 4 3" xfId="14218"/>
    <cellStyle name="Note 4 2 3 4 3 2" xfId="34286"/>
    <cellStyle name="Note 4 2 3 4 4" xfId="29964"/>
    <cellStyle name="Note 4 2 3 5" xfId="9779"/>
    <cellStyle name="Note 4 2 3 5 2" xfId="9780"/>
    <cellStyle name="Note 4 2 3 5 2 2" xfId="21902"/>
    <cellStyle name="Note 4 2 3 5 2 2 2" xfId="41970"/>
    <cellStyle name="Note 4 2 3 5 2 3" xfId="29967"/>
    <cellStyle name="Note 4 2 3 5 3" xfId="14275"/>
    <cellStyle name="Note 4 2 3 5 3 2" xfId="34343"/>
    <cellStyle name="Note 4 2 3 5 4" xfId="29966"/>
    <cellStyle name="Note 4 2 3 6" xfId="9781"/>
    <cellStyle name="Note 4 2 3 6 2" xfId="9782"/>
    <cellStyle name="Note 4 2 3 6 2 2" xfId="21903"/>
    <cellStyle name="Note 4 2 3 6 2 2 2" xfId="41971"/>
    <cellStyle name="Note 4 2 3 6 2 3" xfId="29969"/>
    <cellStyle name="Note 4 2 3 6 3" xfId="14969"/>
    <cellStyle name="Note 4 2 3 6 3 2" xfId="35037"/>
    <cellStyle name="Note 4 2 3 6 4" xfId="29968"/>
    <cellStyle name="Note 4 2 3 7" xfId="9783"/>
    <cellStyle name="Note 4 2 3 7 2" xfId="9784"/>
    <cellStyle name="Note 4 2 3 7 2 2" xfId="21904"/>
    <cellStyle name="Note 4 2 3 7 2 2 2" xfId="41972"/>
    <cellStyle name="Note 4 2 3 7 2 3" xfId="29971"/>
    <cellStyle name="Note 4 2 3 7 3" xfId="14720"/>
    <cellStyle name="Note 4 2 3 7 3 2" xfId="34788"/>
    <cellStyle name="Note 4 2 3 7 4" xfId="29970"/>
    <cellStyle name="Note 4 2 3 8" xfId="9785"/>
    <cellStyle name="Note 4 2 3 8 2" xfId="9786"/>
    <cellStyle name="Note 4 2 3 8 2 2" xfId="21905"/>
    <cellStyle name="Note 4 2 3 8 2 2 2" xfId="41973"/>
    <cellStyle name="Note 4 2 3 8 2 3" xfId="29973"/>
    <cellStyle name="Note 4 2 3 8 3" xfId="15141"/>
    <cellStyle name="Note 4 2 3 8 3 2" xfId="35209"/>
    <cellStyle name="Note 4 2 3 8 4" xfId="29972"/>
    <cellStyle name="Note 4 2 3 9" xfId="9787"/>
    <cellStyle name="Note 4 2 3 9 2" xfId="9788"/>
    <cellStyle name="Note 4 2 3 9 2 2" xfId="21906"/>
    <cellStyle name="Note 4 2 3 9 2 2 2" xfId="41974"/>
    <cellStyle name="Note 4 2 3 9 2 3" xfId="29975"/>
    <cellStyle name="Note 4 2 3 9 3" xfId="15322"/>
    <cellStyle name="Note 4 2 3 9 3 2" xfId="35390"/>
    <cellStyle name="Note 4 2 3 9 4" xfId="29974"/>
    <cellStyle name="Note 4 2 30" xfId="9789"/>
    <cellStyle name="Note 4 2 30 2" xfId="21784"/>
    <cellStyle name="Note 4 2 30 2 2" xfId="41852"/>
    <cellStyle name="Note 4 2 30 3" xfId="29976"/>
    <cellStyle name="Note 4 2 31" xfId="13914"/>
    <cellStyle name="Note 4 2 31 2" xfId="33982"/>
    <cellStyle name="Note 4 2 32" xfId="29731"/>
    <cellStyle name="Note 4 2 4" xfId="9790"/>
    <cellStyle name="Note 4 2 4 10" xfId="9791"/>
    <cellStyle name="Note 4 2 4 10 2" xfId="9792"/>
    <cellStyle name="Note 4 2 4 10 2 2" xfId="21908"/>
    <cellStyle name="Note 4 2 4 10 2 2 2" xfId="41976"/>
    <cellStyle name="Note 4 2 4 10 2 3" xfId="29979"/>
    <cellStyle name="Note 4 2 4 10 3" xfId="16963"/>
    <cellStyle name="Note 4 2 4 10 3 2" xfId="37031"/>
    <cellStyle name="Note 4 2 4 10 4" xfId="29978"/>
    <cellStyle name="Note 4 2 4 11" xfId="9793"/>
    <cellStyle name="Note 4 2 4 11 2" xfId="9794"/>
    <cellStyle name="Note 4 2 4 11 2 2" xfId="21909"/>
    <cellStyle name="Note 4 2 4 11 2 2 2" xfId="41977"/>
    <cellStyle name="Note 4 2 4 11 2 3" xfId="29981"/>
    <cellStyle name="Note 4 2 4 11 3" xfId="17108"/>
    <cellStyle name="Note 4 2 4 11 3 2" xfId="37176"/>
    <cellStyle name="Note 4 2 4 11 4" xfId="29980"/>
    <cellStyle name="Note 4 2 4 12" xfId="9795"/>
    <cellStyle name="Note 4 2 4 12 2" xfId="9796"/>
    <cellStyle name="Note 4 2 4 12 2 2" xfId="21910"/>
    <cellStyle name="Note 4 2 4 12 2 2 2" xfId="41978"/>
    <cellStyle name="Note 4 2 4 12 2 3" xfId="29983"/>
    <cellStyle name="Note 4 2 4 12 3" xfId="17280"/>
    <cellStyle name="Note 4 2 4 12 3 2" xfId="37348"/>
    <cellStyle name="Note 4 2 4 12 4" xfId="29982"/>
    <cellStyle name="Note 4 2 4 13" xfId="9797"/>
    <cellStyle name="Note 4 2 4 13 2" xfId="9798"/>
    <cellStyle name="Note 4 2 4 13 2 2" xfId="21911"/>
    <cellStyle name="Note 4 2 4 13 2 2 2" xfId="41979"/>
    <cellStyle name="Note 4 2 4 13 2 3" xfId="29985"/>
    <cellStyle name="Note 4 2 4 13 3" xfId="17444"/>
    <cellStyle name="Note 4 2 4 13 3 2" xfId="37512"/>
    <cellStyle name="Note 4 2 4 13 4" xfId="29984"/>
    <cellStyle name="Note 4 2 4 14" xfId="9799"/>
    <cellStyle name="Note 4 2 4 14 2" xfId="9800"/>
    <cellStyle name="Note 4 2 4 14 2 2" xfId="21912"/>
    <cellStyle name="Note 4 2 4 14 2 2 2" xfId="41980"/>
    <cellStyle name="Note 4 2 4 14 2 3" xfId="29987"/>
    <cellStyle name="Note 4 2 4 14 3" xfId="17570"/>
    <cellStyle name="Note 4 2 4 14 3 2" xfId="37638"/>
    <cellStyle name="Note 4 2 4 14 4" xfId="29986"/>
    <cellStyle name="Note 4 2 4 15" xfId="9801"/>
    <cellStyle name="Note 4 2 4 15 2" xfId="9802"/>
    <cellStyle name="Note 4 2 4 15 2 2" xfId="21913"/>
    <cellStyle name="Note 4 2 4 15 2 2 2" xfId="41981"/>
    <cellStyle name="Note 4 2 4 15 2 3" xfId="29989"/>
    <cellStyle name="Note 4 2 4 15 3" xfId="15916"/>
    <cellStyle name="Note 4 2 4 15 3 2" xfId="35984"/>
    <cellStyle name="Note 4 2 4 15 4" xfId="29988"/>
    <cellStyle name="Note 4 2 4 16" xfId="9803"/>
    <cellStyle name="Note 4 2 4 16 2" xfId="9804"/>
    <cellStyle name="Note 4 2 4 16 2 2" xfId="21914"/>
    <cellStyle name="Note 4 2 4 16 2 2 2" xfId="41982"/>
    <cellStyle name="Note 4 2 4 16 2 3" xfId="29991"/>
    <cellStyle name="Note 4 2 4 16 3" xfId="17820"/>
    <cellStyle name="Note 4 2 4 16 3 2" xfId="37888"/>
    <cellStyle name="Note 4 2 4 16 4" xfId="29990"/>
    <cellStyle name="Note 4 2 4 17" xfId="9805"/>
    <cellStyle name="Note 4 2 4 17 2" xfId="9806"/>
    <cellStyle name="Note 4 2 4 17 2 2" xfId="21915"/>
    <cellStyle name="Note 4 2 4 17 2 2 2" xfId="41983"/>
    <cellStyle name="Note 4 2 4 17 2 3" xfId="29993"/>
    <cellStyle name="Note 4 2 4 17 3" xfId="17958"/>
    <cellStyle name="Note 4 2 4 17 3 2" xfId="38026"/>
    <cellStyle name="Note 4 2 4 17 4" xfId="29992"/>
    <cellStyle name="Note 4 2 4 18" xfId="9807"/>
    <cellStyle name="Note 4 2 4 18 2" xfId="9808"/>
    <cellStyle name="Note 4 2 4 18 2 2" xfId="21916"/>
    <cellStyle name="Note 4 2 4 18 2 2 2" xfId="41984"/>
    <cellStyle name="Note 4 2 4 18 2 3" xfId="29995"/>
    <cellStyle name="Note 4 2 4 18 3" xfId="18097"/>
    <cellStyle name="Note 4 2 4 18 3 2" xfId="38165"/>
    <cellStyle name="Note 4 2 4 18 4" xfId="29994"/>
    <cellStyle name="Note 4 2 4 19" xfId="9809"/>
    <cellStyle name="Note 4 2 4 19 2" xfId="9810"/>
    <cellStyle name="Note 4 2 4 19 2 2" xfId="21917"/>
    <cellStyle name="Note 4 2 4 19 2 2 2" xfId="41985"/>
    <cellStyle name="Note 4 2 4 19 2 3" xfId="29997"/>
    <cellStyle name="Note 4 2 4 19 3" xfId="18215"/>
    <cellStyle name="Note 4 2 4 19 3 2" xfId="38283"/>
    <cellStyle name="Note 4 2 4 19 4" xfId="29996"/>
    <cellStyle name="Note 4 2 4 2" xfId="9811"/>
    <cellStyle name="Note 4 2 4 2 2" xfId="9812"/>
    <cellStyle name="Note 4 2 4 2 2 2" xfId="21918"/>
    <cellStyle name="Note 4 2 4 2 2 2 2" xfId="41986"/>
    <cellStyle name="Note 4 2 4 2 2 3" xfId="29999"/>
    <cellStyle name="Note 4 2 4 2 3" xfId="14683"/>
    <cellStyle name="Note 4 2 4 2 3 2" xfId="34751"/>
    <cellStyle name="Note 4 2 4 2 4" xfId="29998"/>
    <cellStyle name="Note 4 2 4 20" xfId="9813"/>
    <cellStyle name="Note 4 2 4 20 2" xfId="9814"/>
    <cellStyle name="Note 4 2 4 20 2 2" xfId="21919"/>
    <cellStyle name="Note 4 2 4 20 2 2 2" xfId="41987"/>
    <cellStyle name="Note 4 2 4 20 2 3" xfId="30001"/>
    <cellStyle name="Note 4 2 4 20 3" xfId="15456"/>
    <cellStyle name="Note 4 2 4 20 3 2" xfId="35524"/>
    <cellStyle name="Note 4 2 4 20 4" xfId="30000"/>
    <cellStyle name="Note 4 2 4 21" xfId="9815"/>
    <cellStyle name="Note 4 2 4 21 2" xfId="9816"/>
    <cellStyle name="Note 4 2 4 21 2 2" xfId="21920"/>
    <cellStyle name="Note 4 2 4 21 2 2 2" xfId="41988"/>
    <cellStyle name="Note 4 2 4 21 2 3" xfId="30003"/>
    <cellStyle name="Note 4 2 4 21 3" xfId="18420"/>
    <cellStyle name="Note 4 2 4 21 3 2" xfId="38488"/>
    <cellStyle name="Note 4 2 4 21 4" xfId="30002"/>
    <cellStyle name="Note 4 2 4 22" xfId="9817"/>
    <cellStyle name="Note 4 2 4 22 2" xfId="9818"/>
    <cellStyle name="Note 4 2 4 22 2 2" xfId="21921"/>
    <cellStyle name="Note 4 2 4 22 2 2 2" xfId="41989"/>
    <cellStyle name="Note 4 2 4 22 2 3" xfId="30005"/>
    <cellStyle name="Note 4 2 4 22 3" xfId="18553"/>
    <cellStyle name="Note 4 2 4 22 3 2" xfId="38621"/>
    <cellStyle name="Note 4 2 4 22 4" xfId="30004"/>
    <cellStyle name="Note 4 2 4 23" xfId="9819"/>
    <cellStyle name="Note 4 2 4 23 2" xfId="9820"/>
    <cellStyle name="Note 4 2 4 23 2 2" xfId="21922"/>
    <cellStyle name="Note 4 2 4 23 2 2 2" xfId="41990"/>
    <cellStyle name="Note 4 2 4 23 2 3" xfId="30007"/>
    <cellStyle name="Note 4 2 4 23 3" xfId="18664"/>
    <cellStyle name="Note 4 2 4 23 3 2" xfId="38732"/>
    <cellStyle name="Note 4 2 4 23 4" xfId="30006"/>
    <cellStyle name="Note 4 2 4 24" xfId="9821"/>
    <cellStyle name="Note 4 2 4 24 2" xfId="9822"/>
    <cellStyle name="Note 4 2 4 24 2 2" xfId="21923"/>
    <cellStyle name="Note 4 2 4 24 2 2 2" xfId="41991"/>
    <cellStyle name="Note 4 2 4 24 2 3" xfId="30009"/>
    <cellStyle name="Note 4 2 4 24 3" xfId="18764"/>
    <cellStyle name="Note 4 2 4 24 3 2" xfId="38832"/>
    <cellStyle name="Note 4 2 4 24 4" xfId="30008"/>
    <cellStyle name="Note 4 2 4 25" xfId="9823"/>
    <cellStyle name="Note 4 2 4 25 2" xfId="9824"/>
    <cellStyle name="Note 4 2 4 25 2 2" xfId="21924"/>
    <cellStyle name="Note 4 2 4 25 2 2 2" xfId="41992"/>
    <cellStyle name="Note 4 2 4 25 2 3" xfId="30011"/>
    <cellStyle name="Note 4 2 4 25 3" xfId="18864"/>
    <cellStyle name="Note 4 2 4 25 3 2" xfId="38932"/>
    <cellStyle name="Note 4 2 4 25 4" xfId="30010"/>
    <cellStyle name="Note 4 2 4 26" xfId="9825"/>
    <cellStyle name="Note 4 2 4 26 2" xfId="21907"/>
    <cellStyle name="Note 4 2 4 26 2 2" xfId="41975"/>
    <cellStyle name="Note 4 2 4 26 3" xfId="30012"/>
    <cellStyle name="Note 4 2 4 27" xfId="14172"/>
    <cellStyle name="Note 4 2 4 27 2" xfId="34240"/>
    <cellStyle name="Note 4 2 4 28" xfId="29977"/>
    <cellStyle name="Note 4 2 4 3" xfId="9826"/>
    <cellStyle name="Note 4 2 4 3 2" xfId="9827"/>
    <cellStyle name="Note 4 2 4 3 2 2" xfId="21925"/>
    <cellStyle name="Note 4 2 4 3 2 2 2" xfId="41993"/>
    <cellStyle name="Note 4 2 4 3 2 3" xfId="30014"/>
    <cellStyle name="Note 4 2 4 3 3" xfId="14807"/>
    <cellStyle name="Note 4 2 4 3 3 2" xfId="34875"/>
    <cellStyle name="Note 4 2 4 3 4" xfId="30013"/>
    <cellStyle name="Note 4 2 4 4" xfId="9828"/>
    <cellStyle name="Note 4 2 4 4 2" xfId="9829"/>
    <cellStyle name="Note 4 2 4 4 2 2" xfId="21926"/>
    <cellStyle name="Note 4 2 4 4 2 2 2" xfId="41994"/>
    <cellStyle name="Note 4 2 4 4 2 3" xfId="30016"/>
    <cellStyle name="Note 4 2 4 4 3" xfId="14932"/>
    <cellStyle name="Note 4 2 4 4 3 2" xfId="35000"/>
    <cellStyle name="Note 4 2 4 4 4" xfId="30015"/>
    <cellStyle name="Note 4 2 4 5" xfId="9830"/>
    <cellStyle name="Note 4 2 4 5 2" xfId="9831"/>
    <cellStyle name="Note 4 2 4 5 2 2" xfId="21927"/>
    <cellStyle name="Note 4 2 4 5 2 2 2" xfId="41995"/>
    <cellStyle name="Note 4 2 4 5 2 3" xfId="30018"/>
    <cellStyle name="Note 4 2 4 5 3" xfId="15101"/>
    <cellStyle name="Note 4 2 4 5 3 2" xfId="35169"/>
    <cellStyle name="Note 4 2 4 5 4" xfId="30017"/>
    <cellStyle name="Note 4 2 4 6" xfId="9832"/>
    <cellStyle name="Note 4 2 4 6 2" xfId="9833"/>
    <cellStyle name="Note 4 2 4 6 2 2" xfId="21928"/>
    <cellStyle name="Note 4 2 4 6 2 2 2" xfId="41996"/>
    <cellStyle name="Note 4 2 4 6 2 3" xfId="30020"/>
    <cellStyle name="Note 4 2 4 6 3" xfId="14010"/>
    <cellStyle name="Note 4 2 4 6 3 2" xfId="34078"/>
    <cellStyle name="Note 4 2 4 6 4" xfId="30019"/>
    <cellStyle name="Note 4 2 4 7" xfId="9834"/>
    <cellStyle name="Note 4 2 4 7 2" xfId="9835"/>
    <cellStyle name="Note 4 2 4 7 2 2" xfId="21929"/>
    <cellStyle name="Note 4 2 4 7 2 2 2" xfId="41997"/>
    <cellStyle name="Note 4 2 4 7 2 3" xfId="30022"/>
    <cellStyle name="Note 4 2 4 7 3" xfId="15233"/>
    <cellStyle name="Note 4 2 4 7 3 2" xfId="35301"/>
    <cellStyle name="Note 4 2 4 7 4" xfId="30021"/>
    <cellStyle name="Note 4 2 4 8" xfId="9836"/>
    <cellStyle name="Note 4 2 4 8 2" xfId="9837"/>
    <cellStyle name="Note 4 2 4 8 2 2" xfId="21930"/>
    <cellStyle name="Note 4 2 4 8 2 2 2" xfId="41998"/>
    <cellStyle name="Note 4 2 4 8 2 3" xfId="30024"/>
    <cellStyle name="Note 4 2 4 8 3" xfId="16598"/>
    <cellStyle name="Note 4 2 4 8 3 2" xfId="36666"/>
    <cellStyle name="Note 4 2 4 8 4" xfId="30023"/>
    <cellStyle name="Note 4 2 4 9" xfId="9838"/>
    <cellStyle name="Note 4 2 4 9 2" xfId="9839"/>
    <cellStyle name="Note 4 2 4 9 2 2" xfId="21931"/>
    <cellStyle name="Note 4 2 4 9 2 2 2" xfId="41999"/>
    <cellStyle name="Note 4 2 4 9 2 3" xfId="30026"/>
    <cellStyle name="Note 4 2 4 9 3" xfId="16802"/>
    <cellStyle name="Note 4 2 4 9 3 2" xfId="36870"/>
    <cellStyle name="Note 4 2 4 9 4" xfId="30025"/>
    <cellStyle name="Note 4 2 5" xfId="9840"/>
    <cellStyle name="Note 4 2 5 2" xfId="9841"/>
    <cellStyle name="Note 4 2 5 2 2" xfId="21932"/>
    <cellStyle name="Note 4 2 5 2 2 2" xfId="42000"/>
    <cellStyle name="Note 4 2 5 2 3" xfId="30028"/>
    <cellStyle name="Note 4 2 5 3" xfId="14312"/>
    <cellStyle name="Note 4 2 5 3 2" xfId="34380"/>
    <cellStyle name="Note 4 2 5 4" xfId="30027"/>
    <cellStyle name="Note 4 2 6" xfId="9842"/>
    <cellStyle name="Note 4 2 6 2" xfId="9843"/>
    <cellStyle name="Note 4 2 6 2 2" xfId="21933"/>
    <cellStyle name="Note 4 2 6 2 2 2" xfId="42001"/>
    <cellStyle name="Note 4 2 6 2 3" xfId="30030"/>
    <cellStyle name="Note 4 2 6 3" xfId="14530"/>
    <cellStyle name="Note 4 2 6 3 2" xfId="34598"/>
    <cellStyle name="Note 4 2 6 4" xfId="30029"/>
    <cellStyle name="Note 4 2 7" xfId="9844"/>
    <cellStyle name="Note 4 2 7 2" xfId="9845"/>
    <cellStyle name="Note 4 2 7 2 2" xfId="21934"/>
    <cellStyle name="Note 4 2 7 2 2 2" xfId="42002"/>
    <cellStyle name="Note 4 2 7 2 3" xfId="30032"/>
    <cellStyle name="Note 4 2 7 3" xfId="14473"/>
    <cellStyle name="Note 4 2 7 3 2" xfId="34541"/>
    <cellStyle name="Note 4 2 7 4" xfId="30031"/>
    <cellStyle name="Note 4 2 8" xfId="9846"/>
    <cellStyle name="Note 4 2 8 2" xfId="9847"/>
    <cellStyle name="Note 4 2 8 2 2" xfId="21935"/>
    <cellStyle name="Note 4 2 8 2 2 2" xfId="42003"/>
    <cellStyle name="Note 4 2 8 2 3" xfId="30034"/>
    <cellStyle name="Note 4 2 8 3" xfId="14269"/>
    <cellStyle name="Note 4 2 8 3 2" xfId="34337"/>
    <cellStyle name="Note 4 2 8 4" xfId="30033"/>
    <cellStyle name="Note 4 2 9" xfId="9848"/>
    <cellStyle name="Note 4 2 9 2" xfId="9849"/>
    <cellStyle name="Note 4 2 9 2 2" xfId="21936"/>
    <cellStyle name="Note 4 2 9 2 2 2" xfId="42004"/>
    <cellStyle name="Note 4 2 9 2 3" xfId="30036"/>
    <cellStyle name="Note 4 2 9 3" xfId="14521"/>
    <cellStyle name="Note 4 2 9 3 2" xfId="34589"/>
    <cellStyle name="Note 4 2 9 4" xfId="30035"/>
    <cellStyle name="Note 4 2_2011-2012" xfId="9850"/>
    <cellStyle name="Note 4 20" xfId="9851"/>
    <cellStyle name="Note 4 20 2" xfId="9852"/>
    <cellStyle name="Note 4 20 2 2" xfId="21937"/>
    <cellStyle name="Note 4 20 2 2 2" xfId="42005"/>
    <cellStyle name="Note 4 20 2 3" xfId="30038"/>
    <cellStyle name="Note 4 20 3" xfId="16276"/>
    <cellStyle name="Note 4 20 3 2" xfId="36344"/>
    <cellStyle name="Note 4 20 4" xfId="30037"/>
    <cellStyle name="Note 4 21" xfId="9853"/>
    <cellStyle name="Note 4 21 2" xfId="9854"/>
    <cellStyle name="Note 4 21 2 2" xfId="21938"/>
    <cellStyle name="Note 4 21 2 2 2" xfId="42006"/>
    <cellStyle name="Note 4 21 2 3" xfId="30040"/>
    <cellStyle name="Note 4 21 3" xfId="17704"/>
    <cellStyle name="Note 4 21 3 2" xfId="37772"/>
    <cellStyle name="Note 4 21 4" xfId="30039"/>
    <cellStyle name="Note 4 22" xfId="9855"/>
    <cellStyle name="Note 4 22 2" xfId="9856"/>
    <cellStyle name="Note 4 22 2 2" xfId="21939"/>
    <cellStyle name="Note 4 22 2 2 2" xfId="42007"/>
    <cellStyle name="Note 4 22 2 3" xfId="30042"/>
    <cellStyle name="Note 4 22 3" xfId="15861"/>
    <cellStyle name="Note 4 22 3 2" xfId="35929"/>
    <cellStyle name="Note 4 22 4" xfId="30041"/>
    <cellStyle name="Note 4 23" xfId="9857"/>
    <cellStyle name="Note 4 23 2" xfId="9858"/>
    <cellStyle name="Note 4 23 2 2" xfId="21940"/>
    <cellStyle name="Note 4 23 2 2 2" xfId="42008"/>
    <cellStyle name="Note 4 23 2 3" xfId="30044"/>
    <cellStyle name="Note 4 23 3" xfId="16429"/>
    <cellStyle name="Note 4 23 3 2" xfId="36497"/>
    <cellStyle name="Note 4 23 4" xfId="30043"/>
    <cellStyle name="Note 4 24" xfId="9859"/>
    <cellStyle name="Note 4 24 2" xfId="9860"/>
    <cellStyle name="Note 4 24 2 2" xfId="21941"/>
    <cellStyle name="Note 4 24 2 2 2" xfId="42009"/>
    <cellStyle name="Note 4 24 2 3" xfId="30046"/>
    <cellStyle name="Note 4 24 3" xfId="17756"/>
    <cellStyle name="Note 4 24 3 2" xfId="37824"/>
    <cellStyle name="Note 4 24 4" xfId="30045"/>
    <cellStyle name="Note 4 25" xfId="9861"/>
    <cellStyle name="Note 4 25 2" xfId="9862"/>
    <cellStyle name="Note 4 25 2 2" xfId="21942"/>
    <cellStyle name="Note 4 25 2 2 2" xfId="42010"/>
    <cellStyle name="Note 4 25 2 3" xfId="30048"/>
    <cellStyle name="Note 4 25 3" xfId="18252"/>
    <cellStyle name="Note 4 25 3 2" xfId="38320"/>
    <cellStyle name="Note 4 25 4" xfId="30047"/>
    <cellStyle name="Note 4 26" xfId="9863"/>
    <cellStyle name="Note 4 26 2" xfId="9864"/>
    <cellStyle name="Note 4 26 2 2" xfId="21943"/>
    <cellStyle name="Note 4 26 2 2 2" xfId="42011"/>
    <cellStyle name="Note 4 26 2 3" xfId="30050"/>
    <cellStyle name="Note 4 26 3" xfId="15591"/>
    <cellStyle name="Note 4 26 3 2" xfId="35659"/>
    <cellStyle name="Note 4 26 4" xfId="30049"/>
    <cellStyle name="Note 4 27" xfId="9865"/>
    <cellStyle name="Note 4 27 2" xfId="9866"/>
    <cellStyle name="Note 4 27 2 2" xfId="21944"/>
    <cellStyle name="Note 4 27 2 2 2" xfId="42012"/>
    <cellStyle name="Note 4 27 2 3" xfId="30052"/>
    <cellStyle name="Note 4 27 3" xfId="17179"/>
    <cellStyle name="Note 4 27 3 2" xfId="37247"/>
    <cellStyle name="Note 4 27 4" xfId="30051"/>
    <cellStyle name="Note 4 28" xfId="9867"/>
    <cellStyle name="Note 4 28 2" xfId="9868"/>
    <cellStyle name="Note 4 28 2 2" xfId="21945"/>
    <cellStyle name="Note 4 28 2 2 2" xfId="42013"/>
    <cellStyle name="Note 4 28 2 3" xfId="30054"/>
    <cellStyle name="Note 4 28 3" xfId="17645"/>
    <cellStyle name="Note 4 28 3 2" xfId="37713"/>
    <cellStyle name="Note 4 28 4" xfId="30053"/>
    <cellStyle name="Note 4 29" xfId="9869"/>
    <cellStyle name="Note 4 29 2" xfId="9870"/>
    <cellStyle name="Note 4 29 2 2" xfId="21946"/>
    <cellStyle name="Note 4 29 2 2 2" xfId="42014"/>
    <cellStyle name="Note 4 29 2 3" xfId="30056"/>
    <cellStyle name="Note 4 29 3" xfId="17193"/>
    <cellStyle name="Note 4 29 3 2" xfId="37261"/>
    <cellStyle name="Note 4 29 4" xfId="30055"/>
    <cellStyle name="Note 4 3" xfId="9871"/>
    <cellStyle name="Note 4 3 10" xfId="9872"/>
    <cellStyle name="Note 4 3 10 2" xfId="9873"/>
    <cellStyle name="Note 4 3 10 2 2" xfId="21948"/>
    <cellStyle name="Note 4 3 10 2 2 2" xfId="42016"/>
    <cellStyle name="Note 4 3 10 2 3" xfId="30059"/>
    <cellStyle name="Note 4 3 10 3" xfId="16466"/>
    <cellStyle name="Note 4 3 10 3 2" xfId="36534"/>
    <cellStyle name="Note 4 3 10 4" xfId="30058"/>
    <cellStyle name="Note 4 3 11" xfId="9874"/>
    <cellStyle name="Note 4 3 11 2" xfId="9875"/>
    <cellStyle name="Note 4 3 11 2 2" xfId="21949"/>
    <cellStyle name="Note 4 3 11 2 2 2" xfId="42017"/>
    <cellStyle name="Note 4 3 11 2 3" xfId="30061"/>
    <cellStyle name="Note 4 3 11 3" xfId="16659"/>
    <cellStyle name="Note 4 3 11 3 2" xfId="36727"/>
    <cellStyle name="Note 4 3 11 4" xfId="30060"/>
    <cellStyle name="Note 4 3 12" xfId="9876"/>
    <cellStyle name="Note 4 3 12 2" xfId="9877"/>
    <cellStyle name="Note 4 3 12 2 2" xfId="21950"/>
    <cellStyle name="Note 4 3 12 2 2 2" xfId="42018"/>
    <cellStyle name="Note 4 3 12 2 3" xfId="30063"/>
    <cellStyle name="Note 4 3 12 3" xfId="16019"/>
    <cellStyle name="Note 4 3 12 3 2" xfId="36087"/>
    <cellStyle name="Note 4 3 12 4" xfId="30062"/>
    <cellStyle name="Note 4 3 13" xfId="9878"/>
    <cellStyle name="Note 4 3 13 2" xfId="9879"/>
    <cellStyle name="Note 4 3 13 2 2" xfId="21951"/>
    <cellStyle name="Note 4 3 13 2 2 2" xfId="42019"/>
    <cellStyle name="Note 4 3 13 2 3" xfId="30065"/>
    <cellStyle name="Note 4 3 13 3" xfId="16327"/>
    <cellStyle name="Note 4 3 13 3 2" xfId="36395"/>
    <cellStyle name="Note 4 3 13 4" xfId="30064"/>
    <cellStyle name="Note 4 3 14" xfId="9880"/>
    <cellStyle name="Note 4 3 14 2" xfId="9881"/>
    <cellStyle name="Note 4 3 14 2 2" xfId="21952"/>
    <cellStyle name="Note 4 3 14 2 2 2" xfId="42020"/>
    <cellStyle name="Note 4 3 14 2 3" xfId="30067"/>
    <cellStyle name="Note 4 3 14 3" xfId="16129"/>
    <cellStyle name="Note 4 3 14 3 2" xfId="36197"/>
    <cellStyle name="Note 4 3 14 4" xfId="30066"/>
    <cellStyle name="Note 4 3 15" xfId="9882"/>
    <cellStyle name="Note 4 3 15 2" xfId="9883"/>
    <cellStyle name="Note 4 3 15 2 2" xfId="21953"/>
    <cellStyle name="Note 4 3 15 2 2 2" xfId="42021"/>
    <cellStyle name="Note 4 3 15 2 3" xfId="30069"/>
    <cellStyle name="Note 4 3 15 3" xfId="15907"/>
    <cellStyle name="Note 4 3 15 3 2" xfId="35975"/>
    <cellStyle name="Note 4 3 15 4" xfId="30068"/>
    <cellStyle name="Note 4 3 16" xfId="9884"/>
    <cellStyle name="Note 4 3 16 2" xfId="9885"/>
    <cellStyle name="Note 4 3 16 2 2" xfId="21954"/>
    <cellStyle name="Note 4 3 16 2 2 2" xfId="42022"/>
    <cellStyle name="Note 4 3 16 2 3" xfId="30071"/>
    <cellStyle name="Note 4 3 16 3" xfId="16211"/>
    <cellStyle name="Note 4 3 16 3 2" xfId="36279"/>
    <cellStyle name="Note 4 3 16 4" xfId="30070"/>
    <cellStyle name="Note 4 3 17" xfId="9886"/>
    <cellStyle name="Note 4 3 17 2" xfId="9887"/>
    <cellStyle name="Note 4 3 17 2 2" xfId="21955"/>
    <cellStyle name="Note 4 3 17 2 2 2" xfId="42023"/>
    <cellStyle name="Note 4 3 17 2 3" xfId="30073"/>
    <cellStyle name="Note 4 3 17 3" xfId="16094"/>
    <cellStyle name="Note 4 3 17 3 2" xfId="36162"/>
    <cellStyle name="Note 4 3 17 4" xfId="30072"/>
    <cellStyle name="Note 4 3 18" xfId="9888"/>
    <cellStyle name="Note 4 3 18 2" xfId="9889"/>
    <cellStyle name="Note 4 3 18 2 2" xfId="21956"/>
    <cellStyle name="Note 4 3 18 2 2 2" xfId="42024"/>
    <cellStyle name="Note 4 3 18 2 3" xfId="30075"/>
    <cellStyle name="Note 4 3 18 3" xfId="17708"/>
    <cellStyle name="Note 4 3 18 3 2" xfId="37776"/>
    <cellStyle name="Note 4 3 18 4" xfId="30074"/>
    <cellStyle name="Note 4 3 19" xfId="9890"/>
    <cellStyle name="Note 4 3 19 2" xfId="9891"/>
    <cellStyle name="Note 4 3 19 2 2" xfId="21957"/>
    <cellStyle name="Note 4 3 19 2 2 2" xfId="42025"/>
    <cellStyle name="Note 4 3 19 2 3" xfId="30077"/>
    <cellStyle name="Note 4 3 19 3" xfId="15752"/>
    <cellStyle name="Note 4 3 19 3 2" xfId="35820"/>
    <cellStyle name="Note 4 3 19 4" xfId="30076"/>
    <cellStyle name="Note 4 3 2" xfId="9892"/>
    <cellStyle name="Note 4 3 2 10" xfId="9893"/>
    <cellStyle name="Note 4 3 2 10 2" xfId="9894"/>
    <cellStyle name="Note 4 3 2 10 2 2" xfId="21959"/>
    <cellStyle name="Note 4 3 2 10 2 2 2" xfId="42027"/>
    <cellStyle name="Note 4 3 2 10 2 3" xfId="30080"/>
    <cellStyle name="Note 4 3 2 10 3" xfId="16966"/>
    <cellStyle name="Note 4 3 2 10 3 2" xfId="37034"/>
    <cellStyle name="Note 4 3 2 10 4" xfId="30079"/>
    <cellStyle name="Note 4 3 2 11" xfId="9895"/>
    <cellStyle name="Note 4 3 2 11 2" xfId="9896"/>
    <cellStyle name="Note 4 3 2 11 2 2" xfId="21960"/>
    <cellStyle name="Note 4 3 2 11 2 2 2" xfId="42028"/>
    <cellStyle name="Note 4 3 2 11 2 3" xfId="30082"/>
    <cellStyle name="Note 4 3 2 11 3" xfId="17111"/>
    <cellStyle name="Note 4 3 2 11 3 2" xfId="37179"/>
    <cellStyle name="Note 4 3 2 11 4" xfId="30081"/>
    <cellStyle name="Note 4 3 2 12" xfId="9897"/>
    <cellStyle name="Note 4 3 2 12 2" xfId="9898"/>
    <cellStyle name="Note 4 3 2 12 2 2" xfId="21961"/>
    <cellStyle name="Note 4 3 2 12 2 2 2" xfId="42029"/>
    <cellStyle name="Note 4 3 2 12 2 3" xfId="30084"/>
    <cellStyle name="Note 4 3 2 12 3" xfId="17283"/>
    <cellStyle name="Note 4 3 2 12 3 2" xfId="37351"/>
    <cellStyle name="Note 4 3 2 12 4" xfId="30083"/>
    <cellStyle name="Note 4 3 2 13" xfId="9899"/>
    <cellStyle name="Note 4 3 2 13 2" xfId="9900"/>
    <cellStyle name="Note 4 3 2 13 2 2" xfId="21962"/>
    <cellStyle name="Note 4 3 2 13 2 2 2" xfId="42030"/>
    <cellStyle name="Note 4 3 2 13 2 3" xfId="30086"/>
    <cellStyle name="Note 4 3 2 13 3" xfId="17447"/>
    <cellStyle name="Note 4 3 2 13 3 2" xfId="37515"/>
    <cellStyle name="Note 4 3 2 13 4" xfId="30085"/>
    <cellStyle name="Note 4 3 2 14" xfId="9901"/>
    <cellStyle name="Note 4 3 2 14 2" xfId="9902"/>
    <cellStyle name="Note 4 3 2 14 2 2" xfId="21963"/>
    <cellStyle name="Note 4 3 2 14 2 2 2" xfId="42031"/>
    <cellStyle name="Note 4 3 2 14 2 3" xfId="30088"/>
    <cellStyle name="Note 4 3 2 14 3" xfId="17573"/>
    <cellStyle name="Note 4 3 2 14 3 2" xfId="37641"/>
    <cellStyle name="Note 4 3 2 14 4" xfId="30087"/>
    <cellStyle name="Note 4 3 2 15" xfId="9903"/>
    <cellStyle name="Note 4 3 2 15 2" xfId="9904"/>
    <cellStyle name="Note 4 3 2 15 2 2" xfId="21964"/>
    <cellStyle name="Note 4 3 2 15 2 2 2" xfId="42032"/>
    <cellStyle name="Note 4 3 2 15 2 3" xfId="30090"/>
    <cellStyle name="Note 4 3 2 15 3" xfId="15751"/>
    <cellStyle name="Note 4 3 2 15 3 2" xfId="35819"/>
    <cellStyle name="Note 4 3 2 15 4" xfId="30089"/>
    <cellStyle name="Note 4 3 2 16" xfId="9905"/>
    <cellStyle name="Note 4 3 2 16 2" xfId="9906"/>
    <cellStyle name="Note 4 3 2 16 2 2" xfId="21965"/>
    <cellStyle name="Note 4 3 2 16 2 2 2" xfId="42033"/>
    <cellStyle name="Note 4 3 2 16 2 3" xfId="30092"/>
    <cellStyle name="Note 4 3 2 16 3" xfId="17823"/>
    <cellStyle name="Note 4 3 2 16 3 2" xfId="37891"/>
    <cellStyle name="Note 4 3 2 16 4" xfId="30091"/>
    <cellStyle name="Note 4 3 2 17" xfId="9907"/>
    <cellStyle name="Note 4 3 2 17 2" xfId="9908"/>
    <cellStyle name="Note 4 3 2 17 2 2" xfId="21966"/>
    <cellStyle name="Note 4 3 2 17 2 2 2" xfId="42034"/>
    <cellStyle name="Note 4 3 2 17 2 3" xfId="30094"/>
    <cellStyle name="Note 4 3 2 17 3" xfId="17961"/>
    <cellStyle name="Note 4 3 2 17 3 2" xfId="38029"/>
    <cellStyle name="Note 4 3 2 17 4" xfId="30093"/>
    <cellStyle name="Note 4 3 2 18" xfId="9909"/>
    <cellStyle name="Note 4 3 2 18 2" xfId="9910"/>
    <cellStyle name="Note 4 3 2 18 2 2" xfId="21967"/>
    <cellStyle name="Note 4 3 2 18 2 2 2" xfId="42035"/>
    <cellStyle name="Note 4 3 2 18 2 3" xfId="30096"/>
    <cellStyle name="Note 4 3 2 18 3" xfId="18100"/>
    <cellStyle name="Note 4 3 2 18 3 2" xfId="38168"/>
    <cellStyle name="Note 4 3 2 18 4" xfId="30095"/>
    <cellStyle name="Note 4 3 2 19" xfId="9911"/>
    <cellStyle name="Note 4 3 2 19 2" xfId="9912"/>
    <cellStyle name="Note 4 3 2 19 2 2" xfId="21968"/>
    <cellStyle name="Note 4 3 2 19 2 2 2" xfId="42036"/>
    <cellStyle name="Note 4 3 2 19 2 3" xfId="30098"/>
    <cellStyle name="Note 4 3 2 19 3" xfId="18218"/>
    <cellStyle name="Note 4 3 2 19 3 2" xfId="38286"/>
    <cellStyle name="Note 4 3 2 19 4" xfId="30097"/>
    <cellStyle name="Note 4 3 2 2" xfId="9913"/>
    <cellStyle name="Note 4 3 2 2 2" xfId="9914"/>
    <cellStyle name="Note 4 3 2 2 2 2" xfId="21969"/>
    <cellStyle name="Note 4 3 2 2 2 2 2" xfId="42037"/>
    <cellStyle name="Note 4 3 2 2 2 3" xfId="30100"/>
    <cellStyle name="Note 4 3 2 2 3" xfId="14686"/>
    <cellStyle name="Note 4 3 2 2 3 2" xfId="34754"/>
    <cellStyle name="Note 4 3 2 2 4" xfId="30099"/>
    <cellStyle name="Note 4 3 2 20" xfId="9915"/>
    <cellStyle name="Note 4 3 2 20 2" xfId="9916"/>
    <cellStyle name="Note 4 3 2 20 2 2" xfId="21970"/>
    <cellStyle name="Note 4 3 2 20 2 2 2" xfId="42038"/>
    <cellStyle name="Note 4 3 2 20 2 3" xfId="30102"/>
    <cellStyle name="Note 4 3 2 20 3" xfId="15505"/>
    <cellStyle name="Note 4 3 2 20 3 2" xfId="35573"/>
    <cellStyle name="Note 4 3 2 20 4" xfId="30101"/>
    <cellStyle name="Note 4 3 2 21" xfId="9917"/>
    <cellStyle name="Note 4 3 2 21 2" xfId="9918"/>
    <cellStyle name="Note 4 3 2 21 2 2" xfId="21971"/>
    <cellStyle name="Note 4 3 2 21 2 2 2" xfId="42039"/>
    <cellStyle name="Note 4 3 2 21 2 3" xfId="30104"/>
    <cellStyle name="Note 4 3 2 21 3" xfId="18423"/>
    <cellStyle name="Note 4 3 2 21 3 2" xfId="38491"/>
    <cellStyle name="Note 4 3 2 21 4" xfId="30103"/>
    <cellStyle name="Note 4 3 2 22" xfId="9919"/>
    <cellStyle name="Note 4 3 2 22 2" xfId="9920"/>
    <cellStyle name="Note 4 3 2 22 2 2" xfId="21972"/>
    <cellStyle name="Note 4 3 2 22 2 2 2" xfId="42040"/>
    <cellStyle name="Note 4 3 2 22 2 3" xfId="30106"/>
    <cellStyle name="Note 4 3 2 22 3" xfId="18556"/>
    <cellStyle name="Note 4 3 2 22 3 2" xfId="38624"/>
    <cellStyle name="Note 4 3 2 22 4" xfId="30105"/>
    <cellStyle name="Note 4 3 2 23" xfId="9921"/>
    <cellStyle name="Note 4 3 2 23 2" xfId="9922"/>
    <cellStyle name="Note 4 3 2 23 2 2" xfId="21973"/>
    <cellStyle name="Note 4 3 2 23 2 2 2" xfId="42041"/>
    <cellStyle name="Note 4 3 2 23 2 3" xfId="30108"/>
    <cellStyle name="Note 4 3 2 23 3" xfId="18667"/>
    <cellStyle name="Note 4 3 2 23 3 2" xfId="38735"/>
    <cellStyle name="Note 4 3 2 23 4" xfId="30107"/>
    <cellStyle name="Note 4 3 2 24" xfId="9923"/>
    <cellStyle name="Note 4 3 2 24 2" xfId="9924"/>
    <cellStyle name="Note 4 3 2 24 2 2" xfId="21974"/>
    <cellStyle name="Note 4 3 2 24 2 2 2" xfId="42042"/>
    <cellStyle name="Note 4 3 2 24 2 3" xfId="30110"/>
    <cellStyle name="Note 4 3 2 24 3" xfId="18767"/>
    <cellStyle name="Note 4 3 2 24 3 2" xfId="38835"/>
    <cellStyle name="Note 4 3 2 24 4" xfId="30109"/>
    <cellStyle name="Note 4 3 2 25" xfId="9925"/>
    <cellStyle name="Note 4 3 2 25 2" xfId="9926"/>
    <cellStyle name="Note 4 3 2 25 2 2" xfId="21975"/>
    <cellStyle name="Note 4 3 2 25 2 2 2" xfId="42043"/>
    <cellStyle name="Note 4 3 2 25 2 3" xfId="30112"/>
    <cellStyle name="Note 4 3 2 25 3" xfId="18867"/>
    <cellStyle name="Note 4 3 2 25 3 2" xfId="38935"/>
    <cellStyle name="Note 4 3 2 25 4" xfId="30111"/>
    <cellStyle name="Note 4 3 2 26" xfId="9927"/>
    <cellStyle name="Note 4 3 2 26 2" xfId="21958"/>
    <cellStyle name="Note 4 3 2 26 2 2" xfId="42026"/>
    <cellStyle name="Note 4 3 2 26 3" xfId="30113"/>
    <cellStyle name="Note 4 3 2 27" xfId="14440"/>
    <cellStyle name="Note 4 3 2 27 2" xfId="34508"/>
    <cellStyle name="Note 4 3 2 28" xfId="30078"/>
    <cellStyle name="Note 4 3 2 3" xfId="9928"/>
    <cellStyle name="Note 4 3 2 3 2" xfId="9929"/>
    <cellStyle name="Note 4 3 2 3 2 2" xfId="21976"/>
    <cellStyle name="Note 4 3 2 3 2 2 2" xfId="42044"/>
    <cellStyle name="Note 4 3 2 3 2 3" xfId="30115"/>
    <cellStyle name="Note 4 3 2 3 3" xfId="14810"/>
    <cellStyle name="Note 4 3 2 3 3 2" xfId="34878"/>
    <cellStyle name="Note 4 3 2 3 4" xfId="30114"/>
    <cellStyle name="Note 4 3 2 4" xfId="9930"/>
    <cellStyle name="Note 4 3 2 4 2" xfId="9931"/>
    <cellStyle name="Note 4 3 2 4 2 2" xfId="21977"/>
    <cellStyle name="Note 4 3 2 4 2 2 2" xfId="42045"/>
    <cellStyle name="Note 4 3 2 4 2 3" xfId="30117"/>
    <cellStyle name="Note 4 3 2 4 3" xfId="14935"/>
    <cellStyle name="Note 4 3 2 4 3 2" xfId="35003"/>
    <cellStyle name="Note 4 3 2 4 4" xfId="30116"/>
    <cellStyle name="Note 4 3 2 5" xfId="9932"/>
    <cellStyle name="Note 4 3 2 5 2" xfId="9933"/>
    <cellStyle name="Note 4 3 2 5 2 2" xfId="21978"/>
    <cellStyle name="Note 4 3 2 5 2 2 2" xfId="42046"/>
    <cellStyle name="Note 4 3 2 5 2 3" xfId="30119"/>
    <cellStyle name="Note 4 3 2 5 3" xfId="15104"/>
    <cellStyle name="Note 4 3 2 5 3 2" xfId="35172"/>
    <cellStyle name="Note 4 3 2 5 4" xfId="30118"/>
    <cellStyle name="Note 4 3 2 6" xfId="9934"/>
    <cellStyle name="Note 4 3 2 6 2" xfId="9935"/>
    <cellStyle name="Note 4 3 2 6 2 2" xfId="21979"/>
    <cellStyle name="Note 4 3 2 6 2 2 2" xfId="42047"/>
    <cellStyle name="Note 4 3 2 6 2 3" xfId="30121"/>
    <cellStyle name="Note 4 3 2 6 3" xfId="15017"/>
    <cellStyle name="Note 4 3 2 6 3 2" xfId="35085"/>
    <cellStyle name="Note 4 3 2 6 4" xfId="30120"/>
    <cellStyle name="Note 4 3 2 7" xfId="9936"/>
    <cellStyle name="Note 4 3 2 7 2" xfId="9937"/>
    <cellStyle name="Note 4 3 2 7 2 2" xfId="21980"/>
    <cellStyle name="Note 4 3 2 7 2 2 2" xfId="42048"/>
    <cellStyle name="Note 4 3 2 7 2 3" xfId="30123"/>
    <cellStyle name="Note 4 3 2 7 3" xfId="15236"/>
    <cellStyle name="Note 4 3 2 7 3 2" xfId="35304"/>
    <cellStyle name="Note 4 3 2 7 4" xfId="30122"/>
    <cellStyle name="Note 4 3 2 8" xfId="9938"/>
    <cellStyle name="Note 4 3 2 8 2" xfId="9939"/>
    <cellStyle name="Note 4 3 2 8 2 2" xfId="21981"/>
    <cellStyle name="Note 4 3 2 8 2 2 2" xfId="42049"/>
    <cellStyle name="Note 4 3 2 8 2 3" xfId="30125"/>
    <cellStyle name="Note 4 3 2 8 3" xfId="16601"/>
    <cellStyle name="Note 4 3 2 8 3 2" xfId="36669"/>
    <cellStyle name="Note 4 3 2 8 4" xfId="30124"/>
    <cellStyle name="Note 4 3 2 9" xfId="9940"/>
    <cellStyle name="Note 4 3 2 9 2" xfId="9941"/>
    <cellStyle name="Note 4 3 2 9 2 2" xfId="21982"/>
    <cellStyle name="Note 4 3 2 9 2 2 2" xfId="42050"/>
    <cellStyle name="Note 4 3 2 9 2 3" xfId="30127"/>
    <cellStyle name="Note 4 3 2 9 3" xfId="16805"/>
    <cellStyle name="Note 4 3 2 9 3 2" xfId="36873"/>
    <cellStyle name="Note 4 3 2 9 4" xfId="30126"/>
    <cellStyle name="Note 4 3 20" xfId="9942"/>
    <cellStyle name="Note 4 3 20 2" xfId="9943"/>
    <cellStyle name="Note 4 3 20 2 2" xfId="21983"/>
    <cellStyle name="Note 4 3 20 2 2 2" xfId="42051"/>
    <cellStyle name="Note 4 3 20 2 3" xfId="30129"/>
    <cellStyle name="Note 4 3 20 3" xfId="16497"/>
    <cellStyle name="Note 4 3 20 3 2" xfId="36565"/>
    <cellStyle name="Note 4 3 20 4" xfId="30128"/>
    <cellStyle name="Note 4 3 21" xfId="9944"/>
    <cellStyle name="Note 4 3 21 2" xfId="9945"/>
    <cellStyle name="Note 4 3 21 2 2" xfId="21984"/>
    <cellStyle name="Note 4 3 21 2 2 2" xfId="42052"/>
    <cellStyle name="Note 4 3 21 2 3" xfId="30131"/>
    <cellStyle name="Note 4 3 21 3" xfId="15553"/>
    <cellStyle name="Note 4 3 21 3 2" xfId="35621"/>
    <cellStyle name="Note 4 3 21 4" xfId="30130"/>
    <cellStyle name="Note 4 3 22" xfId="9946"/>
    <cellStyle name="Note 4 3 22 2" xfId="9947"/>
    <cellStyle name="Note 4 3 22 2 2" xfId="21985"/>
    <cellStyle name="Note 4 3 22 2 2 2" xfId="42053"/>
    <cellStyle name="Note 4 3 22 2 3" xfId="30133"/>
    <cellStyle name="Note 4 3 22 3" xfId="18257"/>
    <cellStyle name="Note 4 3 22 3 2" xfId="38325"/>
    <cellStyle name="Note 4 3 22 4" xfId="30132"/>
    <cellStyle name="Note 4 3 23" xfId="9948"/>
    <cellStyle name="Note 4 3 23 2" xfId="9949"/>
    <cellStyle name="Note 4 3 23 2 2" xfId="21986"/>
    <cellStyle name="Note 4 3 23 2 2 2" xfId="42054"/>
    <cellStyle name="Note 4 3 23 2 3" xfId="30135"/>
    <cellStyle name="Note 4 3 23 3" xfId="16280"/>
    <cellStyle name="Note 4 3 23 3 2" xfId="36348"/>
    <cellStyle name="Note 4 3 23 4" xfId="30134"/>
    <cellStyle name="Note 4 3 24" xfId="9950"/>
    <cellStyle name="Note 4 3 24 2" xfId="9951"/>
    <cellStyle name="Note 4 3 24 2 2" xfId="21987"/>
    <cellStyle name="Note 4 3 24 2 2 2" xfId="42055"/>
    <cellStyle name="Note 4 3 24 2 3" xfId="30137"/>
    <cellStyle name="Note 4 3 24 3" xfId="15955"/>
    <cellStyle name="Note 4 3 24 3 2" xfId="36023"/>
    <cellStyle name="Note 4 3 24 4" xfId="30136"/>
    <cellStyle name="Note 4 3 25" xfId="9952"/>
    <cellStyle name="Note 4 3 25 2" xfId="9953"/>
    <cellStyle name="Note 4 3 25 2 2" xfId="21988"/>
    <cellStyle name="Note 4 3 25 2 2 2" xfId="42056"/>
    <cellStyle name="Note 4 3 25 2 3" xfId="30139"/>
    <cellStyle name="Note 4 3 25 3" xfId="16521"/>
    <cellStyle name="Note 4 3 25 3 2" xfId="36589"/>
    <cellStyle name="Note 4 3 25 4" xfId="30138"/>
    <cellStyle name="Note 4 3 26" xfId="9954"/>
    <cellStyle name="Note 4 3 26 2" xfId="9955"/>
    <cellStyle name="Note 4 3 26 2 2" xfId="21989"/>
    <cellStyle name="Note 4 3 26 2 2 2" xfId="42057"/>
    <cellStyle name="Note 4 3 26 2 3" xfId="30141"/>
    <cellStyle name="Note 4 3 26 3" xfId="15984"/>
    <cellStyle name="Note 4 3 26 3 2" xfId="36052"/>
    <cellStyle name="Note 4 3 26 4" xfId="30140"/>
    <cellStyle name="Note 4 3 27" xfId="9956"/>
    <cellStyle name="Note 4 3 27 2" xfId="9957"/>
    <cellStyle name="Note 4 3 27 2 2" xfId="21990"/>
    <cellStyle name="Note 4 3 27 2 2 2" xfId="42058"/>
    <cellStyle name="Note 4 3 27 2 3" xfId="30143"/>
    <cellStyle name="Note 4 3 27 3" xfId="15552"/>
    <cellStyle name="Note 4 3 27 3 2" xfId="35620"/>
    <cellStyle name="Note 4 3 27 4" xfId="30142"/>
    <cellStyle name="Note 4 3 28" xfId="9958"/>
    <cellStyle name="Note 4 3 28 2" xfId="21947"/>
    <cellStyle name="Note 4 3 28 2 2" xfId="42015"/>
    <cellStyle name="Note 4 3 28 3" xfId="30144"/>
    <cellStyle name="Note 4 3 29" xfId="13917"/>
    <cellStyle name="Note 4 3 29 2" xfId="33985"/>
    <cellStyle name="Note 4 3 3" xfId="9959"/>
    <cellStyle name="Note 4 3 3 2" xfId="9960"/>
    <cellStyle name="Note 4 3 3 2 2" xfId="21991"/>
    <cellStyle name="Note 4 3 3 2 2 2" xfId="42059"/>
    <cellStyle name="Note 4 3 3 2 3" xfId="30146"/>
    <cellStyle name="Note 4 3 3 3" xfId="14154"/>
    <cellStyle name="Note 4 3 3 3 2" xfId="34222"/>
    <cellStyle name="Note 4 3 3 4" xfId="30145"/>
    <cellStyle name="Note 4 3 30" xfId="30057"/>
    <cellStyle name="Note 4 3 4" xfId="9961"/>
    <cellStyle name="Note 4 3 4 2" xfId="9962"/>
    <cellStyle name="Note 4 3 4 2 2" xfId="21992"/>
    <cellStyle name="Note 4 3 4 2 2 2" xfId="42060"/>
    <cellStyle name="Note 4 3 4 2 3" xfId="30148"/>
    <cellStyle name="Note 4 3 4 3" xfId="14398"/>
    <cellStyle name="Note 4 3 4 3 2" xfId="34466"/>
    <cellStyle name="Note 4 3 4 4" xfId="30147"/>
    <cellStyle name="Note 4 3 5" xfId="9963"/>
    <cellStyle name="Note 4 3 5 2" xfId="9964"/>
    <cellStyle name="Note 4 3 5 2 2" xfId="21993"/>
    <cellStyle name="Note 4 3 5 2 2 2" xfId="42061"/>
    <cellStyle name="Note 4 3 5 2 3" xfId="30150"/>
    <cellStyle name="Note 4 3 5 3" xfId="14352"/>
    <cellStyle name="Note 4 3 5 3 2" xfId="34420"/>
    <cellStyle name="Note 4 3 5 4" xfId="30149"/>
    <cellStyle name="Note 4 3 6" xfId="9965"/>
    <cellStyle name="Note 4 3 6 2" xfId="9966"/>
    <cellStyle name="Note 4 3 6 2 2" xfId="21994"/>
    <cellStyle name="Note 4 3 6 2 2 2" xfId="42062"/>
    <cellStyle name="Note 4 3 6 2 3" xfId="30152"/>
    <cellStyle name="Note 4 3 6 3" xfId="14970"/>
    <cellStyle name="Note 4 3 6 3 2" xfId="35038"/>
    <cellStyle name="Note 4 3 6 4" xfId="30151"/>
    <cellStyle name="Note 4 3 7" xfId="9967"/>
    <cellStyle name="Note 4 3 7 2" xfId="9968"/>
    <cellStyle name="Note 4 3 7 2 2" xfId="21995"/>
    <cellStyle name="Note 4 3 7 2 2 2" xfId="42063"/>
    <cellStyle name="Note 4 3 7 2 3" xfId="30154"/>
    <cellStyle name="Note 4 3 7 3" xfId="14323"/>
    <cellStyle name="Note 4 3 7 3 2" xfId="34391"/>
    <cellStyle name="Note 4 3 7 4" xfId="30153"/>
    <cellStyle name="Note 4 3 8" xfId="9969"/>
    <cellStyle name="Note 4 3 8 2" xfId="9970"/>
    <cellStyle name="Note 4 3 8 2 2" xfId="21996"/>
    <cellStyle name="Note 4 3 8 2 2 2" xfId="42064"/>
    <cellStyle name="Note 4 3 8 2 3" xfId="30156"/>
    <cellStyle name="Note 4 3 8 3" xfId="15148"/>
    <cellStyle name="Note 4 3 8 3 2" xfId="35216"/>
    <cellStyle name="Note 4 3 8 4" xfId="30155"/>
    <cellStyle name="Note 4 3 9" xfId="9971"/>
    <cellStyle name="Note 4 3 9 2" xfId="9972"/>
    <cellStyle name="Note 4 3 9 2 2" xfId="21997"/>
    <cellStyle name="Note 4 3 9 2 2 2" xfId="42065"/>
    <cellStyle name="Note 4 3 9 2 3" xfId="30158"/>
    <cellStyle name="Note 4 3 9 3" xfId="15323"/>
    <cellStyle name="Note 4 3 9 3 2" xfId="35391"/>
    <cellStyle name="Note 4 3 9 4" xfId="30157"/>
    <cellStyle name="Note 4 30" xfId="9973"/>
    <cellStyle name="Note 4 30 2" xfId="9974"/>
    <cellStyle name="Note 4 30 2 2" xfId="21998"/>
    <cellStyle name="Note 4 30 2 2 2" xfId="42066"/>
    <cellStyle name="Note 4 30 2 3" xfId="30160"/>
    <cellStyle name="Note 4 30 3" xfId="15606"/>
    <cellStyle name="Note 4 30 3 2" xfId="35674"/>
    <cellStyle name="Note 4 30 4" xfId="30159"/>
    <cellStyle name="Note 4 31" xfId="9975"/>
    <cellStyle name="Note 4 31 2" xfId="21773"/>
    <cellStyle name="Note 4 31 2 2" xfId="41841"/>
    <cellStyle name="Note 4 31 3" xfId="30161"/>
    <cellStyle name="Note 4 32" xfId="13913"/>
    <cellStyle name="Note 4 32 2" xfId="33981"/>
    <cellStyle name="Note 4 33" xfId="29710"/>
    <cellStyle name="Note 4 4" xfId="9976"/>
    <cellStyle name="Note 4 4 10" xfId="9977"/>
    <cellStyle name="Note 4 4 10 2" xfId="9978"/>
    <cellStyle name="Note 4 4 10 2 2" xfId="22000"/>
    <cellStyle name="Note 4 4 10 2 2 2" xfId="42068"/>
    <cellStyle name="Note 4 4 10 2 3" xfId="30164"/>
    <cellStyle name="Note 4 4 10 3" xfId="16467"/>
    <cellStyle name="Note 4 4 10 3 2" xfId="36535"/>
    <cellStyle name="Note 4 4 10 4" xfId="30163"/>
    <cellStyle name="Note 4 4 11" xfId="9979"/>
    <cellStyle name="Note 4 4 11 2" xfId="9980"/>
    <cellStyle name="Note 4 4 11 2 2" xfId="22001"/>
    <cellStyle name="Note 4 4 11 2 2 2" xfId="42069"/>
    <cellStyle name="Note 4 4 11 2 3" xfId="30166"/>
    <cellStyle name="Note 4 4 11 3" xfId="16660"/>
    <cellStyle name="Note 4 4 11 3 2" xfId="36728"/>
    <cellStyle name="Note 4 4 11 4" xfId="30165"/>
    <cellStyle name="Note 4 4 12" xfId="9981"/>
    <cellStyle name="Note 4 4 12 2" xfId="9982"/>
    <cellStyle name="Note 4 4 12 2 2" xfId="22002"/>
    <cellStyle name="Note 4 4 12 2 2 2" xfId="42070"/>
    <cellStyle name="Note 4 4 12 2 3" xfId="30168"/>
    <cellStyle name="Note 4 4 12 3" xfId="16020"/>
    <cellStyle name="Note 4 4 12 3 2" xfId="36088"/>
    <cellStyle name="Note 4 4 12 4" xfId="30167"/>
    <cellStyle name="Note 4 4 13" xfId="9983"/>
    <cellStyle name="Note 4 4 13 2" xfId="9984"/>
    <cellStyle name="Note 4 4 13 2 2" xfId="22003"/>
    <cellStyle name="Note 4 4 13 2 2 2" xfId="42071"/>
    <cellStyle name="Note 4 4 13 2 3" xfId="30170"/>
    <cellStyle name="Note 4 4 13 3" xfId="16326"/>
    <cellStyle name="Note 4 4 13 3 2" xfId="36394"/>
    <cellStyle name="Note 4 4 13 4" xfId="30169"/>
    <cellStyle name="Note 4 4 14" xfId="9985"/>
    <cellStyle name="Note 4 4 14 2" xfId="9986"/>
    <cellStyle name="Note 4 4 14 2 2" xfId="22004"/>
    <cellStyle name="Note 4 4 14 2 2 2" xfId="42072"/>
    <cellStyle name="Note 4 4 14 2 3" xfId="30172"/>
    <cellStyle name="Note 4 4 14 3" xfId="16130"/>
    <cellStyle name="Note 4 4 14 3 2" xfId="36198"/>
    <cellStyle name="Note 4 4 14 4" xfId="30171"/>
    <cellStyle name="Note 4 4 15" xfId="9987"/>
    <cellStyle name="Note 4 4 15 2" xfId="9988"/>
    <cellStyle name="Note 4 4 15 2 2" xfId="22005"/>
    <cellStyle name="Note 4 4 15 2 2 2" xfId="42073"/>
    <cellStyle name="Note 4 4 15 2 3" xfId="30174"/>
    <cellStyle name="Note 4 4 15 3" xfId="17032"/>
    <cellStyle name="Note 4 4 15 3 2" xfId="37100"/>
    <cellStyle name="Note 4 4 15 4" xfId="30173"/>
    <cellStyle name="Note 4 4 16" xfId="9989"/>
    <cellStyle name="Note 4 4 16 2" xfId="9990"/>
    <cellStyle name="Note 4 4 16 2 2" xfId="22006"/>
    <cellStyle name="Note 4 4 16 2 2 2" xfId="42074"/>
    <cellStyle name="Note 4 4 16 2 3" xfId="30176"/>
    <cellStyle name="Note 4 4 16 3" xfId="16843"/>
    <cellStyle name="Note 4 4 16 3 2" xfId="36911"/>
    <cellStyle name="Note 4 4 16 4" xfId="30175"/>
    <cellStyle name="Note 4 4 17" xfId="9991"/>
    <cellStyle name="Note 4 4 17 2" xfId="9992"/>
    <cellStyle name="Note 4 4 17 2 2" xfId="22007"/>
    <cellStyle name="Note 4 4 17 2 2 2" xfId="42075"/>
    <cellStyle name="Note 4 4 17 2 3" xfId="30178"/>
    <cellStyle name="Note 4 4 17 3" xfId="15449"/>
    <cellStyle name="Note 4 4 17 3 2" xfId="35517"/>
    <cellStyle name="Note 4 4 17 4" xfId="30177"/>
    <cellStyle name="Note 4 4 18" xfId="9993"/>
    <cellStyle name="Note 4 4 18 2" xfId="9994"/>
    <cellStyle name="Note 4 4 18 2 2" xfId="22008"/>
    <cellStyle name="Note 4 4 18 2 2 2" xfId="42076"/>
    <cellStyle name="Note 4 4 18 2 3" xfId="30180"/>
    <cellStyle name="Note 4 4 18 3" xfId="17709"/>
    <cellStyle name="Note 4 4 18 3 2" xfId="37777"/>
    <cellStyle name="Note 4 4 18 4" xfId="30179"/>
    <cellStyle name="Note 4 4 19" xfId="9995"/>
    <cellStyle name="Note 4 4 19 2" xfId="9996"/>
    <cellStyle name="Note 4 4 19 2 2" xfId="22009"/>
    <cellStyle name="Note 4 4 19 2 2 2" xfId="42077"/>
    <cellStyle name="Note 4 4 19 2 3" xfId="30182"/>
    <cellStyle name="Note 4 4 19 3" xfId="15815"/>
    <cellStyle name="Note 4 4 19 3 2" xfId="35883"/>
    <cellStyle name="Note 4 4 19 4" xfId="30181"/>
    <cellStyle name="Note 4 4 2" xfId="9997"/>
    <cellStyle name="Note 4 4 2 10" xfId="9998"/>
    <cellStyle name="Note 4 4 2 10 2" xfId="9999"/>
    <cellStyle name="Note 4 4 2 10 2 2" xfId="22011"/>
    <cellStyle name="Note 4 4 2 10 2 2 2" xfId="42079"/>
    <cellStyle name="Note 4 4 2 10 2 3" xfId="30185"/>
    <cellStyle name="Note 4 4 2 10 3" xfId="16967"/>
    <cellStyle name="Note 4 4 2 10 3 2" xfId="37035"/>
    <cellStyle name="Note 4 4 2 10 4" xfId="30184"/>
    <cellStyle name="Note 4 4 2 11" xfId="10000"/>
    <cellStyle name="Note 4 4 2 11 2" xfId="10001"/>
    <cellStyle name="Note 4 4 2 11 2 2" xfId="22012"/>
    <cellStyle name="Note 4 4 2 11 2 2 2" xfId="42080"/>
    <cellStyle name="Note 4 4 2 11 2 3" xfId="30187"/>
    <cellStyle name="Note 4 4 2 11 3" xfId="17112"/>
    <cellStyle name="Note 4 4 2 11 3 2" xfId="37180"/>
    <cellStyle name="Note 4 4 2 11 4" xfId="30186"/>
    <cellStyle name="Note 4 4 2 12" xfId="10002"/>
    <cellStyle name="Note 4 4 2 12 2" xfId="10003"/>
    <cellStyle name="Note 4 4 2 12 2 2" xfId="22013"/>
    <cellStyle name="Note 4 4 2 12 2 2 2" xfId="42081"/>
    <cellStyle name="Note 4 4 2 12 2 3" xfId="30189"/>
    <cellStyle name="Note 4 4 2 12 3" xfId="17284"/>
    <cellStyle name="Note 4 4 2 12 3 2" xfId="37352"/>
    <cellStyle name="Note 4 4 2 12 4" xfId="30188"/>
    <cellStyle name="Note 4 4 2 13" xfId="10004"/>
    <cellStyle name="Note 4 4 2 13 2" xfId="10005"/>
    <cellStyle name="Note 4 4 2 13 2 2" xfId="22014"/>
    <cellStyle name="Note 4 4 2 13 2 2 2" xfId="42082"/>
    <cellStyle name="Note 4 4 2 13 2 3" xfId="30191"/>
    <cellStyle name="Note 4 4 2 13 3" xfId="17448"/>
    <cellStyle name="Note 4 4 2 13 3 2" xfId="37516"/>
    <cellStyle name="Note 4 4 2 13 4" xfId="30190"/>
    <cellStyle name="Note 4 4 2 14" xfId="10006"/>
    <cellStyle name="Note 4 4 2 14 2" xfId="10007"/>
    <cellStyle name="Note 4 4 2 14 2 2" xfId="22015"/>
    <cellStyle name="Note 4 4 2 14 2 2 2" xfId="42083"/>
    <cellStyle name="Note 4 4 2 14 2 3" xfId="30193"/>
    <cellStyle name="Note 4 4 2 14 3" xfId="17574"/>
    <cellStyle name="Note 4 4 2 14 3 2" xfId="37642"/>
    <cellStyle name="Note 4 4 2 14 4" xfId="30192"/>
    <cellStyle name="Note 4 4 2 15" xfId="10008"/>
    <cellStyle name="Note 4 4 2 15 2" xfId="10009"/>
    <cellStyle name="Note 4 4 2 15 2 2" xfId="22016"/>
    <cellStyle name="Note 4 4 2 15 2 2 2" xfId="42084"/>
    <cellStyle name="Note 4 4 2 15 2 3" xfId="30195"/>
    <cellStyle name="Note 4 4 2 15 3" xfId="16686"/>
    <cellStyle name="Note 4 4 2 15 3 2" xfId="36754"/>
    <cellStyle name="Note 4 4 2 15 4" xfId="30194"/>
    <cellStyle name="Note 4 4 2 16" xfId="10010"/>
    <cellStyle name="Note 4 4 2 16 2" xfId="10011"/>
    <cellStyle name="Note 4 4 2 16 2 2" xfId="22017"/>
    <cellStyle name="Note 4 4 2 16 2 2 2" xfId="42085"/>
    <cellStyle name="Note 4 4 2 16 2 3" xfId="30197"/>
    <cellStyle name="Note 4 4 2 16 3" xfId="17824"/>
    <cellStyle name="Note 4 4 2 16 3 2" xfId="37892"/>
    <cellStyle name="Note 4 4 2 16 4" xfId="30196"/>
    <cellStyle name="Note 4 4 2 17" xfId="10012"/>
    <cellStyle name="Note 4 4 2 17 2" xfId="10013"/>
    <cellStyle name="Note 4 4 2 17 2 2" xfId="22018"/>
    <cellStyle name="Note 4 4 2 17 2 2 2" xfId="42086"/>
    <cellStyle name="Note 4 4 2 17 2 3" xfId="30199"/>
    <cellStyle name="Note 4 4 2 17 3" xfId="17962"/>
    <cellStyle name="Note 4 4 2 17 3 2" xfId="38030"/>
    <cellStyle name="Note 4 4 2 17 4" xfId="30198"/>
    <cellStyle name="Note 4 4 2 18" xfId="10014"/>
    <cellStyle name="Note 4 4 2 18 2" xfId="10015"/>
    <cellStyle name="Note 4 4 2 18 2 2" xfId="22019"/>
    <cellStyle name="Note 4 4 2 18 2 2 2" xfId="42087"/>
    <cellStyle name="Note 4 4 2 18 2 3" xfId="30201"/>
    <cellStyle name="Note 4 4 2 18 3" xfId="18101"/>
    <cellStyle name="Note 4 4 2 18 3 2" xfId="38169"/>
    <cellStyle name="Note 4 4 2 18 4" xfId="30200"/>
    <cellStyle name="Note 4 4 2 19" xfId="10016"/>
    <cellStyle name="Note 4 4 2 19 2" xfId="10017"/>
    <cellStyle name="Note 4 4 2 19 2 2" xfId="22020"/>
    <cellStyle name="Note 4 4 2 19 2 2 2" xfId="42088"/>
    <cellStyle name="Note 4 4 2 19 2 3" xfId="30203"/>
    <cellStyle name="Note 4 4 2 19 3" xfId="18219"/>
    <cellStyle name="Note 4 4 2 19 3 2" xfId="38287"/>
    <cellStyle name="Note 4 4 2 19 4" xfId="30202"/>
    <cellStyle name="Note 4 4 2 2" xfId="10018"/>
    <cellStyle name="Note 4 4 2 2 2" xfId="10019"/>
    <cellStyle name="Note 4 4 2 2 2 2" xfId="22021"/>
    <cellStyle name="Note 4 4 2 2 2 2 2" xfId="42089"/>
    <cellStyle name="Note 4 4 2 2 2 3" xfId="30205"/>
    <cellStyle name="Note 4 4 2 2 3" xfId="14687"/>
    <cellStyle name="Note 4 4 2 2 3 2" xfId="34755"/>
    <cellStyle name="Note 4 4 2 2 4" xfId="30204"/>
    <cellStyle name="Note 4 4 2 20" xfId="10020"/>
    <cellStyle name="Note 4 4 2 20 2" xfId="10021"/>
    <cellStyle name="Note 4 4 2 20 2 2" xfId="22022"/>
    <cellStyle name="Note 4 4 2 20 2 2 2" xfId="42090"/>
    <cellStyle name="Note 4 4 2 20 2 3" xfId="30207"/>
    <cellStyle name="Note 4 4 2 20 3" xfId="18039"/>
    <cellStyle name="Note 4 4 2 20 3 2" xfId="38107"/>
    <cellStyle name="Note 4 4 2 20 4" xfId="30206"/>
    <cellStyle name="Note 4 4 2 21" xfId="10022"/>
    <cellStyle name="Note 4 4 2 21 2" xfId="10023"/>
    <cellStyle name="Note 4 4 2 21 2 2" xfId="22023"/>
    <cellStyle name="Note 4 4 2 21 2 2 2" xfId="42091"/>
    <cellStyle name="Note 4 4 2 21 2 3" xfId="30209"/>
    <cellStyle name="Note 4 4 2 21 3" xfId="18424"/>
    <cellStyle name="Note 4 4 2 21 3 2" xfId="38492"/>
    <cellStyle name="Note 4 4 2 21 4" xfId="30208"/>
    <cellStyle name="Note 4 4 2 22" xfId="10024"/>
    <cellStyle name="Note 4 4 2 22 2" xfId="10025"/>
    <cellStyle name="Note 4 4 2 22 2 2" xfId="22024"/>
    <cellStyle name="Note 4 4 2 22 2 2 2" xfId="42092"/>
    <cellStyle name="Note 4 4 2 22 2 3" xfId="30211"/>
    <cellStyle name="Note 4 4 2 22 3" xfId="18557"/>
    <cellStyle name="Note 4 4 2 22 3 2" xfId="38625"/>
    <cellStyle name="Note 4 4 2 22 4" xfId="30210"/>
    <cellStyle name="Note 4 4 2 23" xfId="10026"/>
    <cellStyle name="Note 4 4 2 23 2" xfId="10027"/>
    <cellStyle name="Note 4 4 2 23 2 2" xfId="22025"/>
    <cellStyle name="Note 4 4 2 23 2 2 2" xfId="42093"/>
    <cellStyle name="Note 4 4 2 23 2 3" xfId="30213"/>
    <cellStyle name="Note 4 4 2 23 3" xfId="18668"/>
    <cellStyle name="Note 4 4 2 23 3 2" xfId="38736"/>
    <cellStyle name="Note 4 4 2 23 4" xfId="30212"/>
    <cellStyle name="Note 4 4 2 24" xfId="10028"/>
    <cellStyle name="Note 4 4 2 24 2" xfId="10029"/>
    <cellStyle name="Note 4 4 2 24 2 2" xfId="22026"/>
    <cellStyle name="Note 4 4 2 24 2 2 2" xfId="42094"/>
    <cellStyle name="Note 4 4 2 24 2 3" xfId="30215"/>
    <cellStyle name="Note 4 4 2 24 3" xfId="18768"/>
    <cellStyle name="Note 4 4 2 24 3 2" xfId="38836"/>
    <cellStyle name="Note 4 4 2 24 4" xfId="30214"/>
    <cellStyle name="Note 4 4 2 25" xfId="10030"/>
    <cellStyle name="Note 4 4 2 25 2" xfId="10031"/>
    <cellStyle name="Note 4 4 2 25 2 2" xfId="22027"/>
    <cellStyle name="Note 4 4 2 25 2 2 2" xfId="42095"/>
    <cellStyle name="Note 4 4 2 25 2 3" xfId="30217"/>
    <cellStyle name="Note 4 4 2 25 3" xfId="18868"/>
    <cellStyle name="Note 4 4 2 25 3 2" xfId="38936"/>
    <cellStyle name="Note 4 4 2 25 4" xfId="30216"/>
    <cellStyle name="Note 4 4 2 26" xfId="10032"/>
    <cellStyle name="Note 4 4 2 26 2" xfId="22010"/>
    <cellStyle name="Note 4 4 2 26 2 2" xfId="42078"/>
    <cellStyle name="Note 4 4 2 26 3" xfId="30218"/>
    <cellStyle name="Note 4 4 2 27" xfId="14299"/>
    <cellStyle name="Note 4 4 2 27 2" xfId="34367"/>
    <cellStyle name="Note 4 4 2 28" xfId="30183"/>
    <cellStyle name="Note 4 4 2 3" xfId="10033"/>
    <cellStyle name="Note 4 4 2 3 2" xfId="10034"/>
    <cellStyle name="Note 4 4 2 3 2 2" xfId="22028"/>
    <cellStyle name="Note 4 4 2 3 2 2 2" xfId="42096"/>
    <cellStyle name="Note 4 4 2 3 2 3" xfId="30220"/>
    <cellStyle name="Note 4 4 2 3 3" xfId="14811"/>
    <cellStyle name="Note 4 4 2 3 3 2" xfId="34879"/>
    <cellStyle name="Note 4 4 2 3 4" xfId="30219"/>
    <cellStyle name="Note 4 4 2 4" xfId="10035"/>
    <cellStyle name="Note 4 4 2 4 2" xfId="10036"/>
    <cellStyle name="Note 4 4 2 4 2 2" xfId="22029"/>
    <cellStyle name="Note 4 4 2 4 2 2 2" xfId="42097"/>
    <cellStyle name="Note 4 4 2 4 2 3" xfId="30222"/>
    <cellStyle name="Note 4 4 2 4 3" xfId="14936"/>
    <cellStyle name="Note 4 4 2 4 3 2" xfId="35004"/>
    <cellStyle name="Note 4 4 2 4 4" xfId="30221"/>
    <cellStyle name="Note 4 4 2 5" xfId="10037"/>
    <cellStyle name="Note 4 4 2 5 2" xfId="10038"/>
    <cellStyle name="Note 4 4 2 5 2 2" xfId="22030"/>
    <cellStyle name="Note 4 4 2 5 2 2 2" xfId="42098"/>
    <cellStyle name="Note 4 4 2 5 2 3" xfId="30224"/>
    <cellStyle name="Note 4 4 2 5 3" xfId="15105"/>
    <cellStyle name="Note 4 4 2 5 3 2" xfId="35173"/>
    <cellStyle name="Note 4 4 2 5 4" xfId="30223"/>
    <cellStyle name="Note 4 4 2 6" xfId="10039"/>
    <cellStyle name="Note 4 4 2 6 2" xfId="10040"/>
    <cellStyle name="Note 4 4 2 6 2 2" xfId="22031"/>
    <cellStyle name="Note 4 4 2 6 2 2 2" xfId="42099"/>
    <cellStyle name="Note 4 4 2 6 2 3" xfId="30226"/>
    <cellStyle name="Note 4 4 2 6 3" xfId="15018"/>
    <cellStyle name="Note 4 4 2 6 3 2" xfId="35086"/>
    <cellStyle name="Note 4 4 2 6 4" xfId="30225"/>
    <cellStyle name="Note 4 4 2 7" xfId="10041"/>
    <cellStyle name="Note 4 4 2 7 2" xfId="10042"/>
    <cellStyle name="Note 4 4 2 7 2 2" xfId="22032"/>
    <cellStyle name="Note 4 4 2 7 2 2 2" xfId="42100"/>
    <cellStyle name="Note 4 4 2 7 2 3" xfId="30228"/>
    <cellStyle name="Note 4 4 2 7 3" xfId="15237"/>
    <cellStyle name="Note 4 4 2 7 3 2" xfId="35305"/>
    <cellStyle name="Note 4 4 2 7 4" xfId="30227"/>
    <cellStyle name="Note 4 4 2 8" xfId="10043"/>
    <cellStyle name="Note 4 4 2 8 2" xfId="10044"/>
    <cellStyle name="Note 4 4 2 8 2 2" xfId="22033"/>
    <cellStyle name="Note 4 4 2 8 2 2 2" xfId="42101"/>
    <cellStyle name="Note 4 4 2 8 2 3" xfId="30230"/>
    <cellStyle name="Note 4 4 2 8 3" xfId="16602"/>
    <cellStyle name="Note 4 4 2 8 3 2" xfId="36670"/>
    <cellStyle name="Note 4 4 2 8 4" xfId="30229"/>
    <cellStyle name="Note 4 4 2 9" xfId="10045"/>
    <cellStyle name="Note 4 4 2 9 2" xfId="10046"/>
    <cellStyle name="Note 4 4 2 9 2 2" xfId="22034"/>
    <cellStyle name="Note 4 4 2 9 2 2 2" xfId="42102"/>
    <cellStyle name="Note 4 4 2 9 2 3" xfId="30232"/>
    <cellStyle name="Note 4 4 2 9 3" xfId="16806"/>
    <cellStyle name="Note 4 4 2 9 3 2" xfId="36874"/>
    <cellStyle name="Note 4 4 2 9 4" xfId="30231"/>
    <cellStyle name="Note 4 4 20" xfId="10047"/>
    <cellStyle name="Note 4 4 20 2" xfId="10048"/>
    <cellStyle name="Note 4 4 20 2 2" xfId="22035"/>
    <cellStyle name="Note 4 4 20 2 2 2" xfId="42103"/>
    <cellStyle name="Note 4 4 20 2 3" xfId="30234"/>
    <cellStyle name="Note 4 4 20 3" xfId="15404"/>
    <cellStyle name="Note 4 4 20 3 2" xfId="35472"/>
    <cellStyle name="Note 4 4 20 4" xfId="30233"/>
    <cellStyle name="Note 4 4 21" xfId="10049"/>
    <cellStyle name="Note 4 4 21 2" xfId="10050"/>
    <cellStyle name="Note 4 4 21 2 2" xfId="22036"/>
    <cellStyle name="Note 4 4 21 2 2 2" xfId="42104"/>
    <cellStyle name="Note 4 4 21 2 3" xfId="30236"/>
    <cellStyle name="Note 4 4 21 3" xfId="15897"/>
    <cellStyle name="Note 4 4 21 3 2" xfId="35965"/>
    <cellStyle name="Note 4 4 21 4" xfId="30235"/>
    <cellStyle name="Note 4 4 22" xfId="10051"/>
    <cellStyle name="Note 4 4 22 2" xfId="10052"/>
    <cellStyle name="Note 4 4 22 2 2" xfId="22037"/>
    <cellStyle name="Note 4 4 22 2 2 2" xfId="42105"/>
    <cellStyle name="Note 4 4 22 2 3" xfId="30238"/>
    <cellStyle name="Note 4 4 22 3" xfId="18258"/>
    <cellStyle name="Note 4 4 22 3 2" xfId="38326"/>
    <cellStyle name="Note 4 4 22 4" xfId="30237"/>
    <cellStyle name="Note 4 4 23" xfId="10053"/>
    <cellStyle name="Note 4 4 23 2" xfId="10054"/>
    <cellStyle name="Note 4 4 23 2 2" xfId="22038"/>
    <cellStyle name="Note 4 4 23 2 2 2" xfId="42106"/>
    <cellStyle name="Note 4 4 23 2 3" xfId="30240"/>
    <cellStyle name="Note 4 4 23 3" xfId="15657"/>
    <cellStyle name="Note 4 4 23 3 2" xfId="35725"/>
    <cellStyle name="Note 4 4 23 4" xfId="30239"/>
    <cellStyle name="Note 4 4 24" xfId="10055"/>
    <cellStyle name="Note 4 4 24 2" xfId="10056"/>
    <cellStyle name="Note 4 4 24 2 2" xfId="22039"/>
    <cellStyle name="Note 4 4 24 2 2 2" xfId="42107"/>
    <cellStyle name="Note 4 4 24 2 3" xfId="30242"/>
    <cellStyle name="Note 4 4 24 3" xfId="16332"/>
    <cellStyle name="Note 4 4 24 3 2" xfId="36400"/>
    <cellStyle name="Note 4 4 24 4" xfId="30241"/>
    <cellStyle name="Note 4 4 25" xfId="10057"/>
    <cellStyle name="Note 4 4 25 2" xfId="10058"/>
    <cellStyle name="Note 4 4 25 2 2" xfId="22040"/>
    <cellStyle name="Note 4 4 25 2 2 2" xfId="42108"/>
    <cellStyle name="Note 4 4 25 2 3" xfId="30244"/>
    <cellStyle name="Note 4 4 25 3" xfId="17758"/>
    <cellStyle name="Note 4 4 25 3 2" xfId="37826"/>
    <cellStyle name="Note 4 4 25 4" xfId="30243"/>
    <cellStyle name="Note 4 4 26" xfId="10059"/>
    <cellStyle name="Note 4 4 26 2" xfId="10060"/>
    <cellStyle name="Note 4 4 26 2 2" xfId="22041"/>
    <cellStyle name="Note 4 4 26 2 2 2" xfId="42109"/>
    <cellStyle name="Note 4 4 26 2 3" xfId="30246"/>
    <cellStyle name="Note 4 4 26 3" xfId="16191"/>
    <cellStyle name="Note 4 4 26 3 2" xfId="36259"/>
    <cellStyle name="Note 4 4 26 4" xfId="30245"/>
    <cellStyle name="Note 4 4 27" xfId="10061"/>
    <cellStyle name="Note 4 4 27 2" xfId="10062"/>
    <cellStyle name="Note 4 4 27 2 2" xfId="22042"/>
    <cellStyle name="Note 4 4 27 2 2 2" xfId="42110"/>
    <cellStyle name="Note 4 4 27 2 3" xfId="30248"/>
    <cellStyle name="Note 4 4 27 3" xfId="17038"/>
    <cellStyle name="Note 4 4 27 3 2" xfId="37106"/>
    <cellStyle name="Note 4 4 27 4" xfId="30247"/>
    <cellStyle name="Note 4 4 28" xfId="10063"/>
    <cellStyle name="Note 4 4 28 2" xfId="21999"/>
    <cellStyle name="Note 4 4 28 2 2" xfId="42067"/>
    <cellStyle name="Note 4 4 28 3" xfId="30249"/>
    <cellStyle name="Note 4 4 29" xfId="13918"/>
    <cellStyle name="Note 4 4 29 2" xfId="33986"/>
    <cellStyle name="Note 4 4 3" xfId="10064"/>
    <cellStyle name="Note 4 4 3 2" xfId="10065"/>
    <cellStyle name="Note 4 4 3 2 2" xfId="22043"/>
    <cellStyle name="Note 4 4 3 2 2 2" xfId="42111"/>
    <cellStyle name="Note 4 4 3 2 3" xfId="30251"/>
    <cellStyle name="Note 4 4 3 3" xfId="14558"/>
    <cellStyle name="Note 4 4 3 3 2" xfId="34626"/>
    <cellStyle name="Note 4 4 3 4" xfId="30250"/>
    <cellStyle name="Note 4 4 30" xfId="30162"/>
    <cellStyle name="Note 4 4 4" xfId="10066"/>
    <cellStyle name="Note 4 4 4 2" xfId="10067"/>
    <cellStyle name="Note 4 4 4 2 2" xfId="22044"/>
    <cellStyle name="Note 4 4 4 2 2 2" xfId="42112"/>
    <cellStyle name="Note 4 4 4 2 3" xfId="30253"/>
    <cellStyle name="Note 4 4 4 3" xfId="14503"/>
    <cellStyle name="Note 4 4 4 3 2" xfId="34571"/>
    <cellStyle name="Note 4 4 4 4" xfId="30252"/>
    <cellStyle name="Note 4 4 5" xfId="10068"/>
    <cellStyle name="Note 4 4 5 2" xfId="10069"/>
    <cellStyle name="Note 4 4 5 2 2" xfId="22045"/>
    <cellStyle name="Note 4 4 5 2 2 2" xfId="42113"/>
    <cellStyle name="Note 4 4 5 2 3" xfId="30255"/>
    <cellStyle name="Note 4 4 5 3" xfId="14560"/>
    <cellStyle name="Note 4 4 5 3 2" xfId="34628"/>
    <cellStyle name="Note 4 4 5 4" xfId="30254"/>
    <cellStyle name="Note 4 4 6" xfId="10070"/>
    <cellStyle name="Note 4 4 6 2" xfId="10071"/>
    <cellStyle name="Note 4 4 6 2 2" xfId="22046"/>
    <cellStyle name="Note 4 4 6 2 2 2" xfId="42114"/>
    <cellStyle name="Note 4 4 6 2 3" xfId="30257"/>
    <cellStyle name="Note 4 4 6 3" xfId="14971"/>
    <cellStyle name="Note 4 4 6 3 2" xfId="35039"/>
    <cellStyle name="Note 4 4 6 4" xfId="30256"/>
    <cellStyle name="Note 4 4 7" xfId="10072"/>
    <cellStyle name="Note 4 4 7 2" xfId="10073"/>
    <cellStyle name="Note 4 4 7 2 2" xfId="22047"/>
    <cellStyle name="Note 4 4 7 2 2 2" xfId="42115"/>
    <cellStyle name="Note 4 4 7 2 3" xfId="30259"/>
    <cellStyle name="Note 4 4 7 3" xfId="14607"/>
    <cellStyle name="Note 4 4 7 3 2" xfId="34675"/>
    <cellStyle name="Note 4 4 7 4" xfId="30258"/>
    <cellStyle name="Note 4 4 8" xfId="10074"/>
    <cellStyle name="Note 4 4 8 2" xfId="10075"/>
    <cellStyle name="Note 4 4 8 2 2" xfId="22048"/>
    <cellStyle name="Note 4 4 8 2 2 2" xfId="42116"/>
    <cellStyle name="Note 4 4 8 2 3" xfId="30261"/>
    <cellStyle name="Note 4 4 8 3" xfId="14513"/>
    <cellStyle name="Note 4 4 8 3 2" xfId="34581"/>
    <cellStyle name="Note 4 4 8 4" xfId="30260"/>
    <cellStyle name="Note 4 4 9" xfId="10076"/>
    <cellStyle name="Note 4 4 9 2" xfId="10077"/>
    <cellStyle name="Note 4 4 9 2 2" xfId="22049"/>
    <cellStyle name="Note 4 4 9 2 2 2" xfId="42117"/>
    <cellStyle name="Note 4 4 9 2 3" xfId="30263"/>
    <cellStyle name="Note 4 4 9 3" xfId="15324"/>
    <cellStyle name="Note 4 4 9 3 2" xfId="35392"/>
    <cellStyle name="Note 4 4 9 4" xfId="30262"/>
    <cellStyle name="Note 4 5" xfId="10078"/>
    <cellStyle name="Note 4 5 10" xfId="10079"/>
    <cellStyle name="Note 4 5 10 2" xfId="10080"/>
    <cellStyle name="Note 4 5 10 2 2" xfId="22051"/>
    <cellStyle name="Note 4 5 10 2 2 2" xfId="42119"/>
    <cellStyle name="Note 4 5 10 2 3" xfId="30266"/>
    <cellStyle name="Note 4 5 10 3" xfId="16962"/>
    <cellStyle name="Note 4 5 10 3 2" xfId="37030"/>
    <cellStyle name="Note 4 5 10 4" xfId="30265"/>
    <cellStyle name="Note 4 5 11" xfId="10081"/>
    <cellStyle name="Note 4 5 11 2" xfId="10082"/>
    <cellStyle name="Note 4 5 11 2 2" xfId="22052"/>
    <cellStyle name="Note 4 5 11 2 2 2" xfId="42120"/>
    <cellStyle name="Note 4 5 11 2 3" xfId="30268"/>
    <cellStyle name="Note 4 5 11 3" xfId="17107"/>
    <cellStyle name="Note 4 5 11 3 2" xfId="37175"/>
    <cellStyle name="Note 4 5 11 4" xfId="30267"/>
    <cellStyle name="Note 4 5 12" xfId="10083"/>
    <cellStyle name="Note 4 5 12 2" xfId="10084"/>
    <cellStyle name="Note 4 5 12 2 2" xfId="22053"/>
    <cellStyle name="Note 4 5 12 2 2 2" xfId="42121"/>
    <cellStyle name="Note 4 5 12 2 3" xfId="30270"/>
    <cellStyle name="Note 4 5 12 3" xfId="17279"/>
    <cellStyle name="Note 4 5 12 3 2" xfId="37347"/>
    <cellStyle name="Note 4 5 12 4" xfId="30269"/>
    <cellStyle name="Note 4 5 13" xfId="10085"/>
    <cellStyle name="Note 4 5 13 2" xfId="10086"/>
    <cellStyle name="Note 4 5 13 2 2" xfId="22054"/>
    <cellStyle name="Note 4 5 13 2 2 2" xfId="42122"/>
    <cellStyle name="Note 4 5 13 2 3" xfId="30272"/>
    <cellStyle name="Note 4 5 13 3" xfId="17443"/>
    <cellStyle name="Note 4 5 13 3 2" xfId="37511"/>
    <cellStyle name="Note 4 5 13 4" xfId="30271"/>
    <cellStyle name="Note 4 5 14" xfId="10087"/>
    <cellStyle name="Note 4 5 14 2" xfId="10088"/>
    <cellStyle name="Note 4 5 14 2 2" xfId="22055"/>
    <cellStyle name="Note 4 5 14 2 2 2" xfId="42123"/>
    <cellStyle name="Note 4 5 14 2 3" xfId="30274"/>
    <cellStyle name="Note 4 5 14 3" xfId="17569"/>
    <cellStyle name="Note 4 5 14 3 2" xfId="37637"/>
    <cellStyle name="Note 4 5 14 4" xfId="30273"/>
    <cellStyle name="Note 4 5 15" xfId="10089"/>
    <cellStyle name="Note 4 5 15 2" xfId="10090"/>
    <cellStyle name="Note 4 5 15 2 2" xfId="22056"/>
    <cellStyle name="Note 4 5 15 2 2 2" xfId="42124"/>
    <cellStyle name="Note 4 5 15 2 3" xfId="30276"/>
    <cellStyle name="Note 4 5 15 3" xfId="17649"/>
    <cellStyle name="Note 4 5 15 3 2" xfId="37717"/>
    <cellStyle name="Note 4 5 15 4" xfId="30275"/>
    <cellStyle name="Note 4 5 16" xfId="10091"/>
    <cellStyle name="Note 4 5 16 2" xfId="10092"/>
    <cellStyle name="Note 4 5 16 2 2" xfId="22057"/>
    <cellStyle name="Note 4 5 16 2 2 2" xfId="42125"/>
    <cellStyle name="Note 4 5 16 2 3" xfId="30278"/>
    <cellStyle name="Note 4 5 16 3" xfId="17819"/>
    <cellStyle name="Note 4 5 16 3 2" xfId="37887"/>
    <cellStyle name="Note 4 5 16 4" xfId="30277"/>
    <cellStyle name="Note 4 5 17" xfId="10093"/>
    <cellStyle name="Note 4 5 17 2" xfId="10094"/>
    <cellStyle name="Note 4 5 17 2 2" xfId="22058"/>
    <cellStyle name="Note 4 5 17 2 2 2" xfId="42126"/>
    <cellStyle name="Note 4 5 17 2 3" xfId="30280"/>
    <cellStyle name="Note 4 5 17 3" xfId="17957"/>
    <cellStyle name="Note 4 5 17 3 2" xfId="38025"/>
    <cellStyle name="Note 4 5 17 4" xfId="30279"/>
    <cellStyle name="Note 4 5 18" xfId="10095"/>
    <cellStyle name="Note 4 5 18 2" xfId="10096"/>
    <cellStyle name="Note 4 5 18 2 2" xfId="22059"/>
    <cellStyle name="Note 4 5 18 2 2 2" xfId="42127"/>
    <cellStyle name="Note 4 5 18 2 3" xfId="30282"/>
    <cellStyle name="Note 4 5 18 3" xfId="18096"/>
    <cellStyle name="Note 4 5 18 3 2" xfId="38164"/>
    <cellStyle name="Note 4 5 18 4" xfId="30281"/>
    <cellStyle name="Note 4 5 19" xfId="10097"/>
    <cellStyle name="Note 4 5 19 2" xfId="10098"/>
    <cellStyle name="Note 4 5 19 2 2" xfId="22060"/>
    <cellStyle name="Note 4 5 19 2 2 2" xfId="42128"/>
    <cellStyle name="Note 4 5 19 2 3" xfId="30284"/>
    <cellStyle name="Note 4 5 19 3" xfId="18214"/>
    <cellStyle name="Note 4 5 19 3 2" xfId="38282"/>
    <cellStyle name="Note 4 5 19 4" xfId="30283"/>
    <cellStyle name="Note 4 5 2" xfId="10099"/>
    <cellStyle name="Note 4 5 2 2" xfId="10100"/>
    <cellStyle name="Note 4 5 2 2 2" xfId="22061"/>
    <cellStyle name="Note 4 5 2 2 2 2" xfId="42129"/>
    <cellStyle name="Note 4 5 2 2 3" xfId="30286"/>
    <cellStyle name="Note 4 5 2 3" xfId="14682"/>
    <cellStyle name="Note 4 5 2 3 2" xfId="34750"/>
    <cellStyle name="Note 4 5 2 4" xfId="30285"/>
    <cellStyle name="Note 4 5 20" xfId="10101"/>
    <cellStyle name="Note 4 5 20 2" xfId="10102"/>
    <cellStyle name="Note 4 5 20 2 2" xfId="22062"/>
    <cellStyle name="Note 4 5 20 2 2 2" xfId="42130"/>
    <cellStyle name="Note 4 5 20 2 3" xfId="30288"/>
    <cellStyle name="Note 4 5 20 3" xfId="18141"/>
    <cellStyle name="Note 4 5 20 3 2" xfId="38209"/>
    <cellStyle name="Note 4 5 20 4" xfId="30287"/>
    <cellStyle name="Note 4 5 21" xfId="10103"/>
    <cellStyle name="Note 4 5 21 2" xfId="10104"/>
    <cellStyle name="Note 4 5 21 2 2" xfId="22063"/>
    <cellStyle name="Note 4 5 21 2 2 2" xfId="42131"/>
    <cellStyle name="Note 4 5 21 2 3" xfId="30290"/>
    <cellStyle name="Note 4 5 21 3" xfId="18419"/>
    <cellStyle name="Note 4 5 21 3 2" xfId="38487"/>
    <cellStyle name="Note 4 5 21 4" xfId="30289"/>
    <cellStyle name="Note 4 5 22" xfId="10105"/>
    <cellStyle name="Note 4 5 22 2" xfId="10106"/>
    <cellStyle name="Note 4 5 22 2 2" xfId="22064"/>
    <cellStyle name="Note 4 5 22 2 2 2" xfId="42132"/>
    <cellStyle name="Note 4 5 22 2 3" xfId="30292"/>
    <cellStyle name="Note 4 5 22 3" xfId="18552"/>
    <cellStyle name="Note 4 5 22 3 2" xfId="38620"/>
    <cellStyle name="Note 4 5 22 4" xfId="30291"/>
    <cellStyle name="Note 4 5 23" xfId="10107"/>
    <cellStyle name="Note 4 5 23 2" xfId="10108"/>
    <cellStyle name="Note 4 5 23 2 2" xfId="22065"/>
    <cellStyle name="Note 4 5 23 2 2 2" xfId="42133"/>
    <cellStyle name="Note 4 5 23 2 3" xfId="30294"/>
    <cellStyle name="Note 4 5 23 3" xfId="18663"/>
    <cellStyle name="Note 4 5 23 3 2" xfId="38731"/>
    <cellStyle name="Note 4 5 23 4" xfId="30293"/>
    <cellStyle name="Note 4 5 24" xfId="10109"/>
    <cellStyle name="Note 4 5 24 2" xfId="10110"/>
    <cellStyle name="Note 4 5 24 2 2" xfId="22066"/>
    <cellStyle name="Note 4 5 24 2 2 2" xfId="42134"/>
    <cellStyle name="Note 4 5 24 2 3" xfId="30296"/>
    <cellStyle name="Note 4 5 24 3" xfId="18763"/>
    <cellStyle name="Note 4 5 24 3 2" xfId="38831"/>
    <cellStyle name="Note 4 5 24 4" xfId="30295"/>
    <cellStyle name="Note 4 5 25" xfId="10111"/>
    <cellStyle name="Note 4 5 25 2" xfId="10112"/>
    <cellStyle name="Note 4 5 25 2 2" xfId="22067"/>
    <cellStyle name="Note 4 5 25 2 2 2" xfId="42135"/>
    <cellStyle name="Note 4 5 25 2 3" xfId="30298"/>
    <cellStyle name="Note 4 5 25 3" xfId="18863"/>
    <cellStyle name="Note 4 5 25 3 2" xfId="38931"/>
    <cellStyle name="Note 4 5 25 4" xfId="30297"/>
    <cellStyle name="Note 4 5 26" xfId="10113"/>
    <cellStyle name="Note 4 5 26 2" xfId="22050"/>
    <cellStyle name="Note 4 5 26 2 2" xfId="42118"/>
    <cellStyle name="Note 4 5 26 3" xfId="30299"/>
    <cellStyle name="Note 4 5 27" xfId="14519"/>
    <cellStyle name="Note 4 5 27 2" xfId="34587"/>
    <cellStyle name="Note 4 5 28" xfId="30264"/>
    <cellStyle name="Note 4 5 3" xfId="10114"/>
    <cellStyle name="Note 4 5 3 2" xfId="10115"/>
    <cellStyle name="Note 4 5 3 2 2" xfId="22068"/>
    <cellStyle name="Note 4 5 3 2 2 2" xfId="42136"/>
    <cellStyle name="Note 4 5 3 2 3" xfId="30301"/>
    <cellStyle name="Note 4 5 3 3" xfId="14806"/>
    <cellStyle name="Note 4 5 3 3 2" xfId="34874"/>
    <cellStyle name="Note 4 5 3 4" xfId="30300"/>
    <cellStyle name="Note 4 5 4" xfId="10116"/>
    <cellStyle name="Note 4 5 4 2" xfId="10117"/>
    <cellStyle name="Note 4 5 4 2 2" xfId="22069"/>
    <cellStyle name="Note 4 5 4 2 2 2" xfId="42137"/>
    <cellStyle name="Note 4 5 4 2 3" xfId="30303"/>
    <cellStyle name="Note 4 5 4 3" xfId="14931"/>
    <cellStyle name="Note 4 5 4 3 2" xfId="34999"/>
    <cellStyle name="Note 4 5 4 4" xfId="30302"/>
    <cellStyle name="Note 4 5 5" xfId="10118"/>
    <cellStyle name="Note 4 5 5 2" xfId="10119"/>
    <cellStyle name="Note 4 5 5 2 2" xfId="22070"/>
    <cellStyle name="Note 4 5 5 2 2 2" xfId="42138"/>
    <cellStyle name="Note 4 5 5 2 3" xfId="30305"/>
    <cellStyle name="Note 4 5 5 3" xfId="15100"/>
    <cellStyle name="Note 4 5 5 3 2" xfId="35168"/>
    <cellStyle name="Note 4 5 5 4" xfId="30304"/>
    <cellStyle name="Note 4 5 6" xfId="10120"/>
    <cellStyle name="Note 4 5 6 2" xfId="10121"/>
    <cellStyle name="Note 4 5 6 2 2" xfId="22071"/>
    <cellStyle name="Note 4 5 6 2 2 2" xfId="42139"/>
    <cellStyle name="Note 4 5 6 2 3" xfId="30307"/>
    <cellStyle name="Note 4 5 6 3" xfId="15015"/>
    <cellStyle name="Note 4 5 6 3 2" xfId="35083"/>
    <cellStyle name="Note 4 5 6 4" xfId="30306"/>
    <cellStyle name="Note 4 5 7" xfId="10122"/>
    <cellStyle name="Note 4 5 7 2" xfId="10123"/>
    <cellStyle name="Note 4 5 7 2 2" xfId="22072"/>
    <cellStyle name="Note 4 5 7 2 2 2" xfId="42140"/>
    <cellStyle name="Note 4 5 7 2 3" xfId="30309"/>
    <cellStyle name="Note 4 5 7 3" xfId="15232"/>
    <cellStyle name="Note 4 5 7 3 2" xfId="35300"/>
    <cellStyle name="Note 4 5 7 4" xfId="30308"/>
    <cellStyle name="Note 4 5 8" xfId="10124"/>
    <cellStyle name="Note 4 5 8 2" xfId="10125"/>
    <cellStyle name="Note 4 5 8 2 2" xfId="22073"/>
    <cellStyle name="Note 4 5 8 2 2 2" xfId="42141"/>
    <cellStyle name="Note 4 5 8 2 3" xfId="30311"/>
    <cellStyle name="Note 4 5 8 3" xfId="16597"/>
    <cellStyle name="Note 4 5 8 3 2" xfId="36665"/>
    <cellStyle name="Note 4 5 8 4" xfId="30310"/>
    <cellStyle name="Note 4 5 9" xfId="10126"/>
    <cellStyle name="Note 4 5 9 2" xfId="10127"/>
    <cellStyle name="Note 4 5 9 2 2" xfId="22074"/>
    <cellStyle name="Note 4 5 9 2 2 2" xfId="42142"/>
    <cellStyle name="Note 4 5 9 2 3" xfId="30313"/>
    <cellStyle name="Note 4 5 9 3" xfId="16801"/>
    <cellStyle name="Note 4 5 9 3 2" xfId="36869"/>
    <cellStyle name="Note 4 5 9 4" xfId="30312"/>
    <cellStyle name="Note 4 6" xfId="10128"/>
    <cellStyle name="Note 4 6 2" xfId="10129"/>
    <cellStyle name="Note 4 6 2 2" xfId="22075"/>
    <cellStyle name="Note 4 6 2 2 2" xfId="42143"/>
    <cellStyle name="Note 4 6 2 3" xfId="30315"/>
    <cellStyle name="Note 4 6 3" xfId="14567"/>
    <cellStyle name="Note 4 6 3 2" xfId="34635"/>
    <cellStyle name="Note 4 6 4" xfId="30314"/>
    <cellStyle name="Note 4 7" xfId="10130"/>
    <cellStyle name="Note 4 7 2" xfId="10131"/>
    <cellStyle name="Note 4 7 2 2" xfId="22076"/>
    <cellStyle name="Note 4 7 2 2 2" xfId="42144"/>
    <cellStyle name="Note 4 7 2 3" xfId="30317"/>
    <cellStyle name="Note 4 7 3" xfId="14465"/>
    <cellStyle name="Note 4 7 3 2" xfId="34533"/>
    <cellStyle name="Note 4 7 4" xfId="30316"/>
    <cellStyle name="Note 4 8" xfId="10132"/>
    <cellStyle name="Note 4 8 2" xfId="10133"/>
    <cellStyle name="Note 4 8 2 2" xfId="22077"/>
    <cellStyle name="Note 4 8 2 2 2" xfId="42145"/>
    <cellStyle name="Note 4 8 2 3" xfId="30319"/>
    <cellStyle name="Note 4 8 3" xfId="14594"/>
    <cellStyle name="Note 4 8 3 2" xfId="34662"/>
    <cellStyle name="Note 4 8 4" xfId="30318"/>
    <cellStyle name="Note 4 9" xfId="10134"/>
    <cellStyle name="Note 4 9 2" xfId="10135"/>
    <cellStyle name="Note 4 9 2 2" xfId="22078"/>
    <cellStyle name="Note 4 9 2 2 2" xfId="42146"/>
    <cellStyle name="Note 4 9 2 3" xfId="30321"/>
    <cellStyle name="Note 4 9 3" xfId="14744"/>
    <cellStyle name="Note 4 9 3 2" xfId="34812"/>
    <cellStyle name="Note 4 9 4" xfId="30320"/>
    <cellStyle name="Note 4_2011-2012" xfId="10136"/>
    <cellStyle name="Note 5" xfId="10137"/>
    <cellStyle name="Note 5 10" xfId="10138"/>
    <cellStyle name="Note 5 10 2" xfId="10139"/>
    <cellStyle name="Note 5 10 2 2" xfId="22080"/>
    <cellStyle name="Note 5 10 2 2 2" xfId="42148"/>
    <cellStyle name="Note 5 10 2 3" xfId="30324"/>
    <cellStyle name="Note 5 10 3" xfId="15149"/>
    <cellStyle name="Note 5 10 3 2" xfId="35217"/>
    <cellStyle name="Note 5 10 4" xfId="30323"/>
    <cellStyle name="Note 5 11" xfId="10140"/>
    <cellStyle name="Note 5 11 2" xfId="10141"/>
    <cellStyle name="Note 5 11 2 2" xfId="22081"/>
    <cellStyle name="Note 5 11 2 2 2" xfId="42149"/>
    <cellStyle name="Note 5 11 2 3" xfId="30326"/>
    <cellStyle name="Note 5 11 3" xfId="15325"/>
    <cellStyle name="Note 5 11 3 2" xfId="35393"/>
    <cellStyle name="Note 5 11 4" xfId="30325"/>
    <cellStyle name="Note 5 12" xfId="10142"/>
    <cellStyle name="Note 5 12 2" xfId="10143"/>
    <cellStyle name="Note 5 12 2 2" xfId="22082"/>
    <cellStyle name="Note 5 12 2 2 2" xfId="42150"/>
    <cellStyle name="Note 5 12 2 3" xfId="30328"/>
    <cellStyle name="Note 5 12 3" xfId="16468"/>
    <cellStyle name="Note 5 12 3 2" xfId="36536"/>
    <cellStyle name="Note 5 12 4" xfId="30327"/>
    <cellStyle name="Note 5 13" xfId="10144"/>
    <cellStyle name="Note 5 13 2" xfId="10145"/>
    <cellStyle name="Note 5 13 2 2" xfId="22083"/>
    <cellStyle name="Note 5 13 2 2 2" xfId="42151"/>
    <cellStyle name="Note 5 13 2 3" xfId="30330"/>
    <cellStyle name="Note 5 13 3" xfId="16661"/>
    <cellStyle name="Note 5 13 3 2" xfId="36729"/>
    <cellStyle name="Note 5 13 4" xfId="30329"/>
    <cellStyle name="Note 5 14" xfId="10146"/>
    <cellStyle name="Note 5 14 2" xfId="10147"/>
    <cellStyle name="Note 5 14 2 2" xfId="22084"/>
    <cellStyle name="Note 5 14 2 2 2" xfId="42152"/>
    <cellStyle name="Note 5 14 2 3" xfId="30332"/>
    <cellStyle name="Note 5 14 3" xfId="16021"/>
    <cellStyle name="Note 5 14 3 2" xfId="36089"/>
    <cellStyle name="Note 5 14 4" xfId="30331"/>
    <cellStyle name="Note 5 15" xfId="10148"/>
    <cellStyle name="Note 5 15 2" xfId="10149"/>
    <cellStyle name="Note 5 15 2 2" xfId="22085"/>
    <cellStyle name="Note 5 15 2 2 2" xfId="42153"/>
    <cellStyle name="Note 5 15 2 3" xfId="30334"/>
    <cellStyle name="Note 5 15 3" xfId="16325"/>
    <cellStyle name="Note 5 15 3 2" xfId="36393"/>
    <cellStyle name="Note 5 15 4" xfId="30333"/>
    <cellStyle name="Note 5 16" xfId="10150"/>
    <cellStyle name="Note 5 16 2" xfId="10151"/>
    <cellStyle name="Note 5 16 2 2" xfId="22086"/>
    <cellStyle name="Note 5 16 2 2 2" xfId="42154"/>
    <cellStyle name="Note 5 16 2 3" xfId="30336"/>
    <cellStyle name="Note 5 16 3" xfId="15760"/>
    <cellStyle name="Note 5 16 3 2" xfId="35828"/>
    <cellStyle name="Note 5 16 4" xfId="30335"/>
    <cellStyle name="Note 5 17" xfId="10152"/>
    <cellStyle name="Note 5 17 2" xfId="10153"/>
    <cellStyle name="Note 5 17 2 2" xfId="22087"/>
    <cellStyle name="Note 5 17 2 2 2" xfId="42155"/>
    <cellStyle name="Note 5 17 2 3" xfId="30338"/>
    <cellStyle name="Note 5 17 3" xfId="15744"/>
    <cellStyle name="Note 5 17 3 2" xfId="35812"/>
    <cellStyle name="Note 5 17 4" xfId="30337"/>
    <cellStyle name="Note 5 18" xfId="10154"/>
    <cellStyle name="Note 5 18 2" xfId="10155"/>
    <cellStyle name="Note 5 18 2 2" xfId="22088"/>
    <cellStyle name="Note 5 18 2 2 2" xfId="42156"/>
    <cellStyle name="Note 5 18 2 3" xfId="30340"/>
    <cellStyle name="Note 5 18 3" xfId="16842"/>
    <cellStyle name="Note 5 18 3 2" xfId="36910"/>
    <cellStyle name="Note 5 18 4" xfId="30339"/>
    <cellStyle name="Note 5 19" xfId="10156"/>
    <cellStyle name="Note 5 19 2" xfId="10157"/>
    <cellStyle name="Note 5 19 2 2" xfId="22089"/>
    <cellStyle name="Note 5 19 2 2 2" xfId="42157"/>
    <cellStyle name="Note 5 19 2 3" xfId="30342"/>
    <cellStyle name="Note 5 19 3" xfId="15561"/>
    <cellStyle name="Note 5 19 3 2" xfId="35629"/>
    <cellStyle name="Note 5 19 4" xfId="30341"/>
    <cellStyle name="Note 5 2" xfId="10158"/>
    <cellStyle name="Note 5 2 10" xfId="10159"/>
    <cellStyle name="Note 5 2 10 2" xfId="10160"/>
    <cellStyle name="Note 5 2 10 2 2" xfId="22091"/>
    <cellStyle name="Note 5 2 10 2 2 2" xfId="42159"/>
    <cellStyle name="Note 5 2 10 2 3" xfId="30345"/>
    <cellStyle name="Note 5 2 10 3" xfId="16469"/>
    <cellStyle name="Note 5 2 10 3 2" xfId="36537"/>
    <cellStyle name="Note 5 2 10 4" xfId="30344"/>
    <cellStyle name="Note 5 2 11" xfId="10161"/>
    <cellStyle name="Note 5 2 11 2" xfId="10162"/>
    <cellStyle name="Note 5 2 11 2 2" xfId="22092"/>
    <cellStyle name="Note 5 2 11 2 2 2" xfId="42160"/>
    <cellStyle name="Note 5 2 11 2 3" xfId="30347"/>
    <cellStyle name="Note 5 2 11 3" xfId="16662"/>
    <cellStyle name="Note 5 2 11 3 2" xfId="36730"/>
    <cellStyle name="Note 5 2 11 4" xfId="30346"/>
    <cellStyle name="Note 5 2 12" xfId="10163"/>
    <cellStyle name="Note 5 2 12 2" xfId="10164"/>
    <cellStyle name="Note 5 2 12 2 2" xfId="22093"/>
    <cellStyle name="Note 5 2 12 2 2 2" xfId="42161"/>
    <cellStyle name="Note 5 2 12 2 3" xfId="30349"/>
    <cellStyle name="Note 5 2 12 3" xfId="15530"/>
    <cellStyle name="Note 5 2 12 3 2" xfId="35598"/>
    <cellStyle name="Note 5 2 12 4" xfId="30348"/>
    <cellStyle name="Note 5 2 13" xfId="10165"/>
    <cellStyle name="Note 5 2 13 2" xfId="10166"/>
    <cellStyle name="Note 5 2 13 2 2" xfId="22094"/>
    <cellStyle name="Note 5 2 13 2 2 2" xfId="42162"/>
    <cellStyle name="Note 5 2 13 2 3" xfId="30351"/>
    <cellStyle name="Note 5 2 13 3" xfId="15704"/>
    <cellStyle name="Note 5 2 13 3 2" xfId="35772"/>
    <cellStyle name="Note 5 2 13 4" xfId="30350"/>
    <cellStyle name="Note 5 2 14" xfId="10167"/>
    <cellStyle name="Note 5 2 14 2" xfId="10168"/>
    <cellStyle name="Note 5 2 14 2 2" xfId="22095"/>
    <cellStyle name="Note 5 2 14 2 2 2" xfId="42163"/>
    <cellStyle name="Note 5 2 14 2 3" xfId="30353"/>
    <cellStyle name="Note 5 2 14 3" xfId="16131"/>
    <cellStyle name="Note 5 2 14 3 2" xfId="36199"/>
    <cellStyle name="Note 5 2 14 4" xfId="30352"/>
    <cellStyle name="Note 5 2 15" xfId="10169"/>
    <cellStyle name="Note 5 2 15 2" xfId="10170"/>
    <cellStyle name="Note 5 2 15 2 2" xfId="22096"/>
    <cellStyle name="Note 5 2 15 2 2 2" xfId="42164"/>
    <cellStyle name="Note 5 2 15 2 3" xfId="30355"/>
    <cellStyle name="Note 5 2 15 3" xfId="17322"/>
    <cellStyle name="Note 5 2 15 3 2" xfId="37390"/>
    <cellStyle name="Note 5 2 15 4" xfId="30354"/>
    <cellStyle name="Note 5 2 16" xfId="10171"/>
    <cellStyle name="Note 5 2 16 2" xfId="10172"/>
    <cellStyle name="Note 5 2 16 2 2" xfId="22097"/>
    <cellStyle name="Note 5 2 16 2 2 2" xfId="42165"/>
    <cellStyle name="Note 5 2 16 2 3" xfId="30357"/>
    <cellStyle name="Note 5 2 16 3" xfId="16841"/>
    <cellStyle name="Note 5 2 16 3 2" xfId="36909"/>
    <cellStyle name="Note 5 2 16 4" xfId="30356"/>
    <cellStyle name="Note 5 2 17" xfId="10173"/>
    <cellStyle name="Note 5 2 17 2" xfId="10174"/>
    <cellStyle name="Note 5 2 17 2 2" xfId="22098"/>
    <cellStyle name="Note 5 2 17 2 2 2" xfId="42166"/>
    <cellStyle name="Note 5 2 17 2 3" xfId="30359"/>
    <cellStyle name="Note 5 2 17 3" xfId="16044"/>
    <cellStyle name="Note 5 2 17 3 2" xfId="36112"/>
    <cellStyle name="Note 5 2 17 4" xfId="30358"/>
    <cellStyle name="Note 5 2 18" xfId="10175"/>
    <cellStyle name="Note 5 2 18 2" xfId="10176"/>
    <cellStyle name="Note 5 2 18 2 2" xfId="22099"/>
    <cellStyle name="Note 5 2 18 2 2 2" xfId="42167"/>
    <cellStyle name="Note 5 2 18 2 3" xfId="30361"/>
    <cellStyle name="Note 5 2 18 3" xfId="17711"/>
    <cellStyle name="Note 5 2 18 3 2" xfId="37779"/>
    <cellStyle name="Note 5 2 18 4" xfId="30360"/>
    <cellStyle name="Note 5 2 19" xfId="10177"/>
    <cellStyle name="Note 5 2 19 2" xfId="10178"/>
    <cellStyle name="Note 5 2 19 2 2" xfId="22100"/>
    <cellStyle name="Note 5 2 19 2 2 2" xfId="42168"/>
    <cellStyle name="Note 5 2 19 2 3" xfId="30363"/>
    <cellStyle name="Note 5 2 19 3" xfId="15397"/>
    <cellStyle name="Note 5 2 19 3 2" xfId="35465"/>
    <cellStyle name="Note 5 2 19 4" xfId="30362"/>
    <cellStyle name="Note 5 2 2" xfId="10179"/>
    <cellStyle name="Note 5 2 2 10" xfId="10180"/>
    <cellStyle name="Note 5 2 2 10 2" xfId="10181"/>
    <cellStyle name="Note 5 2 2 10 2 2" xfId="22102"/>
    <cellStyle name="Note 5 2 2 10 2 2 2" xfId="42170"/>
    <cellStyle name="Note 5 2 2 10 2 3" xfId="30366"/>
    <cellStyle name="Note 5 2 2 10 3" xfId="16969"/>
    <cellStyle name="Note 5 2 2 10 3 2" xfId="37037"/>
    <cellStyle name="Note 5 2 2 10 4" xfId="30365"/>
    <cellStyle name="Note 5 2 2 11" xfId="10182"/>
    <cellStyle name="Note 5 2 2 11 2" xfId="10183"/>
    <cellStyle name="Note 5 2 2 11 2 2" xfId="22103"/>
    <cellStyle name="Note 5 2 2 11 2 2 2" xfId="42171"/>
    <cellStyle name="Note 5 2 2 11 2 3" xfId="30368"/>
    <cellStyle name="Note 5 2 2 11 3" xfId="17114"/>
    <cellStyle name="Note 5 2 2 11 3 2" xfId="37182"/>
    <cellStyle name="Note 5 2 2 11 4" xfId="30367"/>
    <cellStyle name="Note 5 2 2 12" xfId="10184"/>
    <cellStyle name="Note 5 2 2 12 2" xfId="10185"/>
    <cellStyle name="Note 5 2 2 12 2 2" xfId="22104"/>
    <cellStyle name="Note 5 2 2 12 2 2 2" xfId="42172"/>
    <cellStyle name="Note 5 2 2 12 2 3" xfId="30370"/>
    <cellStyle name="Note 5 2 2 12 3" xfId="17286"/>
    <cellStyle name="Note 5 2 2 12 3 2" xfId="37354"/>
    <cellStyle name="Note 5 2 2 12 4" xfId="30369"/>
    <cellStyle name="Note 5 2 2 13" xfId="10186"/>
    <cellStyle name="Note 5 2 2 13 2" xfId="10187"/>
    <cellStyle name="Note 5 2 2 13 2 2" xfId="22105"/>
    <cellStyle name="Note 5 2 2 13 2 2 2" xfId="42173"/>
    <cellStyle name="Note 5 2 2 13 2 3" xfId="30372"/>
    <cellStyle name="Note 5 2 2 13 3" xfId="17450"/>
    <cellStyle name="Note 5 2 2 13 3 2" xfId="37518"/>
    <cellStyle name="Note 5 2 2 13 4" xfId="30371"/>
    <cellStyle name="Note 5 2 2 14" xfId="10188"/>
    <cellStyle name="Note 5 2 2 14 2" xfId="10189"/>
    <cellStyle name="Note 5 2 2 14 2 2" xfId="22106"/>
    <cellStyle name="Note 5 2 2 14 2 2 2" xfId="42174"/>
    <cellStyle name="Note 5 2 2 14 2 3" xfId="30374"/>
    <cellStyle name="Note 5 2 2 14 3" xfId="17576"/>
    <cellStyle name="Note 5 2 2 14 3 2" xfId="37644"/>
    <cellStyle name="Note 5 2 2 14 4" xfId="30373"/>
    <cellStyle name="Note 5 2 2 15" xfId="10190"/>
    <cellStyle name="Note 5 2 2 15 2" xfId="10191"/>
    <cellStyle name="Note 5 2 2 15 2 2" xfId="22107"/>
    <cellStyle name="Note 5 2 2 15 2 2 2" xfId="42175"/>
    <cellStyle name="Note 5 2 2 15 2 3" xfId="30376"/>
    <cellStyle name="Note 5 2 2 15 3" xfId="16304"/>
    <cellStyle name="Note 5 2 2 15 3 2" xfId="36372"/>
    <cellStyle name="Note 5 2 2 15 4" xfId="30375"/>
    <cellStyle name="Note 5 2 2 16" xfId="10192"/>
    <cellStyle name="Note 5 2 2 16 2" xfId="10193"/>
    <cellStyle name="Note 5 2 2 16 2 2" xfId="22108"/>
    <cellStyle name="Note 5 2 2 16 2 2 2" xfId="42176"/>
    <cellStyle name="Note 5 2 2 16 2 3" xfId="30378"/>
    <cellStyle name="Note 5 2 2 16 3" xfId="17826"/>
    <cellStyle name="Note 5 2 2 16 3 2" xfId="37894"/>
    <cellStyle name="Note 5 2 2 16 4" xfId="30377"/>
    <cellStyle name="Note 5 2 2 17" xfId="10194"/>
    <cellStyle name="Note 5 2 2 17 2" xfId="10195"/>
    <cellStyle name="Note 5 2 2 17 2 2" xfId="22109"/>
    <cellStyle name="Note 5 2 2 17 2 2 2" xfId="42177"/>
    <cellStyle name="Note 5 2 2 17 2 3" xfId="30380"/>
    <cellStyle name="Note 5 2 2 17 3" xfId="17964"/>
    <cellStyle name="Note 5 2 2 17 3 2" xfId="38032"/>
    <cellStyle name="Note 5 2 2 17 4" xfId="30379"/>
    <cellStyle name="Note 5 2 2 18" xfId="10196"/>
    <cellStyle name="Note 5 2 2 18 2" xfId="10197"/>
    <cellStyle name="Note 5 2 2 18 2 2" xfId="22110"/>
    <cellStyle name="Note 5 2 2 18 2 2 2" xfId="42178"/>
    <cellStyle name="Note 5 2 2 18 2 3" xfId="30382"/>
    <cellStyle name="Note 5 2 2 18 3" xfId="18103"/>
    <cellStyle name="Note 5 2 2 18 3 2" xfId="38171"/>
    <cellStyle name="Note 5 2 2 18 4" xfId="30381"/>
    <cellStyle name="Note 5 2 2 19" xfId="10198"/>
    <cellStyle name="Note 5 2 2 19 2" xfId="10199"/>
    <cellStyle name="Note 5 2 2 19 2 2" xfId="22111"/>
    <cellStyle name="Note 5 2 2 19 2 2 2" xfId="42179"/>
    <cellStyle name="Note 5 2 2 19 2 3" xfId="30384"/>
    <cellStyle name="Note 5 2 2 19 3" xfId="18221"/>
    <cellStyle name="Note 5 2 2 19 3 2" xfId="38289"/>
    <cellStyle name="Note 5 2 2 19 4" xfId="30383"/>
    <cellStyle name="Note 5 2 2 2" xfId="10200"/>
    <cellStyle name="Note 5 2 2 2 2" xfId="10201"/>
    <cellStyle name="Note 5 2 2 2 2 2" xfId="22112"/>
    <cellStyle name="Note 5 2 2 2 2 2 2" xfId="42180"/>
    <cellStyle name="Note 5 2 2 2 2 3" xfId="30386"/>
    <cellStyle name="Note 5 2 2 2 3" xfId="14689"/>
    <cellStyle name="Note 5 2 2 2 3 2" xfId="34757"/>
    <cellStyle name="Note 5 2 2 2 4" xfId="30385"/>
    <cellStyle name="Note 5 2 2 20" xfId="10202"/>
    <cellStyle name="Note 5 2 2 20 2" xfId="10203"/>
    <cellStyle name="Note 5 2 2 20 2 2" xfId="22113"/>
    <cellStyle name="Note 5 2 2 20 2 2 2" xfId="42181"/>
    <cellStyle name="Note 5 2 2 20 2 3" xfId="30388"/>
    <cellStyle name="Note 5 2 2 20 3" xfId="15487"/>
    <cellStyle name="Note 5 2 2 20 3 2" xfId="35555"/>
    <cellStyle name="Note 5 2 2 20 4" xfId="30387"/>
    <cellStyle name="Note 5 2 2 21" xfId="10204"/>
    <cellStyle name="Note 5 2 2 21 2" xfId="10205"/>
    <cellStyle name="Note 5 2 2 21 2 2" xfId="22114"/>
    <cellStyle name="Note 5 2 2 21 2 2 2" xfId="42182"/>
    <cellStyle name="Note 5 2 2 21 2 3" xfId="30390"/>
    <cellStyle name="Note 5 2 2 21 3" xfId="18426"/>
    <cellStyle name="Note 5 2 2 21 3 2" xfId="38494"/>
    <cellStyle name="Note 5 2 2 21 4" xfId="30389"/>
    <cellStyle name="Note 5 2 2 22" xfId="10206"/>
    <cellStyle name="Note 5 2 2 22 2" xfId="10207"/>
    <cellStyle name="Note 5 2 2 22 2 2" xfId="22115"/>
    <cellStyle name="Note 5 2 2 22 2 2 2" xfId="42183"/>
    <cellStyle name="Note 5 2 2 22 2 3" xfId="30392"/>
    <cellStyle name="Note 5 2 2 22 3" xfId="18559"/>
    <cellStyle name="Note 5 2 2 22 3 2" xfId="38627"/>
    <cellStyle name="Note 5 2 2 22 4" xfId="30391"/>
    <cellStyle name="Note 5 2 2 23" xfId="10208"/>
    <cellStyle name="Note 5 2 2 23 2" xfId="10209"/>
    <cellStyle name="Note 5 2 2 23 2 2" xfId="22116"/>
    <cellStyle name="Note 5 2 2 23 2 2 2" xfId="42184"/>
    <cellStyle name="Note 5 2 2 23 2 3" xfId="30394"/>
    <cellStyle name="Note 5 2 2 23 3" xfId="18670"/>
    <cellStyle name="Note 5 2 2 23 3 2" xfId="38738"/>
    <cellStyle name="Note 5 2 2 23 4" xfId="30393"/>
    <cellStyle name="Note 5 2 2 24" xfId="10210"/>
    <cellStyle name="Note 5 2 2 24 2" xfId="10211"/>
    <cellStyle name="Note 5 2 2 24 2 2" xfId="22117"/>
    <cellStyle name="Note 5 2 2 24 2 2 2" xfId="42185"/>
    <cellStyle name="Note 5 2 2 24 2 3" xfId="30396"/>
    <cellStyle name="Note 5 2 2 24 3" xfId="18770"/>
    <cellStyle name="Note 5 2 2 24 3 2" xfId="38838"/>
    <cellStyle name="Note 5 2 2 24 4" xfId="30395"/>
    <cellStyle name="Note 5 2 2 25" xfId="10212"/>
    <cellStyle name="Note 5 2 2 25 2" xfId="10213"/>
    <cellStyle name="Note 5 2 2 25 2 2" xfId="22118"/>
    <cellStyle name="Note 5 2 2 25 2 2 2" xfId="42186"/>
    <cellStyle name="Note 5 2 2 25 2 3" xfId="30398"/>
    <cellStyle name="Note 5 2 2 25 3" xfId="18870"/>
    <cellStyle name="Note 5 2 2 25 3 2" xfId="38938"/>
    <cellStyle name="Note 5 2 2 25 4" xfId="30397"/>
    <cellStyle name="Note 5 2 2 26" xfId="10214"/>
    <cellStyle name="Note 5 2 2 26 2" xfId="22101"/>
    <cellStyle name="Note 5 2 2 26 2 2" xfId="42169"/>
    <cellStyle name="Note 5 2 2 26 3" xfId="30399"/>
    <cellStyle name="Note 5 2 2 27" xfId="14396"/>
    <cellStyle name="Note 5 2 2 27 2" xfId="34464"/>
    <cellStyle name="Note 5 2 2 28" xfId="30364"/>
    <cellStyle name="Note 5 2 2 3" xfId="10215"/>
    <cellStyle name="Note 5 2 2 3 2" xfId="10216"/>
    <cellStyle name="Note 5 2 2 3 2 2" xfId="22119"/>
    <cellStyle name="Note 5 2 2 3 2 2 2" xfId="42187"/>
    <cellStyle name="Note 5 2 2 3 2 3" xfId="30401"/>
    <cellStyle name="Note 5 2 2 3 3" xfId="14813"/>
    <cellStyle name="Note 5 2 2 3 3 2" xfId="34881"/>
    <cellStyle name="Note 5 2 2 3 4" xfId="30400"/>
    <cellStyle name="Note 5 2 2 4" xfId="10217"/>
    <cellStyle name="Note 5 2 2 4 2" xfId="10218"/>
    <cellStyle name="Note 5 2 2 4 2 2" xfId="22120"/>
    <cellStyle name="Note 5 2 2 4 2 2 2" xfId="42188"/>
    <cellStyle name="Note 5 2 2 4 2 3" xfId="30403"/>
    <cellStyle name="Note 5 2 2 4 3" xfId="14938"/>
    <cellStyle name="Note 5 2 2 4 3 2" xfId="35006"/>
    <cellStyle name="Note 5 2 2 4 4" xfId="30402"/>
    <cellStyle name="Note 5 2 2 5" xfId="10219"/>
    <cellStyle name="Note 5 2 2 5 2" xfId="10220"/>
    <cellStyle name="Note 5 2 2 5 2 2" xfId="22121"/>
    <cellStyle name="Note 5 2 2 5 2 2 2" xfId="42189"/>
    <cellStyle name="Note 5 2 2 5 2 3" xfId="30405"/>
    <cellStyle name="Note 5 2 2 5 3" xfId="15107"/>
    <cellStyle name="Note 5 2 2 5 3 2" xfId="35175"/>
    <cellStyle name="Note 5 2 2 5 4" xfId="30404"/>
    <cellStyle name="Note 5 2 2 6" xfId="10221"/>
    <cellStyle name="Note 5 2 2 6 2" xfId="10222"/>
    <cellStyle name="Note 5 2 2 6 2 2" xfId="22122"/>
    <cellStyle name="Note 5 2 2 6 2 2 2" xfId="42190"/>
    <cellStyle name="Note 5 2 2 6 2 3" xfId="30407"/>
    <cellStyle name="Note 5 2 2 6 3" xfId="15020"/>
    <cellStyle name="Note 5 2 2 6 3 2" xfId="35088"/>
    <cellStyle name="Note 5 2 2 6 4" xfId="30406"/>
    <cellStyle name="Note 5 2 2 7" xfId="10223"/>
    <cellStyle name="Note 5 2 2 7 2" xfId="10224"/>
    <cellStyle name="Note 5 2 2 7 2 2" xfId="22123"/>
    <cellStyle name="Note 5 2 2 7 2 2 2" xfId="42191"/>
    <cellStyle name="Note 5 2 2 7 2 3" xfId="30409"/>
    <cellStyle name="Note 5 2 2 7 3" xfId="15239"/>
    <cellStyle name="Note 5 2 2 7 3 2" xfId="35307"/>
    <cellStyle name="Note 5 2 2 7 4" xfId="30408"/>
    <cellStyle name="Note 5 2 2 8" xfId="10225"/>
    <cellStyle name="Note 5 2 2 8 2" xfId="10226"/>
    <cellStyle name="Note 5 2 2 8 2 2" xfId="22124"/>
    <cellStyle name="Note 5 2 2 8 2 2 2" xfId="42192"/>
    <cellStyle name="Note 5 2 2 8 2 3" xfId="30411"/>
    <cellStyle name="Note 5 2 2 8 3" xfId="16604"/>
    <cellStyle name="Note 5 2 2 8 3 2" xfId="36672"/>
    <cellStyle name="Note 5 2 2 8 4" xfId="30410"/>
    <cellStyle name="Note 5 2 2 9" xfId="10227"/>
    <cellStyle name="Note 5 2 2 9 2" xfId="10228"/>
    <cellStyle name="Note 5 2 2 9 2 2" xfId="22125"/>
    <cellStyle name="Note 5 2 2 9 2 2 2" xfId="42193"/>
    <cellStyle name="Note 5 2 2 9 2 3" xfId="30413"/>
    <cellStyle name="Note 5 2 2 9 3" xfId="16808"/>
    <cellStyle name="Note 5 2 2 9 3 2" xfId="36876"/>
    <cellStyle name="Note 5 2 2 9 4" xfId="30412"/>
    <cellStyle name="Note 5 2 20" xfId="10229"/>
    <cellStyle name="Note 5 2 20 2" xfId="10230"/>
    <cellStyle name="Note 5 2 20 2 2" xfId="22126"/>
    <cellStyle name="Note 5 2 20 2 2 2" xfId="42194"/>
    <cellStyle name="Note 5 2 20 2 3" xfId="30415"/>
    <cellStyle name="Note 5 2 20 3" xfId="16083"/>
    <cellStyle name="Note 5 2 20 3 2" xfId="36151"/>
    <cellStyle name="Note 5 2 20 4" xfId="30414"/>
    <cellStyle name="Note 5 2 21" xfId="10231"/>
    <cellStyle name="Note 5 2 21 2" xfId="10232"/>
    <cellStyle name="Note 5 2 21 2 2" xfId="22127"/>
    <cellStyle name="Note 5 2 21 2 2 2" xfId="42195"/>
    <cellStyle name="Note 5 2 21 2 3" xfId="30417"/>
    <cellStyle name="Note 5 2 21 3" xfId="17760"/>
    <cellStyle name="Note 5 2 21 3 2" xfId="37828"/>
    <cellStyle name="Note 5 2 21 4" xfId="30416"/>
    <cellStyle name="Note 5 2 22" xfId="10233"/>
    <cellStyle name="Note 5 2 22 2" xfId="10234"/>
    <cellStyle name="Note 5 2 22 2 2" xfId="22128"/>
    <cellStyle name="Note 5 2 22 2 2 2" xfId="42196"/>
    <cellStyle name="Note 5 2 22 2 3" xfId="30419"/>
    <cellStyle name="Note 5 2 22 3" xfId="18259"/>
    <cellStyle name="Note 5 2 22 3 2" xfId="38327"/>
    <cellStyle name="Note 5 2 22 4" xfId="30418"/>
    <cellStyle name="Note 5 2 23" xfId="10235"/>
    <cellStyle name="Note 5 2 23 2" xfId="10236"/>
    <cellStyle name="Note 5 2 23 2 2" xfId="22129"/>
    <cellStyle name="Note 5 2 23 2 2 2" xfId="42197"/>
    <cellStyle name="Note 5 2 23 2 3" xfId="30421"/>
    <cellStyle name="Note 5 2 23 3" xfId="17169"/>
    <cellStyle name="Note 5 2 23 3 2" xfId="37237"/>
    <cellStyle name="Note 5 2 23 4" xfId="30420"/>
    <cellStyle name="Note 5 2 24" xfId="10237"/>
    <cellStyle name="Note 5 2 24 2" xfId="10238"/>
    <cellStyle name="Note 5 2 24 2 2" xfId="22130"/>
    <cellStyle name="Note 5 2 24 2 2 2" xfId="42198"/>
    <cellStyle name="Note 5 2 24 2 3" xfId="30423"/>
    <cellStyle name="Note 5 2 24 3" xfId="16250"/>
    <cellStyle name="Note 5 2 24 3 2" xfId="36318"/>
    <cellStyle name="Note 5 2 24 4" xfId="30422"/>
    <cellStyle name="Note 5 2 25" xfId="10239"/>
    <cellStyle name="Note 5 2 25 2" xfId="10240"/>
    <cellStyle name="Note 5 2 25 2 2" xfId="22131"/>
    <cellStyle name="Note 5 2 25 2 2 2" xfId="42199"/>
    <cellStyle name="Note 5 2 25 2 3" xfId="30425"/>
    <cellStyle name="Note 5 2 25 3" xfId="15949"/>
    <cellStyle name="Note 5 2 25 3 2" xfId="36017"/>
    <cellStyle name="Note 5 2 25 4" xfId="30424"/>
    <cellStyle name="Note 5 2 26" xfId="10241"/>
    <cellStyle name="Note 5 2 26 2" xfId="10242"/>
    <cellStyle name="Note 5 2 26 2 2" xfId="22132"/>
    <cellStyle name="Note 5 2 26 2 2 2" xfId="42200"/>
    <cellStyle name="Note 5 2 26 2 3" xfId="30427"/>
    <cellStyle name="Note 5 2 26 3" xfId="15613"/>
    <cellStyle name="Note 5 2 26 3 2" xfId="35681"/>
    <cellStyle name="Note 5 2 26 4" xfId="30426"/>
    <cellStyle name="Note 5 2 27" xfId="10243"/>
    <cellStyle name="Note 5 2 27 2" xfId="10244"/>
    <cellStyle name="Note 5 2 27 2 2" xfId="22133"/>
    <cellStyle name="Note 5 2 27 2 2 2" xfId="42201"/>
    <cellStyle name="Note 5 2 27 2 3" xfId="30429"/>
    <cellStyle name="Note 5 2 27 3" xfId="16253"/>
    <cellStyle name="Note 5 2 27 3 2" xfId="36321"/>
    <cellStyle name="Note 5 2 27 4" xfId="30428"/>
    <cellStyle name="Note 5 2 28" xfId="10245"/>
    <cellStyle name="Note 5 2 28 2" xfId="22090"/>
    <cellStyle name="Note 5 2 28 2 2" xfId="42158"/>
    <cellStyle name="Note 5 2 28 3" xfId="30430"/>
    <cellStyle name="Note 5 2 29" xfId="13920"/>
    <cellStyle name="Note 5 2 29 2" xfId="33988"/>
    <cellStyle name="Note 5 2 3" xfId="10246"/>
    <cellStyle name="Note 5 2 3 2" xfId="10247"/>
    <cellStyle name="Note 5 2 3 2 2" xfId="22134"/>
    <cellStyle name="Note 5 2 3 2 2 2" xfId="42202"/>
    <cellStyle name="Note 5 2 3 2 3" xfId="30432"/>
    <cellStyle name="Note 5 2 3 3" xfId="14201"/>
    <cellStyle name="Note 5 2 3 3 2" xfId="34269"/>
    <cellStyle name="Note 5 2 3 4" xfId="30431"/>
    <cellStyle name="Note 5 2 30" xfId="30343"/>
    <cellStyle name="Note 5 2 4" xfId="10248"/>
    <cellStyle name="Note 5 2 4 2" xfId="10249"/>
    <cellStyle name="Note 5 2 4 2 2" xfId="22135"/>
    <cellStyle name="Note 5 2 4 2 2 2" xfId="42203"/>
    <cellStyle name="Note 5 2 4 2 3" xfId="30434"/>
    <cellStyle name="Note 5 2 4 3" xfId="14288"/>
    <cellStyle name="Note 5 2 4 3 2" xfId="34356"/>
    <cellStyle name="Note 5 2 4 4" xfId="30433"/>
    <cellStyle name="Note 5 2 5" xfId="10250"/>
    <cellStyle name="Note 5 2 5 2" xfId="10251"/>
    <cellStyle name="Note 5 2 5 2 2" xfId="22136"/>
    <cellStyle name="Note 5 2 5 2 2 2" xfId="42204"/>
    <cellStyle name="Note 5 2 5 2 3" xfId="30436"/>
    <cellStyle name="Note 5 2 5 3" xfId="14606"/>
    <cellStyle name="Note 5 2 5 3 2" xfId="34674"/>
    <cellStyle name="Note 5 2 5 4" xfId="30435"/>
    <cellStyle name="Note 5 2 6" xfId="10252"/>
    <cellStyle name="Note 5 2 6 2" xfId="10253"/>
    <cellStyle name="Note 5 2 6 2 2" xfId="22137"/>
    <cellStyle name="Note 5 2 6 2 2 2" xfId="42205"/>
    <cellStyle name="Note 5 2 6 2 3" xfId="30438"/>
    <cellStyle name="Note 5 2 6 3" xfId="14973"/>
    <cellStyle name="Note 5 2 6 3 2" xfId="35041"/>
    <cellStyle name="Note 5 2 6 4" xfId="30437"/>
    <cellStyle name="Note 5 2 7" xfId="10254"/>
    <cellStyle name="Note 5 2 7 2" xfId="10255"/>
    <cellStyle name="Note 5 2 7 2 2" xfId="22138"/>
    <cellStyle name="Note 5 2 7 2 2 2" xfId="42206"/>
    <cellStyle name="Note 5 2 7 2 3" xfId="30440"/>
    <cellStyle name="Note 5 2 7 3" xfId="14431"/>
    <cellStyle name="Note 5 2 7 3 2" xfId="34499"/>
    <cellStyle name="Note 5 2 7 4" xfId="30439"/>
    <cellStyle name="Note 5 2 8" xfId="10256"/>
    <cellStyle name="Note 5 2 8 2" xfId="10257"/>
    <cellStyle name="Note 5 2 8 2 2" xfId="22139"/>
    <cellStyle name="Note 5 2 8 2 2 2" xfId="42207"/>
    <cellStyle name="Note 5 2 8 2 3" xfId="30442"/>
    <cellStyle name="Note 5 2 8 3" xfId="15145"/>
    <cellStyle name="Note 5 2 8 3 2" xfId="35213"/>
    <cellStyle name="Note 5 2 8 4" xfId="30441"/>
    <cellStyle name="Note 5 2 9" xfId="10258"/>
    <cellStyle name="Note 5 2 9 2" xfId="10259"/>
    <cellStyle name="Note 5 2 9 2 2" xfId="22140"/>
    <cellStyle name="Note 5 2 9 2 2 2" xfId="42208"/>
    <cellStyle name="Note 5 2 9 2 3" xfId="30444"/>
    <cellStyle name="Note 5 2 9 3" xfId="15326"/>
    <cellStyle name="Note 5 2 9 3 2" xfId="35394"/>
    <cellStyle name="Note 5 2 9 4" xfId="30443"/>
    <cellStyle name="Note 5 20" xfId="10260"/>
    <cellStyle name="Note 5 20 2" xfId="10261"/>
    <cellStyle name="Note 5 20 2 2" xfId="22141"/>
    <cellStyle name="Note 5 20 2 2 2" xfId="42209"/>
    <cellStyle name="Note 5 20 2 3" xfId="30446"/>
    <cellStyle name="Note 5 20 3" xfId="17710"/>
    <cellStyle name="Note 5 20 3 2" xfId="37778"/>
    <cellStyle name="Note 5 20 4" xfId="30445"/>
    <cellStyle name="Note 5 21" xfId="10262"/>
    <cellStyle name="Note 5 21 2" xfId="10263"/>
    <cellStyle name="Note 5 21 2 2" xfId="22142"/>
    <cellStyle name="Note 5 21 2 2 2" xfId="42210"/>
    <cellStyle name="Note 5 21 2 3" xfId="30448"/>
    <cellStyle name="Note 5 21 3" xfId="15385"/>
    <cellStyle name="Note 5 21 3 2" xfId="35453"/>
    <cellStyle name="Note 5 21 4" xfId="30447"/>
    <cellStyle name="Note 5 22" xfId="10264"/>
    <cellStyle name="Note 5 22 2" xfId="10265"/>
    <cellStyle name="Note 5 22 2 2" xfId="22143"/>
    <cellStyle name="Note 5 22 2 2 2" xfId="42211"/>
    <cellStyle name="Note 5 22 2 3" xfId="30450"/>
    <cellStyle name="Note 5 22 3" xfId="16319"/>
    <cellStyle name="Note 5 22 3 2" xfId="36387"/>
    <cellStyle name="Note 5 22 4" xfId="30449"/>
    <cellStyle name="Note 5 23" xfId="10266"/>
    <cellStyle name="Note 5 23 2" xfId="10267"/>
    <cellStyle name="Note 5 23 2 2" xfId="22144"/>
    <cellStyle name="Note 5 23 2 2 2" xfId="42212"/>
    <cellStyle name="Note 5 23 2 3" xfId="30452"/>
    <cellStyle name="Note 5 23 3" xfId="15785"/>
    <cellStyle name="Note 5 23 3 2" xfId="35853"/>
    <cellStyle name="Note 5 23 4" xfId="30451"/>
    <cellStyle name="Note 5 24" xfId="10268"/>
    <cellStyle name="Note 5 24 2" xfId="10269"/>
    <cellStyle name="Note 5 24 2 2" xfId="22145"/>
    <cellStyle name="Note 5 24 2 2 2" xfId="42213"/>
    <cellStyle name="Note 5 24 2 3" xfId="30454"/>
    <cellStyle name="Note 5 24 3" xfId="15987"/>
    <cellStyle name="Note 5 24 3 2" xfId="36055"/>
    <cellStyle name="Note 5 24 4" xfId="30453"/>
    <cellStyle name="Note 5 25" xfId="10270"/>
    <cellStyle name="Note 5 25 2" xfId="10271"/>
    <cellStyle name="Note 5 25 2 2" xfId="22146"/>
    <cellStyle name="Note 5 25 2 2 2" xfId="42214"/>
    <cellStyle name="Note 5 25 2 3" xfId="30456"/>
    <cellStyle name="Note 5 25 3" xfId="16233"/>
    <cellStyle name="Note 5 25 3 2" xfId="36301"/>
    <cellStyle name="Note 5 25 4" xfId="30455"/>
    <cellStyle name="Note 5 26" xfId="10272"/>
    <cellStyle name="Note 5 26 2" xfId="10273"/>
    <cellStyle name="Note 5 26 2 2" xfId="22147"/>
    <cellStyle name="Note 5 26 2 2 2" xfId="42215"/>
    <cellStyle name="Note 5 26 2 3" xfId="30458"/>
    <cellStyle name="Note 5 26 3" xfId="15990"/>
    <cellStyle name="Note 5 26 3 2" xfId="36058"/>
    <cellStyle name="Note 5 26 4" xfId="30457"/>
    <cellStyle name="Note 5 27" xfId="10274"/>
    <cellStyle name="Note 5 27 2" xfId="10275"/>
    <cellStyle name="Note 5 27 2 2" xfId="22148"/>
    <cellStyle name="Note 5 27 2 2 2" xfId="42216"/>
    <cellStyle name="Note 5 27 2 3" xfId="30460"/>
    <cellStyle name="Note 5 27 3" xfId="15923"/>
    <cellStyle name="Note 5 27 3 2" xfId="35991"/>
    <cellStyle name="Note 5 27 4" xfId="30459"/>
    <cellStyle name="Note 5 28" xfId="10276"/>
    <cellStyle name="Note 5 28 2" xfId="10277"/>
    <cellStyle name="Note 5 28 2 2" xfId="22149"/>
    <cellStyle name="Note 5 28 2 2 2" xfId="42217"/>
    <cellStyle name="Note 5 28 2 3" xfId="30462"/>
    <cellStyle name="Note 5 28 3" xfId="16309"/>
    <cellStyle name="Note 5 28 3 2" xfId="36377"/>
    <cellStyle name="Note 5 28 4" xfId="30461"/>
    <cellStyle name="Note 5 29" xfId="10278"/>
    <cellStyle name="Note 5 29 2" xfId="10279"/>
    <cellStyle name="Note 5 29 2 2" xfId="22150"/>
    <cellStyle name="Note 5 29 2 2 2" xfId="42218"/>
    <cellStyle name="Note 5 29 2 3" xfId="30464"/>
    <cellStyle name="Note 5 29 3" xfId="16875"/>
    <cellStyle name="Note 5 29 3 2" xfId="36943"/>
    <cellStyle name="Note 5 29 4" xfId="30463"/>
    <cellStyle name="Note 5 3" xfId="10280"/>
    <cellStyle name="Note 5 3 10" xfId="10281"/>
    <cellStyle name="Note 5 3 10 2" xfId="10282"/>
    <cellStyle name="Note 5 3 10 2 2" xfId="22152"/>
    <cellStyle name="Note 5 3 10 2 2 2" xfId="42220"/>
    <cellStyle name="Note 5 3 10 2 3" xfId="30467"/>
    <cellStyle name="Note 5 3 10 3" xfId="16470"/>
    <cellStyle name="Note 5 3 10 3 2" xfId="36538"/>
    <cellStyle name="Note 5 3 10 4" xfId="30466"/>
    <cellStyle name="Note 5 3 11" xfId="10283"/>
    <cellStyle name="Note 5 3 11 2" xfId="10284"/>
    <cellStyle name="Note 5 3 11 2 2" xfId="22153"/>
    <cellStyle name="Note 5 3 11 2 2 2" xfId="42221"/>
    <cellStyle name="Note 5 3 11 2 3" xfId="30469"/>
    <cellStyle name="Note 5 3 11 3" xfId="16663"/>
    <cellStyle name="Note 5 3 11 3 2" xfId="36731"/>
    <cellStyle name="Note 5 3 11 4" xfId="30468"/>
    <cellStyle name="Note 5 3 12" xfId="10285"/>
    <cellStyle name="Note 5 3 12 2" xfId="10286"/>
    <cellStyle name="Note 5 3 12 2 2" xfId="22154"/>
    <cellStyle name="Note 5 3 12 2 2 2" xfId="42222"/>
    <cellStyle name="Note 5 3 12 2 3" xfId="30471"/>
    <cellStyle name="Note 5 3 12 3" xfId="15531"/>
    <cellStyle name="Note 5 3 12 3 2" xfId="35599"/>
    <cellStyle name="Note 5 3 12 4" xfId="30470"/>
    <cellStyle name="Note 5 3 13" xfId="10287"/>
    <cellStyle name="Note 5 3 13 2" xfId="10288"/>
    <cellStyle name="Note 5 3 13 2 2" xfId="22155"/>
    <cellStyle name="Note 5 3 13 2 2 2" xfId="42223"/>
    <cellStyle name="Note 5 3 13 2 3" xfId="30473"/>
    <cellStyle name="Note 5 3 13 3" xfId="15481"/>
    <cellStyle name="Note 5 3 13 3 2" xfId="35549"/>
    <cellStyle name="Note 5 3 13 4" xfId="30472"/>
    <cellStyle name="Note 5 3 14" xfId="10289"/>
    <cellStyle name="Note 5 3 14 2" xfId="10290"/>
    <cellStyle name="Note 5 3 14 2 2" xfId="22156"/>
    <cellStyle name="Note 5 3 14 2 2 2" xfId="42224"/>
    <cellStyle name="Note 5 3 14 2 3" xfId="30475"/>
    <cellStyle name="Note 5 3 14 3" xfId="16132"/>
    <cellStyle name="Note 5 3 14 3 2" xfId="36200"/>
    <cellStyle name="Note 5 3 14 4" xfId="30474"/>
    <cellStyle name="Note 5 3 15" xfId="10291"/>
    <cellStyle name="Note 5 3 15 2" xfId="10292"/>
    <cellStyle name="Note 5 3 15 2 2" xfId="22157"/>
    <cellStyle name="Note 5 3 15 2 2 2" xfId="42225"/>
    <cellStyle name="Note 5 3 15 2 3" xfId="30477"/>
    <cellStyle name="Note 5 3 15 3" xfId="17323"/>
    <cellStyle name="Note 5 3 15 3 2" xfId="37391"/>
    <cellStyle name="Note 5 3 15 4" xfId="30476"/>
    <cellStyle name="Note 5 3 16" xfId="10293"/>
    <cellStyle name="Note 5 3 16 2" xfId="10294"/>
    <cellStyle name="Note 5 3 16 2 2" xfId="22158"/>
    <cellStyle name="Note 5 3 16 2 2 2" xfId="42226"/>
    <cellStyle name="Note 5 3 16 2 3" xfId="30479"/>
    <cellStyle name="Note 5 3 16 3" xfId="16840"/>
    <cellStyle name="Note 5 3 16 3 2" xfId="36908"/>
    <cellStyle name="Note 5 3 16 4" xfId="30478"/>
    <cellStyle name="Note 5 3 17" xfId="10295"/>
    <cellStyle name="Note 5 3 17 2" xfId="10296"/>
    <cellStyle name="Note 5 3 17 2 2" xfId="22159"/>
    <cellStyle name="Note 5 3 17 2 2 2" xfId="42227"/>
    <cellStyle name="Note 5 3 17 2 3" xfId="30481"/>
    <cellStyle name="Note 5 3 17 3" xfId="15465"/>
    <cellStyle name="Note 5 3 17 3 2" xfId="35533"/>
    <cellStyle name="Note 5 3 17 4" xfId="30480"/>
    <cellStyle name="Note 5 3 18" xfId="10297"/>
    <cellStyle name="Note 5 3 18 2" xfId="10298"/>
    <cellStyle name="Note 5 3 18 2 2" xfId="22160"/>
    <cellStyle name="Note 5 3 18 2 2 2" xfId="42228"/>
    <cellStyle name="Note 5 3 18 2 3" xfId="30483"/>
    <cellStyle name="Note 5 3 18 3" xfId="17712"/>
    <cellStyle name="Note 5 3 18 3 2" xfId="37780"/>
    <cellStyle name="Note 5 3 18 4" xfId="30482"/>
    <cellStyle name="Note 5 3 19" xfId="10299"/>
    <cellStyle name="Note 5 3 19 2" xfId="10300"/>
    <cellStyle name="Note 5 3 19 2 2" xfId="22161"/>
    <cellStyle name="Note 5 3 19 2 2 2" xfId="42229"/>
    <cellStyle name="Note 5 3 19 2 3" xfId="30485"/>
    <cellStyle name="Note 5 3 19 3" xfId="15662"/>
    <cellStyle name="Note 5 3 19 3 2" xfId="35730"/>
    <cellStyle name="Note 5 3 19 4" xfId="30484"/>
    <cellStyle name="Note 5 3 2" xfId="10301"/>
    <cellStyle name="Note 5 3 2 10" xfId="10302"/>
    <cellStyle name="Note 5 3 2 10 2" xfId="10303"/>
    <cellStyle name="Note 5 3 2 10 2 2" xfId="22163"/>
    <cellStyle name="Note 5 3 2 10 2 2 2" xfId="42231"/>
    <cellStyle name="Note 5 3 2 10 2 3" xfId="30488"/>
    <cellStyle name="Note 5 3 2 10 3" xfId="16970"/>
    <cellStyle name="Note 5 3 2 10 3 2" xfId="37038"/>
    <cellStyle name="Note 5 3 2 10 4" xfId="30487"/>
    <cellStyle name="Note 5 3 2 11" xfId="10304"/>
    <cellStyle name="Note 5 3 2 11 2" xfId="10305"/>
    <cellStyle name="Note 5 3 2 11 2 2" xfId="22164"/>
    <cellStyle name="Note 5 3 2 11 2 2 2" xfId="42232"/>
    <cellStyle name="Note 5 3 2 11 2 3" xfId="30490"/>
    <cellStyle name="Note 5 3 2 11 3" xfId="17115"/>
    <cellStyle name="Note 5 3 2 11 3 2" xfId="37183"/>
    <cellStyle name="Note 5 3 2 11 4" xfId="30489"/>
    <cellStyle name="Note 5 3 2 12" xfId="10306"/>
    <cellStyle name="Note 5 3 2 12 2" xfId="10307"/>
    <cellStyle name="Note 5 3 2 12 2 2" xfId="22165"/>
    <cellStyle name="Note 5 3 2 12 2 2 2" xfId="42233"/>
    <cellStyle name="Note 5 3 2 12 2 3" xfId="30492"/>
    <cellStyle name="Note 5 3 2 12 3" xfId="17287"/>
    <cellStyle name="Note 5 3 2 12 3 2" xfId="37355"/>
    <cellStyle name="Note 5 3 2 12 4" xfId="30491"/>
    <cellStyle name="Note 5 3 2 13" xfId="10308"/>
    <cellStyle name="Note 5 3 2 13 2" xfId="10309"/>
    <cellStyle name="Note 5 3 2 13 2 2" xfId="22166"/>
    <cellStyle name="Note 5 3 2 13 2 2 2" xfId="42234"/>
    <cellStyle name="Note 5 3 2 13 2 3" xfId="30494"/>
    <cellStyle name="Note 5 3 2 13 3" xfId="17451"/>
    <cellStyle name="Note 5 3 2 13 3 2" xfId="37519"/>
    <cellStyle name="Note 5 3 2 13 4" xfId="30493"/>
    <cellStyle name="Note 5 3 2 14" xfId="10310"/>
    <cellStyle name="Note 5 3 2 14 2" xfId="10311"/>
    <cellStyle name="Note 5 3 2 14 2 2" xfId="22167"/>
    <cellStyle name="Note 5 3 2 14 2 2 2" xfId="42235"/>
    <cellStyle name="Note 5 3 2 14 2 3" xfId="30496"/>
    <cellStyle name="Note 5 3 2 14 3" xfId="17577"/>
    <cellStyle name="Note 5 3 2 14 3 2" xfId="37645"/>
    <cellStyle name="Note 5 3 2 14 4" xfId="30495"/>
    <cellStyle name="Note 5 3 2 15" xfId="10312"/>
    <cellStyle name="Note 5 3 2 15 2" xfId="10313"/>
    <cellStyle name="Note 5 3 2 15 2 2" xfId="22168"/>
    <cellStyle name="Note 5 3 2 15 2 2 2" xfId="42236"/>
    <cellStyle name="Note 5 3 2 15 2 3" xfId="30498"/>
    <cellStyle name="Note 5 3 2 15 3" xfId="16156"/>
    <cellStyle name="Note 5 3 2 15 3 2" xfId="36224"/>
    <cellStyle name="Note 5 3 2 15 4" xfId="30497"/>
    <cellStyle name="Note 5 3 2 16" xfId="10314"/>
    <cellStyle name="Note 5 3 2 16 2" xfId="10315"/>
    <cellStyle name="Note 5 3 2 16 2 2" xfId="22169"/>
    <cellStyle name="Note 5 3 2 16 2 2 2" xfId="42237"/>
    <cellStyle name="Note 5 3 2 16 2 3" xfId="30500"/>
    <cellStyle name="Note 5 3 2 16 3" xfId="17827"/>
    <cellStyle name="Note 5 3 2 16 3 2" xfId="37895"/>
    <cellStyle name="Note 5 3 2 16 4" xfId="30499"/>
    <cellStyle name="Note 5 3 2 17" xfId="10316"/>
    <cellStyle name="Note 5 3 2 17 2" xfId="10317"/>
    <cellStyle name="Note 5 3 2 17 2 2" xfId="22170"/>
    <cellStyle name="Note 5 3 2 17 2 2 2" xfId="42238"/>
    <cellStyle name="Note 5 3 2 17 2 3" xfId="30502"/>
    <cellStyle name="Note 5 3 2 17 3" xfId="17965"/>
    <cellStyle name="Note 5 3 2 17 3 2" xfId="38033"/>
    <cellStyle name="Note 5 3 2 17 4" xfId="30501"/>
    <cellStyle name="Note 5 3 2 18" xfId="10318"/>
    <cellStyle name="Note 5 3 2 18 2" xfId="10319"/>
    <cellStyle name="Note 5 3 2 18 2 2" xfId="22171"/>
    <cellStyle name="Note 5 3 2 18 2 2 2" xfId="42239"/>
    <cellStyle name="Note 5 3 2 18 2 3" xfId="30504"/>
    <cellStyle name="Note 5 3 2 18 3" xfId="18104"/>
    <cellStyle name="Note 5 3 2 18 3 2" xfId="38172"/>
    <cellStyle name="Note 5 3 2 18 4" xfId="30503"/>
    <cellStyle name="Note 5 3 2 19" xfId="10320"/>
    <cellStyle name="Note 5 3 2 19 2" xfId="10321"/>
    <cellStyle name="Note 5 3 2 19 2 2" xfId="22172"/>
    <cellStyle name="Note 5 3 2 19 2 2 2" xfId="42240"/>
    <cellStyle name="Note 5 3 2 19 2 3" xfId="30506"/>
    <cellStyle name="Note 5 3 2 19 3" xfId="18222"/>
    <cellStyle name="Note 5 3 2 19 3 2" xfId="38290"/>
    <cellStyle name="Note 5 3 2 19 4" xfId="30505"/>
    <cellStyle name="Note 5 3 2 2" xfId="10322"/>
    <cellStyle name="Note 5 3 2 2 2" xfId="10323"/>
    <cellStyle name="Note 5 3 2 2 2 2" xfId="22173"/>
    <cellStyle name="Note 5 3 2 2 2 2 2" xfId="42241"/>
    <cellStyle name="Note 5 3 2 2 2 3" xfId="30508"/>
    <cellStyle name="Note 5 3 2 2 3" xfId="14690"/>
    <cellStyle name="Note 5 3 2 2 3 2" xfId="34758"/>
    <cellStyle name="Note 5 3 2 2 4" xfId="30507"/>
    <cellStyle name="Note 5 3 2 20" xfId="10324"/>
    <cellStyle name="Note 5 3 2 20 2" xfId="10325"/>
    <cellStyle name="Note 5 3 2 20 2 2" xfId="22174"/>
    <cellStyle name="Note 5 3 2 20 2 2 2" xfId="42242"/>
    <cellStyle name="Note 5 3 2 20 2 3" xfId="30510"/>
    <cellStyle name="Note 5 3 2 20 3" xfId="15498"/>
    <cellStyle name="Note 5 3 2 20 3 2" xfId="35566"/>
    <cellStyle name="Note 5 3 2 20 4" xfId="30509"/>
    <cellStyle name="Note 5 3 2 21" xfId="10326"/>
    <cellStyle name="Note 5 3 2 21 2" xfId="10327"/>
    <cellStyle name="Note 5 3 2 21 2 2" xfId="22175"/>
    <cellStyle name="Note 5 3 2 21 2 2 2" xfId="42243"/>
    <cellStyle name="Note 5 3 2 21 2 3" xfId="30512"/>
    <cellStyle name="Note 5 3 2 21 3" xfId="18427"/>
    <cellStyle name="Note 5 3 2 21 3 2" xfId="38495"/>
    <cellStyle name="Note 5 3 2 21 4" xfId="30511"/>
    <cellStyle name="Note 5 3 2 22" xfId="10328"/>
    <cellStyle name="Note 5 3 2 22 2" xfId="10329"/>
    <cellStyle name="Note 5 3 2 22 2 2" xfId="22176"/>
    <cellStyle name="Note 5 3 2 22 2 2 2" xfId="42244"/>
    <cellStyle name="Note 5 3 2 22 2 3" xfId="30514"/>
    <cellStyle name="Note 5 3 2 22 3" xfId="18560"/>
    <cellStyle name="Note 5 3 2 22 3 2" xfId="38628"/>
    <cellStyle name="Note 5 3 2 22 4" xfId="30513"/>
    <cellStyle name="Note 5 3 2 23" xfId="10330"/>
    <cellStyle name="Note 5 3 2 23 2" xfId="10331"/>
    <cellStyle name="Note 5 3 2 23 2 2" xfId="22177"/>
    <cellStyle name="Note 5 3 2 23 2 2 2" xfId="42245"/>
    <cellStyle name="Note 5 3 2 23 2 3" xfId="30516"/>
    <cellStyle name="Note 5 3 2 23 3" xfId="18671"/>
    <cellStyle name="Note 5 3 2 23 3 2" xfId="38739"/>
    <cellStyle name="Note 5 3 2 23 4" xfId="30515"/>
    <cellStyle name="Note 5 3 2 24" xfId="10332"/>
    <cellStyle name="Note 5 3 2 24 2" xfId="10333"/>
    <cellStyle name="Note 5 3 2 24 2 2" xfId="22178"/>
    <cellStyle name="Note 5 3 2 24 2 2 2" xfId="42246"/>
    <cellStyle name="Note 5 3 2 24 2 3" xfId="30518"/>
    <cellStyle name="Note 5 3 2 24 3" xfId="18771"/>
    <cellStyle name="Note 5 3 2 24 3 2" xfId="38839"/>
    <cellStyle name="Note 5 3 2 24 4" xfId="30517"/>
    <cellStyle name="Note 5 3 2 25" xfId="10334"/>
    <cellStyle name="Note 5 3 2 25 2" xfId="10335"/>
    <cellStyle name="Note 5 3 2 25 2 2" xfId="22179"/>
    <cellStyle name="Note 5 3 2 25 2 2 2" xfId="42247"/>
    <cellStyle name="Note 5 3 2 25 2 3" xfId="30520"/>
    <cellStyle name="Note 5 3 2 25 3" xfId="18871"/>
    <cellStyle name="Note 5 3 2 25 3 2" xfId="38939"/>
    <cellStyle name="Note 5 3 2 25 4" xfId="30519"/>
    <cellStyle name="Note 5 3 2 26" xfId="10336"/>
    <cellStyle name="Note 5 3 2 26 2" xfId="22162"/>
    <cellStyle name="Note 5 3 2 26 2 2" xfId="42230"/>
    <cellStyle name="Note 5 3 2 26 3" xfId="30521"/>
    <cellStyle name="Note 5 3 2 27" xfId="14552"/>
    <cellStyle name="Note 5 3 2 27 2" xfId="34620"/>
    <cellStyle name="Note 5 3 2 28" xfId="30486"/>
    <cellStyle name="Note 5 3 2 3" xfId="10337"/>
    <cellStyle name="Note 5 3 2 3 2" xfId="10338"/>
    <cellStyle name="Note 5 3 2 3 2 2" xfId="22180"/>
    <cellStyle name="Note 5 3 2 3 2 2 2" xfId="42248"/>
    <cellStyle name="Note 5 3 2 3 2 3" xfId="30523"/>
    <cellStyle name="Note 5 3 2 3 3" xfId="14814"/>
    <cellStyle name="Note 5 3 2 3 3 2" xfId="34882"/>
    <cellStyle name="Note 5 3 2 3 4" xfId="30522"/>
    <cellStyle name="Note 5 3 2 4" xfId="10339"/>
    <cellStyle name="Note 5 3 2 4 2" xfId="10340"/>
    <cellStyle name="Note 5 3 2 4 2 2" xfId="22181"/>
    <cellStyle name="Note 5 3 2 4 2 2 2" xfId="42249"/>
    <cellStyle name="Note 5 3 2 4 2 3" xfId="30525"/>
    <cellStyle name="Note 5 3 2 4 3" xfId="14939"/>
    <cellStyle name="Note 5 3 2 4 3 2" xfId="35007"/>
    <cellStyle name="Note 5 3 2 4 4" xfId="30524"/>
    <cellStyle name="Note 5 3 2 5" xfId="10341"/>
    <cellStyle name="Note 5 3 2 5 2" xfId="10342"/>
    <cellStyle name="Note 5 3 2 5 2 2" xfId="22182"/>
    <cellStyle name="Note 5 3 2 5 2 2 2" xfId="42250"/>
    <cellStyle name="Note 5 3 2 5 2 3" xfId="30527"/>
    <cellStyle name="Note 5 3 2 5 3" xfId="15108"/>
    <cellStyle name="Note 5 3 2 5 3 2" xfId="35176"/>
    <cellStyle name="Note 5 3 2 5 4" xfId="30526"/>
    <cellStyle name="Note 5 3 2 6" xfId="10343"/>
    <cellStyle name="Note 5 3 2 6 2" xfId="10344"/>
    <cellStyle name="Note 5 3 2 6 2 2" xfId="22183"/>
    <cellStyle name="Note 5 3 2 6 2 2 2" xfId="42251"/>
    <cellStyle name="Note 5 3 2 6 2 3" xfId="30529"/>
    <cellStyle name="Note 5 3 2 6 3" xfId="14141"/>
    <cellStyle name="Note 5 3 2 6 3 2" xfId="34209"/>
    <cellStyle name="Note 5 3 2 6 4" xfId="30528"/>
    <cellStyle name="Note 5 3 2 7" xfId="10345"/>
    <cellStyle name="Note 5 3 2 7 2" xfId="10346"/>
    <cellStyle name="Note 5 3 2 7 2 2" xfId="22184"/>
    <cellStyle name="Note 5 3 2 7 2 2 2" xfId="42252"/>
    <cellStyle name="Note 5 3 2 7 2 3" xfId="30531"/>
    <cellStyle name="Note 5 3 2 7 3" xfId="15240"/>
    <cellStyle name="Note 5 3 2 7 3 2" xfId="35308"/>
    <cellStyle name="Note 5 3 2 7 4" xfId="30530"/>
    <cellStyle name="Note 5 3 2 8" xfId="10347"/>
    <cellStyle name="Note 5 3 2 8 2" xfId="10348"/>
    <cellStyle name="Note 5 3 2 8 2 2" xfId="22185"/>
    <cellStyle name="Note 5 3 2 8 2 2 2" xfId="42253"/>
    <cellStyle name="Note 5 3 2 8 2 3" xfId="30533"/>
    <cellStyle name="Note 5 3 2 8 3" xfId="16605"/>
    <cellStyle name="Note 5 3 2 8 3 2" xfId="36673"/>
    <cellStyle name="Note 5 3 2 8 4" xfId="30532"/>
    <cellStyle name="Note 5 3 2 9" xfId="10349"/>
    <cellStyle name="Note 5 3 2 9 2" xfId="10350"/>
    <cellStyle name="Note 5 3 2 9 2 2" xfId="22186"/>
    <cellStyle name="Note 5 3 2 9 2 2 2" xfId="42254"/>
    <cellStyle name="Note 5 3 2 9 2 3" xfId="30535"/>
    <cellStyle name="Note 5 3 2 9 3" xfId="16809"/>
    <cellStyle name="Note 5 3 2 9 3 2" xfId="36877"/>
    <cellStyle name="Note 5 3 2 9 4" xfId="30534"/>
    <cellStyle name="Note 5 3 20" xfId="10351"/>
    <cellStyle name="Note 5 3 20 2" xfId="10352"/>
    <cellStyle name="Note 5 3 20 2 2" xfId="22187"/>
    <cellStyle name="Note 5 3 20 2 2 2" xfId="42255"/>
    <cellStyle name="Note 5 3 20 2 3" xfId="30537"/>
    <cellStyle name="Note 5 3 20 3" xfId="15837"/>
    <cellStyle name="Note 5 3 20 3 2" xfId="35905"/>
    <cellStyle name="Note 5 3 20 4" xfId="30536"/>
    <cellStyle name="Note 5 3 21" xfId="10353"/>
    <cellStyle name="Note 5 3 21 2" xfId="10354"/>
    <cellStyle name="Note 5 3 21 2 2" xfId="22188"/>
    <cellStyle name="Note 5 3 21 2 2 2" xfId="42256"/>
    <cellStyle name="Note 5 3 21 2 3" xfId="30539"/>
    <cellStyle name="Note 5 3 21 3" xfId="15453"/>
    <cellStyle name="Note 5 3 21 3 2" xfId="35521"/>
    <cellStyle name="Note 5 3 21 4" xfId="30538"/>
    <cellStyle name="Note 5 3 22" xfId="10355"/>
    <cellStyle name="Note 5 3 22 2" xfId="10356"/>
    <cellStyle name="Note 5 3 22 2 2" xfId="22189"/>
    <cellStyle name="Note 5 3 22 2 2 2" xfId="42257"/>
    <cellStyle name="Note 5 3 22 2 3" xfId="30541"/>
    <cellStyle name="Note 5 3 22 3" xfId="16300"/>
    <cellStyle name="Note 5 3 22 3 2" xfId="36368"/>
    <cellStyle name="Note 5 3 22 4" xfId="30540"/>
    <cellStyle name="Note 5 3 23" xfId="10357"/>
    <cellStyle name="Note 5 3 23 2" xfId="10358"/>
    <cellStyle name="Note 5 3 23 2 2" xfId="22190"/>
    <cellStyle name="Note 5 3 23 2 2 2" xfId="42258"/>
    <cellStyle name="Note 5 3 23 2 3" xfId="30543"/>
    <cellStyle name="Note 5 3 23 3" xfId="15816"/>
    <cellStyle name="Note 5 3 23 3 2" xfId="35884"/>
    <cellStyle name="Note 5 3 23 4" xfId="30542"/>
    <cellStyle name="Note 5 3 24" xfId="10359"/>
    <cellStyle name="Note 5 3 24 2" xfId="10360"/>
    <cellStyle name="Note 5 3 24 2 2" xfId="22191"/>
    <cellStyle name="Note 5 3 24 2 2 2" xfId="42259"/>
    <cellStyle name="Note 5 3 24 2 3" xfId="30545"/>
    <cellStyle name="Note 5 3 24 3" xfId="15747"/>
    <cellStyle name="Note 5 3 24 3 2" xfId="35815"/>
    <cellStyle name="Note 5 3 24 4" xfId="30544"/>
    <cellStyle name="Note 5 3 25" xfId="10361"/>
    <cellStyle name="Note 5 3 25 2" xfId="10362"/>
    <cellStyle name="Note 5 3 25 2 2" xfId="22192"/>
    <cellStyle name="Note 5 3 25 2 2 2" xfId="42260"/>
    <cellStyle name="Note 5 3 25 2 3" xfId="30547"/>
    <cellStyle name="Note 5 3 25 3" xfId="15482"/>
    <cellStyle name="Note 5 3 25 3 2" xfId="35550"/>
    <cellStyle name="Note 5 3 25 4" xfId="30546"/>
    <cellStyle name="Note 5 3 26" xfId="10363"/>
    <cellStyle name="Note 5 3 26 2" xfId="10364"/>
    <cellStyle name="Note 5 3 26 2 2" xfId="22193"/>
    <cellStyle name="Note 5 3 26 2 2 2" xfId="42261"/>
    <cellStyle name="Note 5 3 26 2 3" xfId="30549"/>
    <cellStyle name="Note 5 3 26 3" xfId="18284"/>
    <cellStyle name="Note 5 3 26 3 2" xfId="38352"/>
    <cellStyle name="Note 5 3 26 4" xfId="30548"/>
    <cellStyle name="Note 5 3 27" xfId="10365"/>
    <cellStyle name="Note 5 3 27 2" xfId="10366"/>
    <cellStyle name="Note 5 3 27 2 2" xfId="22194"/>
    <cellStyle name="Note 5 3 27 2 2 2" xfId="42262"/>
    <cellStyle name="Note 5 3 27 2 3" xfId="30551"/>
    <cellStyle name="Note 5 3 27 3" xfId="18155"/>
    <cellStyle name="Note 5 3 27 3 2" xfId="38223"/>
    <cellStyle name="Note 5 3 27 4" xfId="30550"/>
    <cellStyle name="Note 5 3 28" xfId="10367"/>
    <cellStyle name="Note 5 3 28 2" xfId="22151"/>
    <cellStyle name="Note 5 3 28 2 2" xfId="42219"/>
    <cellStyle name="Note 5 3 28 3" xfId="30552"/>
    <cellStyle name="Note 5 3 29" xfId="13921"/>
    <cellStyle name="Note 5 3 29 2" xfId="33989"/>
    <cellStyle name="Note 5 3 3" xfId="10368"/>
    <cellStyle name="Note 5 3 3 2" xfId="10369"/>
    <cellStyle name="Note 5 3 3 2 2" xfId="22195"/>
    <cellStyle name="Note 5 3 3 2 2 2" xfId="42263"/>
    <cellStyle name="Note 5 3 3 2 3" xfId="30554"/>
    <cellStyle name="Note 5 3 3 3" xfId="14062"/>
    <cellStyle name="Note 5 3 3 3 2" xfId="34130"/>
    <cellStyle name="Note 5 3 3 4" xfId="30553"/>
    <cellStyle name="Note 5 3 30" xfId="30465"/>
    <cellStyle name="Note 5 3 4" xfId="10370"/>
    <cellStyle name="Note 5 3 4 2" xfId="10371"/>
    <cellStyle name="Note 5 3 4 2 2" xfId="22196"/>
    <cellStyle name="Note 5 3 4 2 2 2" xfId="42264"/>
    <cellStyle name="Note 5 3 4 2 3" xfId="30556"/>
    <cellStyle name="Note 5 3 4 3" xfId="14509"/>
    <cellStyle name="Note 5 3 4 3 2" xfId="34577"/>
    <cellStyle name="Note 5 3 4 4" xfId="30555"/>
    <cellStyle name="Note 5 3 5" xfId="10372"/>
    <cellStyle name="Note 5 3 5 2" xfId="10373"/>
    <cellStyle name="Note 5 3 5 2 2" xfId="22197"/>
    <cellStyle name="Note 5 3 5 2 2 2" xfId="42265"/>
    <cellStyle name="Note 5 3 5 2 3" xfId="30558"/>
    <cellStyle name="Note 5 3 5 3" xfId="14086"/>
    <cellStyle name="Note 5 3 5 3 2" xfId="34154"/>
    <cellStyle name="Note 5 3 5 4" xfId="30557"/>
    <cellStyle name="Note 5 3 6" xfId="10374"/>
    <cellStyle name="Note 5 3 6 2" xfId="10375"/>
    <cellStyle name="Note 5 3 6 2 2" xfId="22198"/>
    <cellStyle name="Note 5 3 6 2 2 2" xfId="42266"/>
    <cellStyle name="Note 5 3 6 2 3" xfId="30560"/>
    <cellStyle name="Note 5 3 6 3" xfId="14974"/>
    <cellStyle name="Note 5 3 6 3 2" xfId="35042"/>
    <cellStyle name="Note 5 3 6 4" xfId="30559"/>
    <cellStyle name="Note 5 3 7" xfId="10376"/>
    <cellStyle name="Note 5 3 7 2" xfId="10377"/>
    <cellStyle name="Note 5 3 7 2 2" xfId="22199"/>
    <cellStyle name="Note 5 3 7 2 2 2" xfId="42267"/>
    <cellStyle name="Note 5 3 7 2 3" xfId="30562"/>
    <cellStyle name="Note 5 3 7 3" xfId="14058"/>
    <cellStyle name="Note 5 3 7 3 2" xfId="34126"/>
    <cellStyle name="Note 5 3 7 4" xfId="30561"/>
    <cellStyle name="Note 5 3 8" xfId="10378"/>
    <cellStyle name="Note 5 3 8 2" xfId="10379"/>
    <cellStyle name="Note 5 3 8 2 2" xfId="22200"/>
    <cellStyle name="Note 5 3 8 2 2 2" xfId="42268"/>
    <cellStyle name="Note 5 3 8 2 3" xfId="30564"/>
    <cellStyle name="Note 5 3 8 3" xfId="14144"/>
    <cellStyle name="Note 5 3 8 3 2" xfId="34212"/>
    <cellStyle name="Note 5 3 8 4" xfId="30563"/>
    <cellStyle name="Note 5 3 9" xfId="10380"/>
    <cellStyle name="Note 5 3 9 2" xfId="10381"/>
    <cellStyle name="Note 5 3 9 2 2" xfId="22201"/>
    <cellStyle name="Note 5 3 9 2 2 2" xfId="42269"/>
    <cellStyle name="Note 5 3 9 2 3" xfId="30566"/>
    <cellStyle name="Note 5 3 9 3" xfId="15327"/>
    <cellStyle name="Note 5 3 9 3 2" xfId="35395"/>
    <cellStyle name="Note 5 3 9 4" xfId="30565"/>
    <cellStyle name="Note 5 30" xfId="10382"/>
    <cellStyle name="Note 5 30 2" xfId="22079"/>
    <cellStyle name="Note 5 30 2 2" xfId="42147"/>
    <cellStyle name="Note 5 30 3" xfId="30567"/>
    <cellStyle name="Note 5 31" xfId="13919"/>
    <cellStyle name="Note 5 31 2" xfId="33987"/>
    <cellStyle name="Note 5 32" xfId="30322"/>
    <cellStyle name="Note 5 4" xfId="10383"/>
    <cellStyle name="Note 5 4 10" xfId="10384"/>
    <cellStyle name="Note 5 4 10 2" xfId="10385"/>
    <cellStyle name="Note 5 4 10 2 2" xfId="22203"/>
    <cellStyle name="Note 5 4 10 2 2 2" xfId="42271"/>
    <cellStyle name="Note 5 4 10 2 3" xfId="30570"/>
    <cellStyle name="Note 5 4 10 3" xfId="16968"/>
    <cellStyle name="Note 5 4 10 3 2" xfId="37036"/>
    <cellStyle name="Note 5 4 10 4" xfId="30569"/>
    <cellStyle name="Note 5 4 11" xfId="10386"/>
    <cellStyle name="Note 5 4 11 2" xfId="10387"/>
    <cellStyle name="Note 5 4 11 2 2" xfId="22204"/>
    <cellStyle name="Note 5 4 11 2 2 2" xfId="42272"/>
    <cellStyle name="Note 5 4 11 2 3" xfId="30572"/>
    <cellStyle name="Note 5 4 11 3" xfId="17113"/>
    <cellStyle name="Note 5 4 11 3 2" xfId="37181"/>
    <cellStyle name="Note 5 4 11 4" xfId="30571"/>
    <cellStyle name="Note 5 4 12" xfId="10388"/>
    <cellStyle name="Note 5 4 12 2" xfId="10389"/>
    <cellStyle name="Note 5 4 12 2 2" xfId="22205"/>
    <cellStyle name="Note 5 4 12 2 2 2" xfId="42273"/>
    <cellStyle name="Note 5 4 12 2 3" xfId="30574"/>
    <cellStyle name="Note 5 4 12 3" xfId="17285"/>
    <cellStyle name="Note 5 4 12 3 2" xfId="37353"/>
    <cellStyle name="Note 5 4 12 4" xfId="30573"/>
    <cellStyle name="Note 5 4 13" xfId="10390"/>
    <cellStyle name="Note 5 4 13 2" xfId="10391"/>
    <cellStyle name="Note 5 4 13 2 2" xfId="22206"/>
    <cellStyle name="Note 5 4 13 2 2 2" xfId="42274"/>
    <cellStyle name="Note 5 4 13 2 3" xfId="30576"/>
    <cellStyle name="Note 5 4 13 3" xfId="17449"/>
    <cellStyle name="Note 5 4 13 3 2" xfId="37517"/>
    <cellStyle name="Note 5 4 13 4" xfId="30575"/>
    <cellStyle name="Note 5 4 14" xfId="10392"/>
    <cellStyle name="Note 5 4 14 2" xfId="10393"/>
    <cellStyle name="Note 5 4 14 2 2" xfId="22207"/>
    <cellStyle name="Note 5 4 14 2 2 2" xfId="42275"/>
    <cellStyle name="Note 5 4 14 2 3" xfId="30578"/>
    <cellStyle name="Note 5 4 14 3" xfId="17575"/>
    <cellStyle name="Note 5 4 14 3 2" xfId="37643"/>
    <cellStyle name="Note 5 4 14 4" xfId="30577"/>
    <cellStyle name="Note 5 4 15" xfId="10394"/>
    <cellStyle name="Note 5 4 15 2" xfId="10395"/>
    <cellStyle name="Note 5 4 15 2 2" xfId="22208"/>
    <cellStyle name="Note 5 4 15 2 2 2" xfId="42276"/>
    <cellStyle name="Note 5 4 15 2 3" xfId="30580"/>
    <cellStyle name="Note 5 4 15 3" xfId="16687"/>
    <cellStyle name="Note 5 4 15 3 2" xfId="36755"/>
    <cellStyle name="Note 5 4 15 4" xfId="30579"/>
    <cellStyle name="Note 5 4 16" xfId="10396"/>
    <cellStyle name="Note 5 4 16 2" xfId="10397"/>
    <cellStyle name="Note 5 4 16 2 2" xfId="22209"/>
    <cellStyle name="Note 5 4 16 2 2 2" xfId="42277"/>
    <cellStyle name="Note 5 4 16 2 3" xfId="30582"/>
    <cellStyle name="Note 5 4 16 3" xfId="17825"/>
    <cellStyle name="Note 5 4 16 3 2" xfId="37893"/>
    <cellStyle name="Note 5 4 16 4" xfId="30581"/>
    <cellStyle name="Note 5 4 17" xfId="10398"/>
    <cellStyle name="Note 5 4 17 2" xfId="10399"/>
    <cellStyle name="Note 5 4 17 2 2" xfId="22210"/>
    <cellStyle name="Note 5 4 17 2 2 2" xfId="42278"/>
    <cellStyle name="Note 5 4 17 2 3" xfId="30584"/>
    <cellStyle name="Note 5 4 17 3" xfId="17963"/>
    <cellStyle name="Note 5 4 17 3 2" xfId="38031"/>
    <cellStyle name="Note 5 4 17 4" xfId="30583"/>
    <cellStyle name="Note 5 4 18" xfId="10400"/>
    <cellStyle name="Note 5 4 18 2" xfId="10401"/>
    <cellStyle name="Note 5 4 18 2 2" xfId="22211"/>
    <cellStyle name="Note 5 4 18 2 2 2" xfId="42279"/>
    <cellStyle name="Note 5 4 18 2 3" xfId="30586"/>
    <cellStyle name="Note 5 4 18 3" xfId="18102"/>
    <cellStyle name="Note 5 4 18 3 2" xfId="38170"/>
    <cellStyle name="Note 5 4 18 4" xfId="30585"/>
    <cellStyle name="Note 5 4 19" xfId="10402"/>
    <cellStyle name="Note 5 4 19 2" xfId="10403"/>
    <cellStyle name="Note 5 4 19 2 2" xfId="22212"/>
    <cellStyle name="Note 5 4 19 2 2 2" xfId="42280"/>
    <cellStyle name="Note 5 4 19 2 3" xfId="30588"/>
    <cellStyle name="Note 5 4 19 3" xfId="18220"/>
    <cellStyle name="Note 5 4 19 3 2" xfId="38288"/>
    <cellStyle name="Note 5 4 19 4" xfId="30587"/>
    <cellStyle name="Note 5 4 2" xfId="10404"/>
    <cellStyle name="Note 5 4 2 2" xfId="10405"/>
    <cellStyle name="Note 5 4 2 2 2" xfId="22213"/>
    <cellStyle name="Note 5 4 2 2 2 2" xfId="42281"/>
    <cellStyle name="Note 5 4 2 2 3" xfId="30590"/>
    <cellStyle name="Note 5 4 2 3" xfId="14688"/>
    <cellStyle name="Note 5 4 2 3 2" xfId="34756"/>
    <cellStyle name="Note 5 4 2 4" xfId="30589"/>
    <cellStyle name="Note 5 4 20" xfId="10406"/>
    <cellStyle name="Note 5 4 20 2" xfId="10407"/>
    <cellStyle name="Note 5 4 20 2 2" xfId="22214"/>
    <cellStyle name="Note 5 4 20 2 2 2" xfId="42282"/>
    <cellStyle name="Note 5 4 20 2 3" xfId="30592"/>
    <cellStyle name="Note 5 4 20 3" xfId="15900"/>
    <cellStyle name="Note 5 4 20 3 2" xfId="35968"/>
    <cellStyle name="Note 5 4 20 4" xfId="30591"/>
    <cellStyle name="Note 5 4 21" xfId="10408"/>
    <cellStyle name="Note 5 4 21 2" xfId="10409"/>
    <cellStyle name="Note 5 4 21 2 2" xfId="22215"/>
    <cellStyle name="Note 5 4 21 2 2 2" xfId="42283"/>
    <cellStyle name="Note 5 4 21 2 3" xfId="30594"/>
    <cellStyle name="Note 5 4 21 3" xfId="18425"/>
    <cellStyle name="Note 5 4 21 3 2" xfId="38493"/>
    <cellStyle name="Note 5 4 21 4" xfId="30593"/>
    <cellStyle name="Note 5 4 22" xfId="10410"/>
    <cellStyle name="Note 5 4 22 2" xfId="10411"/>
    <cellStyle name="Note 5 4 22 2 2" xfId="22216"/>
    <cellStyle name="Note 5 4 22 2 2 2" xfId="42284"/>
    <cellStyle name="Note 5 4 22 2 3" xfId="30596"/>
    <cellStyle name="Note 5 4 22 3" xfId="18558"/>
    <cellStyle name="Note 5 4 22 3 2" xfId="38626"/>
    <cellStyle name="Note 5 4 22 4" xfId="30595"/>
    <cellStyle name="Note 5 4 23" xfId="10412"/>
    <cellStyle name="Note 5 4 23 2" xfId="10413"/>
    <cellStyle name="Note 5 4 23 2 2" xfId="22217"/>
    <cellStyle name="Note 5 4 23 2 2 2" xfId="42285"/>
    <cellStyle name="Note 5 4 23 2 3" xfId="30598"/>
    <cellStyle name="Note 5 4 23 3" xfId="18669"/>
    <cellStyle name="Note 5 4 23 3 2" xfId="38737"/>
    <cellStyle name="Note 5 4 23 4" xfId="30597"/>
    <cellStyle name="Note 5 4 24" xfId="10414"/>
    <cellStyle name="Note 5 4 24 2" xfId="10415"/>
    <cellStyle name="Note 5 4 24 2 2" xfId="22218"/>
    <cellStyle name="Note 5 4 24 2 2 2" xfId="42286"/>
    <cellStyle name="Note 5 4 24 2 3" xfId="30600"/>
    <cellStyle name="Note 5 4 24 3" xfId="18769"/>
    <cellStyle name="Note 5 4 24 3 2" xfId="38837"/>
    <cellStyle name="Note 5 4 24 4" xfId="30599"/>
    <cellStyle name="Note 5 4 25" xfId="10416"/>
    <cellStyle name="Note 5 4 25 2" xfId="10417"/>
    <cellStyle name="Note 5 4 25 2 2" xfId="22219"/>
    <cellStyle name="Note 5 4 25 2 2 2" xfId="42287"/>
    <cellStyle name="Note 5 4 25 2 3" xfId="30602"/>
    <cellStyle name="Note 5 4 25 3" xfId="18869"/>
    <cellStyle name="Note 5 4 25 3 2" xfId="38937"/>
    <cellStyle name="Note 5 4 25 4" xfId="30601"/>
    <cellStyle name="Note 5 4 26" xfId="10418"/>
    <cellStyle name="Note 5 4 26 2" xfId="22202"/>
    <cellStyle name="Note 5 4 26 2 2" xfId="42270"/>
    <cellStyle name="Note 5 4 26 3" xfId="30603"/>
    <cellStyle name="Note 5 4 27" xfId="14173"/>
    <cellStyle name="Note 5 4 27 2" xfId="34241"/>
    <cellStyle name="Note 5 4 28" xfId="30568"/>
    <cellStyle name="Note 5 4 3" xfId="10419"/>
    <cellStyle name="Note 5 4 3 2" xfId="10420"/>
    <cellStyle name="Note 5 4 3 2 2" xfId="22220"/>
    <cellStyle name="Note 5 4 3 2 2 2" xfId="42288"/>
    <cellStyle name="Note 5 4 3 2 3" xfId="30605"/>
    <cellStyle name="Note 5 4 3 3" xfId="14812"/>
    <cellStyle name="Note 5 4 3 3 2" xfId="34880"/>
    <cellStyle name="Note 5 4 3 4" xfId="30604"/>
    <cellStyle name="Note 5 4 4" xfId="10421"/>
    <cellStyle name="Note 5 4 4 2" xfId="10422"/>
    <cellStyle name="Note 5 4 4 2 2" xfId="22221"/>
    <cellStyle name="Note 5 4 4 2 2 2" xfId="42289"/>
    <cellStyle name="Note 5 4 4 2 3" xfId="30607"/>
    <cellStyle name="Note 5 4 4 3" xfId="14937"/>
    <cellStyle name="Note 5 4 4 3 2" xfId="35005"/>
    <cellStyle name="Note 5 4 4 4" xfId="30606"/>
    <cellStyle name="Note 5 4 5" xfId="10423"/>
    <cellStyle name="Note 5 4 5 2" xfId="10424"/>
    <cellStyle name="Note 5 4 5 2 2" xfId="22222"/>
    <cellStyle name="Note 5 4 5 2 2 2" xfId="42290"/>
    <cellStyle name="Note 5 4 5 2 3" xfId="30609"/>
    <cellStyle name="Note 5 4 5 3" xfId="15106"/>
    <cellStyle name="Note 5 4 5 3 2" xfId="35174"/>
    <cellStyle name="Note 5 4 5 4" xfId="30608"/>
    <cellStyle name="Note 5 4 6" xfId="10425"/>
    <cellStyle name="Note 5 4 6 2" xfId="10426"/>
    <cellStyle name="Note 5 4 6 2 2" xfId="22223"/>
    <cellStyle name="Note 5 4 6 2 2 2" xfId="42291"/>
    <cellStyle name="Note 5 4 6 2 3" xfId="30611"/>
    <cellStyle name="Note 5 4 6 3" xfId="15019"/>
    <cellStyle name="Note 5 4 6 3 2" xfId="35087"/>
    <cellStyle name="Note 5 4 6 4" xfId="30610"/>
    <cellStyle name="Note 5 4 7" xfId="10427"/>
    <cellStyle name="Note 5 4 7 2" xfId="10428"/>
    <cellStyle name="Note 5 4 7 2 2" xfId="22224"/>
    <cellStyle name="Note 5 4 7 2 2 2" xfId="42292"/>
    <cellStyle name="Note 5 4 7 2 3" xfId="30613"/>
    <cellStyle name="Note 5 4 7 3" xfId="15238"/>
    <cellStyle name="Note 5 4 7 3 2" xfId="35306"/>
    <cellStyle name="Note 5 4 7 4" xfId="30612"/>
    <cellStyle name="Note 5 4 8" xfId="10429"/>
    <cellStyle name="Note 5 4 8 2" xfId="10430"/>
    <cellStyle name="Note 5 4 8 2 2" xfId="22225"/>
    <cellStyle name="Note 5 4 8 2 2 2" xfId="42293"/>
    <cellStyle name="Note 5 4 8 2 3" xfId="30615"/>
    <cellStyle name="Note 5 4 8 3" xfId="16603"/>
    <cellStyle name="Note 5 4 8 3 2" xfId="36671"/>
    <cellStyle name="Note 5 4 8 4" xfId="30614"/>
    <cellStyle name="Note 5 4 9" xfId="10431"/>
    <cellStyle name="Note 5 4 9 2" xfId="10432"/>
    <cellStyle name="Note 5 4 9 2 2" xfId="22226"/>
    <cellStyle name="Note 5 4 9 2 2 2" xfId="42294"/>
    <cellStyle name="Note 5 4 9 2 3" xfId="30617"/>
    <cellStyle name="Note 5 4 9 3" xfId="16807"/>
    <cellStyle name="Note 5 4 9 3 2" xfId="36875"/>
    <cellStyle name="Note 5 4 9 4" xfId="30616"/>
    <cellStyle name="Note 5 5" xfId="10433"/>
    <cellStyle name="Note 5 5 2" xfId="10434"/>
    <cellStyle name="Note 5 5 2 2" xfId="22227"/>
    <cellStyle name="Note 5 5 2 2 2" xfId="42295"/>
    <cellStyle name="Note 5 5 2 3" xfId="30619"/>
    <cellStyle name="Note 5 5 3" xfId="14475"/>
    <cellStyle name="Note 5 5 3 2" xfId="34543"/>
    <cellStyle name="Note 5 5 4" xfId="30618"/>
    <cellStyle name="Note 5 6" xfId="10435"/>
    <cellStyle name="Note 5 6 2" xfId="10436"/>
    <cellStyle name="Note 5 6 2 2" xfId="22228"/>
    <cellStyle name="Note 5 6 2 2 2" xfId="42296"/>
    <cellStyle name="Note 5 6 2 3" xfId="30621"/>
    <cellStyle name="Note 5 6 3" xfId="14383"/>
    <cellStyle name="Note 5 6 3 2" xfId="34451"/>
    <cellStyle name="Note 5 6 4" xfId="30620"/>
    <cellStyle name="Note 5 7" xfId="10437"/>
    <cellStyle name="Note 5 7 2" xfId="10438"/>
    <cellStyle name="Note 5 7 2 2" xfId="22229"/>
    <cellStyle name="Note 5 7 2 2 2" xfId="42297"/>
    <cellStyle name="Note 5 7 2 3" xfId="30623"/>
    <cellStyle name="Note 5 7 3" xfId="14450"/>
    <cellStyle name="Note 5 7 3 2" xfId="34518"/>
    <cellStyle name="Note 5 7 4" xfId="30622"/>
    <cellStyle name="Note 5 8" xfId="10439"/>
    <cellStyle name="Note 5 8 2" xfId="10440"/>
    <cellStyle name="Note 5 8 2 2" xfId="22230"/>
    <cellStyle name="Note 5 8 2 2 2" xfId="42298"/>
    <cellStyle name="Note 5 8 2 3" xfId="30625"/>
    <cellStyle name="Note 5 8 3" xfId="14972"/>
    <cellStyle name="Note 5 8 3 2" xfId="35040"/>
    <cellStyle name="Note 5 8 4" xfId="30624"/>
    <cellStyle name="Note 5 9" xfId="10441"/>
    <cellStyle name="Note 5 9 2" xfId="10442"/>
    <cellStyle name="Note 5 9 2 2" xfId="22231"/>
    <cellStyle name="Note 5 9 2 2 2" xfId="42299"/>
    <cellStyle name="Note 5 9 2 3" xfId="30627"/>
    <cellStyle name="Note 5 9 3" xfId="13996"/>
    <cellStyle name="Note 5 9 3 2" xfId="34064"/>
    <cellStyle name="Note 5 9 4" xfId="30626"/>
    <cellStyle name="Note 5_2011-2012" xfId="10443"/>
    <cellStyle name="Note 6" xfId="10444"/>
    <cellStyle name="Note 6 10" xfId="10445"/>
    <cellStyle name="Note 6 10 2" xfId="10446"/>
    <cellStyle name="Note 6 10 2 2" xfId="22233"/>
    <cellStyle name="Note 6 10 2 2 2" xfId="42301"/>
    <cellStyle name="Note 6 10 2 3" xfId="30630"/>
    <cellStyle name="Note 6 10 3" xfId="14524"/>
    <cellStyle name="Note 6 10 3 2" xfId="34592"/>
    <cellStyle name="Note 6 10 4" xfId="30629"/>
    <cellStyle name="Note 6 11" xfId="10447"/>
    <cellStyle name="Note 6 11 2" xfId="10448"/>
    <cellStyle name="Note 6 11 2 2" xfId="22234"/>
    <cellStyle name="Note 6 11 2 2 2" xfId="42302"/>
    <cellStyle name="Note 6 11 2 3" xfId="30632"/>
    <cellStyle name="Note 6 11 3" xfId="15142"/>
    <cellStyle name="Note 6 11 3 2" xfId="35210"/>
    <cellStyle name="Note 6 11 4" xfId="30631"/>
    <cellStyle name="Note 6 12" xfId="10449"/>
    <cellStyle name="Note 6 12 2" xfId="10450"/>
    <cellStyle name="Note 6 12 2 2" xfId="22235"/>
    <cellStyle name="Note 6 12 2 2 2" xfId="42303"/>
    <cellStyle name="Note 6 12 2 3" xfId="30634"/>
    <cellStyle name="Note 6 12 3" xfId="15328"/>
    <cellStyle name="Note 6 12 3 2" xfId="35396"/>
    <cellStyle name="Note 6 12 4" xfId="30633"/>
    <cellStyle name="Note 6 13" xfId="10451"/>
    <cellStyle name="Note 6 13 2" xfId="10452"/>
    <cellStyle name="Note 6 13 2 2" xfId="22236"/>
    <cellStyle name="Note 6 13 2 2 2" xfId="42304"/>
    <cellStyle name="Note 6 13 2 3" xfId="30636"/>
    <cellStyle name="Note 6 13 3" xfId="16471"/>
    <cellStyle name="Note 6 13 3 2" xfId="36539"/>
    <cellStyle name="Note 6 13 4" xfId="30635"/>
    <cellStyle name="Note 6 14" xfId="10453"/>
    <cellStyle name="Note 6 14 2" xfId="10454"/>
    <cellStyle name="Note 6 14 2 2" xfId="22237"/>
    <cellStyle name="Note 6 14 2 2 2" xfId="42305"/>
    <cellStyle name="Note 6 14 2 3" xfId="30638"/>
    <cellStyle name="Note 6 14 3" xfId="16664"/>
    <cellStyle name="Note 6 14 3 2" xfId="36732"/>
    <cellStyle name="Note 6 14 4" xfId="30637"/>
    <cellStyle name="Note 6 15" xfId="10455"/>
    <cellStyle name="Note 6 15 2" xfId="10456"/>
    <cellStyle name="Note 6 15 2 2" xfId="22238"/>
    <cellStyle name="Note 6 15 2 2 2" xfId="42306"/>
    <cellStyle name="Note 6 15 2 3" xfId="30640"/>
    <cellStyle name="Note 6 15 3" xfId="16523"/>
    <cellStyle name="Note 6 15 3 2" xfId="36591"/>
    <cellStyle name="Note 6 15 4" xfId="30639"/>
    <cellStyle name="Note 6 16" xfId="10457"/>
    <cellStyle name="Note 6 16 2" xfId="10458"/>
    <cellStyle name="Note 6 16 2 2" xfId="22239"/>
    <cellStyle name="Note 6 16 2 2 2" xfId="42307"/>
    <cellStyle name="Note 6 16 2 3" xfId="30642"/>
    <cellStyle name="Note 6 16 3" xfId="15480"/>
    <cellStyle name="Note 6 16 3 2" xfId="35548"/>
    <cellStyle name="Note 6 16 4" xfId="30641"/>
    <cellStyle name="Note 6 17" xfId="10459"/>
    <cellStyle name="Note 6 17 2" xfId="10460"/>
    <cellStyle name="Note 6 17 2 2" xfId="22240"/>
    <cellStyle name="Note 6 17 2 2 2" xfId="42308"/>
    <cellStyle name="Note 6 17 2 3" xfId="30644"/>
    <cellStyle name="Note 6 17 3" xfId="16895"/>
    <cellStyle name="Note 6 17 3 2" xfId="36963"/>
    <cellStyle name="Note 6 17 4" xfId="30643"/>
    <cellStyle name="Note 6 18" xfId="10461"/>
    <cellStyle name="Note 6 18 2" xfId="10462"/>
    <cellStyle name="Note 6 18 2 2" xfId="22241"/>
    <cellStyle name="Note 6 18 2 2 2" xfId="42309"/>
    <cellStyle name="Note 6 18 2 3" xfId="30646"/>
    <cellStyle name="Note 6 18 3" xfId="17324"/>
    <cellStyle name="Note 6 18 3 2" xfId="37392"/>
    <cellStyle name="Note 6 18 4" xfId="30645"/>
    <cellStyle name="Note 6 19" xfId="10463"/>
    <cellStyle name="Note 6 19 2" xfId="10464"/>
    <cellStyle name="Note 6 19 2 2" xfId="22242"/>
    <cellStyle name="Note 6 19 2 2 2" xfId="42310"/>
    <cellStyle name="Note 6 19 2 3" xfId="30648"/>
    <cellStyle name="Note 6 19 3" xfId="15389"/>
    <cellStyle name="Note 6 19 3 2" xfId="35457"/>
    <cellStyle name="Note 6 19 4" xfId="30647"/>
    <cellStyle name="Note 6 2" xfId="10465"/>
    <cellStyle name="Note 6 2 10" xfId="10466"/>
    <cellStyle name="Note 6 2 10 2" xfId="10467"/>
    <cellStyle name="Note 6 2 10 2 2" xfId="22244"/>
    <cellStyle name="Note 6 2 10 2 2 2" xfId="42312"/>
    <cellStyle name="Note 6 2 10 2 3" xfId="30651"/>
    <cellStyle name="Note 6 2 10 3" xfId="16472"/>
    <cellStyle name="Note 6 2 10 3 2" xfId="36540"/>
    <cellStyle name="Note 6 2 10 4" xfId="30650"/>
    <cellStyle name="Note 6 2 11" xfId="10468"/>
    <cellStyle name="Note 6 2 11 2" xfId="10469"/>
    <cellStyle name="Note 6 2 11 2 2" xfId="22245"/>
    <cellStyle name="Note 6 2 11 2 2 2" xfId="42313"/>
    <cellStyle name="Note 6 2 11 2 3" xfId="30653"/>
    <cellStyle name="Note 6 2 11 3" xfId="16665"/>
    <cellStyle name="Note 6 2 11 3 2" xfId="36733"/>
    <cellStyle name="Note 6 2 11 4" xfId="30652"/>
    <cellStyle name="Note 6 2 12" xfId="10470"/>
    <cellStyle name="Note 6 2 12 2" xfId="10471"/>
    <cellStyle name="Note 6 2 12 2 2" xfId="22246"/>
    <cellStyle name="Note 6 2 12 2 2 2" xfId="42314"/>
    <cellStyle name="Note 6 2 12 2 3" xfId="30655"/>
    <cellStyle name="Note 6 2 12 3" xfId="15532"/>
    <cellStyle name="Note 6 2 12 3 2" xfId="35600"/>
    <cellStyle name="Note 6 2 12 4" xfId="30654"/>
    <cellStyle name="Note 6 2 13" xfId="10472"/>
    <cellStyle name="Note 6 2 13 2" xfId="10473"/>
    <cellStyle name="Note 6 2 13 2 2" xfId="22247"/>
    <cellStyle name="Note 6 2 13 2 2 2" xfId="42315"/>
    <cellStyle name="Note 6 2 13 2 3" xfId="30657"/>
    <cellStyle name="Note 6 2 13 3" xfId="16711"/>
    <cellStyle name="Note 6 2 13 3 2" xfId="36779"/>
    <cellStyle name="Note 6 2 13 4" xfId="30656"/>
    <cellStyle name="Note 6 2 14" xfId="10474"/>
    <cellStyle name="Note 6 2 14 2" xfId="10475"/>
    <cellStyle name="Note 6 2 14 2 2" xfId="22248"/>
    <cellStyle name="Note 6 2 14 2 2 2" xfId="42316"/>
    <cellStyle name="Note 6 2 14 2 3" xfId="30659"/>
    <cellStyle name="Note 6 2 14 3" xfId="16133"/>
    <cellStyle name="Note 6 2 14 3 2" xfId="36201"/>
    <cellStyle name="Note 6 2 14 4" xfId="30658"/>
    <cellStyle name="Note 6 2 15" xfId="10476"/>
    <cellStyle name="Note 6 2 15 2" xfId="10477"/>
    <cellStyle name="Note 6 2 15 2 2" xfId="22249"/>
    <cellStyle name="Note 6 2 15 2 2 2" xfId="42317"/>
    <cellStyle name="Note 6 2 15 2 3" xfId="30661"/>
    <cellStyle name="Note 6 2 15 3" xfId="17325"/>
    <cellStyle name="Note 6 2 15 3 2" xfId="37393"/>
    <cellStyle name="Note 6 2 15 4" xfId="30660"/>
    <cellStyle name="Note 6 2 16" xfId="10478"/>
    <cellStyle name="Note 6 2 16 2" xfId="10479"/>
    <cellStyle name="Note 6 2 16 2 2" xfId="22250"/>
    <cellStyle name="Note 6 2 16 2 2 2" xfId="42318"/>
    <cellStyle name="Note 6 2 16 2 3" xfId="30663"/>
    <cellStyle name="Note 6 2 16 3" xfId="17188"/>
    <cellStyle name="Note 6 2 16 3 2" xfId="37256"/>
    <cellStyle name="Note 6 2 16 4" xfId="30662"/>
    <cellStyle name="Note 6 2 17" xfId="10480"/>
    <cellStyle name="Note 6 2 17 2" xfId="10481"/>
    <cellStyle name="Note 6 2 17 2 2" xfId="22251"/>
    <cellStyle name="Note 6 2 17 2 2 2" xfId="42319"/>
    <cellStyle name="Note 6 2 17 2 3" xfId="30665"/>
    <cellStyle name="Note 6 2 17 3" xfId="15448"/>
    <cellStyle name="Note 6 2 17 3 2" xfId="35516"/>
    <cellStyle name="Note 6 2 17 4" xfId="30664"/>
    <cellStyle name="Note 6 2 18" xfId="10482"/>
    <cellStyle name="Note 6 2 18 2" xfId="10483"/>
    <cellStyle name="Note 6 2 18 2 2" xfId="22252"/>
    <cellStyle name="Note 6 2 18 2 2 2" xfId="42320"/>
    <cellStyle name="Note 6 2 18 2 3" xfId="30667"/>
    <cellStyle name="Note 6 2 18 3" xfId="17714"/>
    <cellStyle name="Note 6 2 18 3 2" xfId="37782"/>
    <cellStyle name="Note 6 2 18 4" xfId="30666"/>
    <cellStyle name="Note 6 2 19" xfId="10484"/>
    <cellStyle name="Note 6 2 19 2" xfId="10485"/>
    <cellStyle name="Note 6 2 19 2 2" xfId="22253"/>
    <cellStyle name="Note 6 2 19 2 2 2" xfId="42321"/>
    <cellStyle name="Note 6 2 19 2 3" xfId="30669"/>
    <cellStyle name="Note 6 2 19 3" xfId="16338"/>
    <cellStyle name="Note 6 2 19 3 2" xfId="36406"/>
    <cellStyle name="Note 6 2 19 4" xfId="30668"/>
    <cellStyle name="Note 6 2 2" xfId="10486"/>
    <cellStyle name="Note 6 2 2 10" xfId="10487"/>
    <cellStyle name="Note 6 2 2 10 2" xfId="10488"/>
    <cellStyle name="Note 6 2 2 10 2 2" xfId="22255"/>
    <cellStyle name="Note 6 2 2 10 2 2 2" xfId="42323"/>
    <cellStyle name="Note 6 2 2 10 2 3" xfId="30672"/>
    <cellStyle name="Note 6 2 2 10 3" xfId="16972"/>
    <cellStyle name="Note 6 2 2 10 3 2" xfId="37040"/>
    <cellStyle name="Note 6 2 2 10 4" xfId="30671"/>
    <cellStyle name="Note 6 2 2 11" xfId="10489"/>
    <cellStyle name="Note 6 2 2 11 2" xfId="10490"/>
    <cellStyle name="Note 6 2 2 11 2 2" xfId="22256"/>
    <cellStyle name="Note 6 2 2 11 2 2 2" xfId="42324"/>
    <cellStyle name="Note 6 2 2 11 2 3" xfId="30674"/>
    <cellStyle name="Note 6 2 2 11 3" xfId="17117"/>
    <cellStyle name="Note 6 2 2 11 3 2" xfId="37185"/>
    <cellStyle name="Note 6 2 2 11 4" xfId="30673"/>
    <cellStyle name="Note 6 2 2 12" xfId="10491"/>
    <cellStyle name="Note 6 2 2 12 2" xfId="10492"/>
    <cellStyle name="Note 6 2 2 12 2 2" xfId="22257"/>
    <cellStyle name="Note 6 2 2 12 2 2 2" xfId="42325"/>
    <cellStyle name="Note 6 2 2 12 2 3" xfId="30676"/>
    <cellStyle name="Note 6 2 2 12 3" xfId="17289"/>
    <cellStyle name="Note 6 2 2 12 3 2" xfId="37357"/>
    <cellStyle name="Note 6 2 2 12 4" xfId="30675"/>
    <cellStyle name="Note 6 2 2 13" xfId="10493"/>
    <cellStyle name="Note 6 2 2 13 2" xfId="10494"/>
    <cellStyle name="Note 6 2 2 13 2 2" xfId="22258"/>
    <cellStyle name="Note 6 2 2 13 2 2 2" xfId="42326"/>
    <cellStyle name="Note 6 2 2 13 2 3" xfId="30678"/>
    <cellStyle name="Note 6 2 2 13 3" xfId="17453"/>
    <cellStyle name="Note 6 2 2 13 3 2" xfId="37521"/>
    <cellStyle name="Note 6 2 2 13 4" xfId="30677"/>
    <cellStyle name="Note 6 2 2 14" xfId="10495"/>
    <cellStyle name="Note 6 2 2 14 2" xfId="10496"/>
    <cellStyle name="Note 6 2 2 14 2 2" xfId="22259"/>
    <cellStyle name="Note 6 2 2 14 2 2 2" xfId="42327"/>
    <cellStyle name="Note 6 2 2 14 2 3" xfId="30680"/>
    <cellStyle name="Note 6 2 2 14 3" xfId="17579"/>
    <cellStyle name="Note 6 2 2 14 3 2" xfId="37647"/>
    <cellStyle name="Note 6 2 2 14 4" xfId="30679"/>
    <cellStyle name="Note 6 2 2 15" xfId="10497"/>
    <cellStyle name="Note 6 2 2 15 2" xfId="10498"/>
    <cellStyle name="Note 6 2 2 15 2 2" xfId="22260"/>
    <cellStyle name="Note 6 2 2 15 2 2 2" xfId="42328"/>
    <cellStyle name="Note 6 2 2 15 2 3" xfId="30682"/>
    <cellStyle name="Note 6 2 2 15 3" xfId="16240"/>
    <cellStyle name="Note 6 2 2 15 3 2" xfId="36308"/>
    <cellStyle name="Note 6 2 2 15 4" xfId="30681"/>
    <cellStyle name="Note 6 2 2 16" xfId="10499"/>
    <cellStyle name="Note 6 2 2 16 2" xfId="10500"/>
    <cellStyle name="Note 6 2 2 16 2 2" xfId="22261"/>
    <cellStyle name="Note 6 2 2 16 2 2 2" xfId="42329"/>
    <cellStyle name="Note 6 2 2 16 2 3" xfId="30684"/>
    <cellStyle name="Note 6 2 2 16 3" xfId="17829"/>
    <cellStyle name="Note 6 2 2 16 3 2" xfId="37897"/>
    <cellStyle name="Note 6 2 2 16 4" xfId="30683"/>
    <cellStyle name="Note 6 2 2 17" xfId="10501"/>
    <cellStyle name="Note 6 2 2 17 2" xfId="10502"/>
    <cellStyle name="Note 6 2 2 17 2 2" xfId="22262"/>
    <cellStyle name="Note 6 2 2 17 2 2 2" xfId="42330"/>
    <cellStyle name="Note 6 2 2 17 2 3" xfId="30686"/>
    <cellStyle name="Note 6 2 2 17 3" xfId="17967"/>
    <cellStyle name="Note 6 2 2 17 3 2" xfId="38035"/>
    <cellStyle name="Note 6 2 2 17 4" xfId="30685"/>
    <cellStyle name="Note 6 2 2 18" xfId="10503"/>
    <cellStyle name="Note 6 2 2 18 2" xfId="10504"/>
    <cellStyle name="Note 6 2 2 18 2 2" xfId="22263"/>
    <cellStyle name="Note 6 2 2 18 2 2 2" xfId="42331"/>
    <cellStyle name="Note 6 2 2 18 2 3" xfId="30688"/>
    <cellStyle name="Note 6 2 2 18 3" xfId="18106"/>
    <cellStyle name="Note 6 2 2 18 3 2" xfId="38174"/>
    <cellStyle name="Note 6 2 2 18 4" xfId="30687"/>
    <cellStyle name="Note 6 2 2 19" xfId="10505"/>
    <cellStyle name="Note 6 2 2 19 2" xfId="10506"/>
    <cellStyle name="Note 6 2 2 19 2 2" xfId="22264"/>
    <cellStyle name="Note 6 2 2 19 2 2 2" xfId="42332"/>
    <cellStyle name="Note 6 2 2 19 2 3" xfId="30690"/>
    <cellStyle name="Note 6 2 2 19 3" xfId="18224"/>
    <cellStyle name="Note 6 2 2 19 3 2" xfId="38292"/>
    <cellStyle name="Note 6 2 2 19 4" xfId="30689"/>
    <cellStyle name="Note 6 2 2 2" xfId="10507"/>
    <cellStyle name="Note 6 2 2 2 2" xfId="10508"/>
    <cellStyle name="Note 6 2 2 2 2 2" xfId="22265"/>
    <cellStyle name="Note 6 2 2 2 2 2 2" xfId="42333"/>
    <cellStyle name="Note 6 2 2 2 2 3" xfId="30692"/>
    <cellStyle name="Note 6 2 2 2 3" xfId="14692"/>
    <cellStyle name="Note 6 2 2 2 3 2" xfId="34760"/>
    <cellStyle name="Note 6 2 2 2 4" xfId="30691"/>
    <cellStyle name="Note 6 2 2 20" xfId="10509"/>
    <cellStyle name="Note 6 2 2 20 2" xfId="10510"/>
    <cellStyle name="Note 6 2 2 20 2 2" xfId="22266"/>
    <cellStyle name="Note 6 2 2 20 2 2 2" xfId="42334"/>
    <cellStyle name="Note 6 2 2 20 2 3" xfId="30694"/>
    <cellStyle name="Note 6 2 2 20 3" xfId="18143"/>
    <cellStyle name="Note 6 2 2 20 3 2" xfId="38211"/>
    <cellStyle name="Note 6 2 2 20 4" xfId="30693"/>
    <cellStyle name="Note 6 2 2 21" xfId="10511"/>
    <cellStyle name="Note 6 2 2 21 2" xfId="10512"/>
    <cellStyle name="Note 6 2 2 21 2 2" xfId="22267"/>
    <cellStyle name="Note 6 2 2 21 2 2 2" xfId="42335"/>
    <cellStyle name="Note 6 2 2 21 2 3" xfId="30696"/>
    <cellStyle name="Note 6 2 2 21 3" xfId="18429"/>
    <cellStyle name="Note 6 2 2 21 3 2" xfId="38497"/>
    <cellStyle name="Note 6 2 2 21 4" xfId="30695"/>
    <cellStyle name="Note 6 2 2 22" xfId="10513"/>
    <cellStyle name="Note 6 2 2 22 2" xfId="10514"/>
    <cellStyle name="Note 6 2 2 22 2 2" xfId="22268"/>
    <cellStyle name="Note 6 2 2 22 2 2 2" xfId="42336"/>
    <cellStyle name="Note 6 2 2 22 2 3" xfId="30698"/>
    <cellStyle name="Note 6 2 2 22 3" xfId="18562"/>
    <cellStyle name="Note 6 2 2 22 3 2" xfId="38630"/>
    <cellStyle name="Note 6 2 2 22 4" xfId="30697"/>
    <cellStyle name="Note 6 2 2 23" xfId="10515"/>
    <cellStyle name="Note 6 2 2 23 2" xfId="10516"/>
    <cellStyle name="Note 6 2 2 23 2 2" xfId="22269"/>
    <cellStyle name="Note 6 2 2 23 2 2 2" xfId="42337"/>
    <cellStyle name="Note 6 2 2 23 2 3" xfId="30700"/>
    <cellStyle name="Note 6 2 2 23 3" xfId="18673"/>
    <cellStyle name="Note 6 2 2 23 3 2" xfId="38741"/>
    <cellStyle name="Note 6 2 2 23 4" xfId="30699"/>
    <cellStyle name="Note 6 2 2 24" xfId="10517"/>
    <cellStyle name="Note 6 2 2 24 2" xfId="10518"/>
    <cellStyle name="Note 6 2 2 24 2 2" xfId="22270"/>
    <cellStyle name="Note 6 2 2 24 2 2 2" xfId="42338"/>
    <cellStyle name="Note 6 2 2 24 2 3" xfId="30702"/>
    <cellStyle name="Note 6 2 2 24 3" xfId="18773"/>
    <cellStyle name="Note 6 2 2 24 3 2" xfId="38841"/>
    <cellStyle name="Note 6 2 2 24 4" xfId="30701"/>
    <cellStyle name="Note 6 2 2 25" xfId="10519"/>
    <cellStyle name="Note 6 2 2 25 2" xfId="10520"/>
    <cellStyle name="Note 6 2 2 25 2 2" xfId="22271"/>
    <cellStyle name="Note 6 2 2 25 2 2 2" xfId="42339"/>
    <cellStyle name="Note 6 2 2 25 2 3" xfId="30704"/>
    <cellStyle name="Note 6 2 2 25 3" xfId="18873"/>
    <cellStyle name="Note 6 2 2 25 3 2" xfId="38941"/>
    <cellStyle name="Note 6 2 2 25 4" xfId="30703"/>
    <cellStyle name="Note 6 2 2 26" xfId="10521"/>
    <cellStyle name="Note 6 2 2 26 2" xfId="22254"/>
    <cellStyle name="Note 6 2 2 26 2 2" xfId="42322"/>
    <cellStyle name="Note 6 2 2 26 3" xfId="30705"/>
    <cellStyle name="Note 6 2 2 27" xfId="14016"/>
    <cellStyle name="Note 6 2 2 27 2" xfId="34084"/>
    <cellStyle name="Note 6 2 2 28" xfId="30670"/>
    <cellStyle name="Note 6 2 2 3" xfId="10522"/>
    <cellStyle name="Note 6 2 2 3 2" xfId="10523"/>
    <cellStyle name="Note 6 2 2 3 2 2" xfId="22272"/>
    <cellStyle name="Note 6 2 2 3 2 2 2" xfId="42340"/>
    <cellStyle name="Note 6 2 2 3 2 3" xfId="30707"/>
    <cellStyle name="Note 6 2 2 3 3" xfId="14816"/>
    <cellStyle name="Note 6 2 2 3 3 2" xfId="34884"/>
    <cellStyle name="Note 6 2 2 3 4" xfId="30706"/>
    <cellStyle name="Note 6 2 2 4" xfId="10524"/>
    <cellStyle name="Note 6 2 2 4 2" xfId="10525"/>
    <cellStyle name="Note 6 2 2 4 2 2" xfId="22273"/>
    <cellStyle name="Note 6 2 2 4 2 2 2" xfId="42341"/>
    <cellStyle name="Note 6 2 2 4 2 3" xfId="30709"/>
    <cellStyle name="Note 6 2 2 4 3" xfId="14941"/>
    <cellStyle name="Note 6 2 2 4 3 2" xfId="35009"/>
    <cellStyle name="Note 6 2 2 4 4" xfId="30708"/>
    <cellStyle name="Note 6 2 2 5" xfId="10526"/>
    <cellStyle name="Note 6 2 2 5 2" xfId="10527"/>
    <cellStyle name="Note 6 2 2 5 2 2" xfId="22274"/>
    <cellStyle name="Note 6 2 2 5 2 2 2" xfId="42342"/>
    <cellStyle name="Note 6 2 2 5 2 3" xfId="30711"/>
    <cellStyle name="Note 6 2 2 5 3" xfId="15110"/>
    <cellStyle name="Note 6 2 2 5 3 2" xfId="35178"/>
    <cellStyle name="Note 6 2 2 5 4" xfId="30710"/>
    <cellStyle name="Note 6 2 2 6" xfId="10528"/>
    <cellStyle name="Note 6 2 2 6 2" xfId="10529"/>
    <cellStyle name="Note 6 2 2 6 2 2" xfId="22275"/>
    <cellStyle name="Note 6 2 2 6 2 2 2" xfId="42343"/>
    <cellStyle name="Note 6 2 2 6 2 3" xfId="30713"/>
    <cellStyle name="Note 6 2 2 6 3" xfId="14214"/>
    <cellStyle name="Note 6 2 2 6 3 2" xfId="34282"/>
    <cellStyle name="Note 6 2 2 6 4" xfId="30712"/>
    <cellStyle name="Note 6 2 2 7" xfId="10530"/>
    <cellStyle name="Note 6 2 2 7 2" xfId="10531"/>
    <cellStyle name="Note 6 2 2 7 2 2" xfId="22276"/>
    <cellStyle name="Note 6 2 2 7 2 2 2" xfId="42344"/>
    <cellStyle name="Note 6 2 2 7 2 3" xfId="30715"/>
    <cellStyle name="Note 6 2 2 7 3" xfId="15242"/>
    <cellStyle name="Note 6 2 2 7 3 2" xfId="35310"/>
    <cellStyle name="Note 6 2 2 7 4" xfId="30714"/>
    <cellStyle name="Note 6 2 2 8" xfId="10532"/>
    <cellStyle name="Note 6 2 2 8 2" xfId="10533"/>
    <cellStyle name="Note 6 2 2 8 2 2" xfId="22277"/>
    <cellStyle name="Note 6 2 2 8 2 2 2" xfId="42345"/>
    <cellStyle name="Note 6 2 2 8 2 3" xfId="30717"/>
    <cellStyle name="Note 6 2 2 8 3" xfId="16607"/>
    <cellStyle name="Note 6 2 2 8 3 2" xfId="36675"/>
    <cellStyle name="Note 6 2 2 8 4" xfId="30716"/>
    <cellStyle name="Note 6 2 2 9" xfId="10534"/>
    <cellStyle name="Note 6 2 2 9 2" xfId="10535"/>
    <cellStyle name="Note 6 2 2 9 2 2" xfId="22278"/>
    <cellStyle name="Note 6 2 2 9 2 2 2" xfId="42346"/>
    <cellStyle name="Note 6 2 2 9 2 3" xfId="30719"/>
    <cellStyle name="Note 6 2 2 9 3" xfId="16811"/>
    <cellStyle name="Note 6 2 2 9 3 2" xfId="36879"/>
    <cellStyle name="Note 6 2 2 9 4" xfId="30718"/>
    <cellStyle name="Note 6 2 20" xfId="10536"/>
    <cellStyle name="Note 6 2 20 2" xfId="10537"/>
    <cellStyle name="Note 6 2 20 2 2" xfId="22279"/>
    <cellStyle name="Note 6 2 20 2 2 2" xfId="42347"/>
    <cellStyle name="Note 6 2 20 2 3" xfId="30721"/>
    <cellStyle name="Note 6 2 20 3" xfId="15550"/>
    <cellStyle name="Note 6 2 20 3 2" xfId="35618"/>
    <cellStyle name="Note 6 2 20 4" xfId="30720"/>
    <cellStyle name="Note 6 2 21" xfId="10538"/>
    <cellStyle name="Note 6 2 21 2" xfId="10539"/>
    <cellStyle name="Note 6 2 21 2 2" xfId="22280"/>
    <cellStyle name="Note 6 2 21 2 2 2" xfId="42348"/>
    <cellStyle name="Note 6 2 21 2 3" xfId="30723"/>
    <cellStyle name="Note 6 2 21 3" xfId="17873"/>
    <cellStyle name="Note 6 2 21 3 2" xfId="37941"/>
    <cellStyle name="Note 6 2 21 4" xfId="30722"/>
    <cellStyle name="Note 6 2 22" xfId="10540"/>
    <cellStyle name="Note 6 2 22 2" xfId="10541"/>
    <cellStyle name="Note 6 2 22 2 2" xfId="22281"/>
    <cellStyle name="Note 6 2 22 2 2 2" xfId="42349"/>
    <cellStyle name="Note 6 2 22 2 3" xfId="30725"/>
    <cellStyle name="Note 6 2 22 3" xfId="15780"/>
    <cellStyle name="Note 6 2 22 3 2" xfId="35848"/>
    <cellStyle name="Note 6 2 22 4" xfId="30724"/>
    <cellStyle name="Note 6 2 23" xfId="10542"/>
    <cellStyle name="Note 6 2 23 2" xfId="10543"/>
    <cellStyle name="Note 6 2 23 2 2" xfId="22282"/>
    <cellStyle name="Note 6 2 23 2 2 2" xfId="42350"/>
    <cellStyle name="Note 6 2 23 2 3" xfId="30727"/>
    <cellStyle name="Note 6 2 23 3" xfId="18280"/>
    <cellStyle name="Note 6 2 23 3 2" xfId="38348"/>
    <cellStyle name="Note 6 2 23 4" xfId="30726"/>
    <cellStyle name="Note 6 2 24" xfId="10544"/>
    <cellStyle name="Note 6 2 24 2" xfId="10545"/>
    <cellStyle name="Note 6 2 24 2 2" xfId="22283"/>
    <cellStyle name="Note 6 2 24 2 2 2" xfId="42351"/>
    <cellStyle name="Note 6 2 24 2 3" xfId="30729"/>
    <cellStyle name="Note 6 2 24 3" xfId="18457"/>
    <cellStyle name="Note 6 2 24 3 2" xfId="38525"/>
    <cellStyle name="Note 6 2 24 4" xfId="30728"/>
    <cellStyle name="Note 6 2 25" xfId="10546"/>
    <cellStyle name="Note 6 2 25 2" xfId="10547"/>
    <cellStyle name="Note 6 2 25 2 2" xfId="22284"/>
    <cellStyle name="Note 6 2 25 2 2 2" xfId="42352"/>
    <cellStyle name="Note 6 2 25 2 3" xfId="30731"/>
    <cellStyle name="Note 6 2 25 3" xfId="18337"/>
    <cellStyle name="Note 6 2 25 3 2" xfId="38405"/>
    <cellStyle name="Note 6 2 25 4" xfId="30730"/>
    <cellStyle name="Note 6 2 26" xfId="10548"/>
    <cellStyle name="Note 6 2 26 2" xfId="10549"/>
    <cellStyle name="Note 6 2 26 2 2" xfId="22285"/>
    <cellStyle name="Note 6 2 26 2 2 2" xfId="42353"/>
    <cellStyle name="Note 6 2 26 2 3" xfId="30733"/>
    <cellStyle name="Note 6 2 26 3" xfId="18483"/>
    <cellStyle name="Note 6 2 26 3 2" xfId="38551"/>
    <cellStyle name="Note 6 2 26 4" xfId="30732"/>
    <cellStyle name="Note 6 2 27" xfId="10550"/>
    <cellStyle name="Note 6 2 27 2" xfId="10551"/>
    <cellStyle name="Note 6 2 27 2 2" xfId="22286"/>
    <cellStyle name="Note 6 2 27 2 2 2" xfId="42354"/>
    <cellStyle name="Note 6 2 27 2 3" xfId="30735"/>
    <cellStyle name="Note 6 2 27 3" xfId="18596"/>
    <cellStyle name="Note 6 2 27 3 2" xfId="38664"/>
    <cellStyle name="Note 6 2 27 4" xfId="30734"/>
    <cellStyle name="Note 6 2 28" xfId="10552"/>
    <cellStyle name="Note 6 2 28 2" xfId="22243"/>
    <cellStyle name="Note 6 2 28 2 2" xfId="42311"/>
    <cellStyle name="Note 6 2 28 3" xfId="30736"/>
    <cellStyle name="Note 6 2 29" xfId="13923"/>
    <cellStyle name="Note 6 2 29 2" xfId="33991"/>
    <cellStyle name="Note 6 2 3" xfId="10553"/>
    <cellStyle name="Note 6 2 3 2" xfId="10554"/>
    <cellStyle name="Note 6 2 3 2 2" xfId="22287"/>
    <cellStyle name="Note 6 2 3 2 2 2" xfId="42355"/>
    <cellStyle name="Note 6 2 3 2 3" xfId="30738"/>
    <cellStyle name="Note 6 2 3 3" xfId="14262"/>
    <cellStyle name="Note 6 2 3 3 2" xfId="34330"/>
    <cellStyle name="Note 6 2 3 4" xfId="30737"/>
    <cellStyle name="Note 6 2 30" xfId="30649"/>
    <cellStyle name="Note 6 2 4" xfId="10555"/>
    <cellStyle name="Note 6 2 4 2" xfId="10556"/>
    <cellStyle name="Note 6 2 4 2 2" xfId="22288"/>
    <cellStyle name="Note 6 2 4 2 2 2" xfId="42356"/>
    <cellStyle name="Note 6 2 4 2 3" xfId="30740"/>
    <cellStyle name="Note 6 2 4 3" xfId="14512"/>
    <cellStyle name="Note 6 2 4 3 2" xfId="34580"/>
    <cellStyle name="Note 6 2 4 4" xfId="30739"/>
    <cellStyle name="Note 6 2 5" xfId="10557"/>
    <cellStyle name="Note 6 2 5 2" xfId="10558"/>
    <cellStyle name="Note 6 2 5 2 2" xfId="22289"/>
    <cellStyle name="Note 6 2 5 2 2 2" xfId="42357"/>
    <cellStyle name="Note 6 2 5 2 3" xfId="30742"/>
    <cellStyle name="Note 6 2 5 3" xfId="14022"/>
    <cellStyle name="Note 6 2 5 3 2" xfId="34090"/>
    <cellStyle name="Note 6 2 5 4" xfId="30741"/>
    <cellStyle name="Note 6 2 6" xfId="10559"/>
    <cellStyle name="Note 6 2 6 2" xfId="10560"/>
    <cellStyle name="Note 6 2 6 2 2" xfId="22290"/>
    <cellStyle name="Note 6 2 6 2 2 2" xfId="42358"/>
    <cellStyle name="Note 6 2 6 2 3" xfId="30744"/>
    <cellStyle name="Note 6 2 6 3" xfId="14976"/>
    <cellStyle name="Note 6 2 6 3 2" xfId="35044"/>
    <cellStyle name="Note 6 2 6 4" xfId="30743"/>
    <cellStyle name="Note 6 2 7" xfId="10561"/>
    <cellStyle name="Note 6 2 7 2" xfId="10562"/>
    <cellStyle name="Note 6 2 7 2 2" xfId="22291"/>
    <cellStyle name="Note 6 2 7 2 2 2" xfId="42359"/>
    <cellStyle name="Note 6 2 7 2 3" xfId="30746"/>
    <cellStyle name="Note 6 2 7 3" xfId="13989"/>
    <cellStyle name="Note 6 2 7 3 2" xfId="34057"/>
    <cellStyle name="Note 6 2 7 4" xfId="30745"/>
    <cellStyle name="Note 6 2 8" xfId="10563"/>
    <cellStyle name="Note 6 2 8 2" xfId="10564"/>
    <cellStyle name="Note 6 2 8 2 2" xfId="22292"/>
    <cellStyle name="Note 6 2 8 2 2 2" xfId="42360"/>
    <cellStyle name="Note 6 2 8 2 3" xfId="30748"/>
    <cellStyle name="Note 6 2 8 3" xfId="14168"/>
    <cellStyle name="Note 6 2 8 3 2" xfId="34236"/>
    <cellStyle name="Note 6 2 8 4" xfId="30747"/>
    <cellStyle name="Note 6 2 9" xfId="10565"/>
    <cellStyle name="Note 6 2 9 2" xfId="10566"/>
    <cellStyle name="Note 6 2 9 2 2" xfId="22293"/>
    <cellStyle name="Note 6 2 9 2 2 2" xfId="42361"/>
    <cellStyle name="Note 6 2 9 2 3" xfId="30750"/>
    <cellStyle name="Note 6 2 9 3" xfId="15329"/>
    <cellStyle name="Note 6 2 9 3 2" xfId="35397"/>
    <cellStyle name="Note 6 2 9 4" xfId="30749"/>
    <cellStyle name="Note 6 20" xfId="10567"/>
    <cellStyle name="Note 6 20 2" xfId="10568"/>
    <cellStyle name="Note 6 20 2 2" xfId="22294"/>
    <cellStyle name="Note 6 20 2 2 2" xfId="42362"/>
    <cellStyle name="Note 6 20 2 3" xfId="30752"/>
    <cellStyle name="Note 6 20 3" xfId="16164"/>
    <cellStyle name="Note 6 20 3 2" xfId="36232"/>
    <cellStyle name="Note 6 20 4" xfId="30751"/>
    <cellStyle name="Note 6 21" xfId="10569"/>
    <cellStyle name="Note 6 21 2" xfId="10570"/>
    <cellStyle name="Note 6 21 2 2" xfId="22295"/>
    <cellStyle name="Note 6 21 2 2 2" xfId="42363"/>
    <cellStyle name="Note 6 21 2 3" xfId="30754"/>
    <cellStyle name="Note 6 21 3" xfId="17713"/>
    <cellStyle name="Note 6 21 3 2" xfId="37781"/>
    <cellStyle name="Note 6 21 4" xfId="30753"/>
    <cellStyle name="Note 6 22" xfId="10571"/>
    <cellStyle name="Note 6 22 2" xfId="10572"/>
    <cellStyle name="Note 6 22 2 2" xfId="22296"/>
    <cellStyle name="Note 6 22 2 2 2" xfId="42364"/>
    <cellStyle name="Note 6 22 2 3" xfId="30756"/>
    <cellStyle name="Note 6 22 3" xfId="16362"/>
    <cellStyle name="Note 6 22 3 2" xfId="36430"/>
    <cellStyle name="Note 6 22 4" xfId="30755"/>
    <cellStyle name="Note 6 23" xfId="10573"/>
    <cellStyle name="Note 6 23 2" xfId="10574"/>
    <cellStyle name="Note 6 23 2 2" xfId="22297"/>
    <cellStyle name="Note 6 23 2 2 2" xfId="42365"/>
    <cellStyle name="Note 6 23 2 3" xfId="30758"/>
    <cellStyle name="Note 6 23 3" xfId="17753"/>
    <cellStyle name="Note 6 23 3 2" xfId="37821"/>
    <cellStyle name="Note 6 23 4" xfId="30757"/>
    <cellStyle name="Note 6 24" xfId="10575"/>
    <cellStyle name="Note 6 24 2" xfId="10576"/>
    <cellStyle name="Note 6 24 2 2" xfId="22298"/>
    <cellStyle name="Note 6 24 2 2 2" xfId="42366"/>
    <cellStyle name="Note 6 24 2 3" xfId="30760"/>
    <cellStyle name="Note 6 24 3" xfId="17209"/>
    <cellStyle name="Note 6 24 3 2" xfId="37277"/>
    <cellStyle name="Note 6 24 4" xfId="30759"/>
    <cellStyle name="Note 6 25" xfId="10577"/>
    <cellStyle name="Note 6 25 2" xfId="10578"/>
    <cellStyle name="Note 6 25 2 2" xfId="22299"/>
    <cellStyle name="Note 6 25 2 2 2" xfId="42367"/>
    <cellStyle name="Note 6 25 2 3" xfId="30762"/>
    <cellStyle name="Note 6 25 3" xfId="16176"/>
    <cellStyle name="Note 6 25 3 2" xfId="36244"/>
    <cellStyle name="Note 6 25 4" xfId="30761"/>
    <cellStyle name="Note 6 26" xfId="10579"/>
    <cellStyle name="Note 6 26 2" xfId="10580"/>
    <cellStyle name="Note 6 26 2 2" xfId="22300"/>
    <cellStyle name="Note 6 26 2 2 2" xfId="42368"/>
    <cellStyle name="Note 6 26 2 3" xfId="30764"/>
    <cellStyle name="Note 6 26 3" xfId="16936"/>
    <cellStyle name="Note 6 26 3 2" xfId="37004"/>
    <cellStyle name="Note 6 26 4" xfId="30763"/>
    <cellStyle name="Note 6 27" xfId="10581"/>
    <cellStyle name="Note 6 27 2" xfId="10582"/>
    <cellStyle name="Note 6 27 2 2" xfId="22301"/>
    <cellStyle name="Note 6 27 2 2 2" xfId="42369"/>
    <cellStyle name="Note 6 27 2 3" xfId="30766"/>
    <cellStyle name="Note 6 27 3" xfId="18456"/>
    <cellStyle name="Note 6 27 3 2" xfId="38524"/>
    <cellStyle name="Note 6 27 4" xfId="30765"/>
    <cellStyle name="Note 6 28" xfId="10583"/>
    <cellStyle name="Note 6 28 2" xfId="10584"/>
    <cellStyle name="Note 6 28 2 2" xfId="22302"/>
    <cellStyle name="Note 6 28 2 2 2" xfId="42370"/>
    <cellStyle name="Note 6 28 2 3" xfId="30768"/>
    <cellStyle name="Note 6 28 3" xfId="15565"/>
    <cellStyle name="Note 6 28 3 2" xfId="35633"/>
    <cellStyle name="Note 6 28 4" xfId="30767"/>
    <cellStyle name="Note 6 29" xfId="10585"/>
    <cellStyle name="Note 6 29 2" xfId="10586"/>
    <cellStyle name="Note 6 29 2 2" xfId="22303"/>
    <cellStyle name="Note 6 29 2 2 2" xfId="42371"/>
    <cellStyle name="Note 6 29 2 3" xfId="30770"/>
    <cellStyle name="Note 6 29 3" xfId="18312"/>
    <cellStyle name="Note 6 29 3 2" xfId="38380"/>
    <cellStyle name="Note 6 29 4" xfId="30769"/>
    <cellStyle name="Note 6 3" xfId="10587"/>
    <cellStyle name="Note 6 3 10" xfId="10588"/>
    <cellStyle name="Note 6 3 10 2" xfId="10589"/>
    <cellStyle name="Note 6 3 10 2 2" xfId="22305"/>
    <cellStyle name="Note 6 3 10 2 2 2" xfId="42373"/>
    <cellStyle name="Note 6 3 10 2 3" xfId="30773"/>
    <cellStyle name="Note 6 3 10 3" xfId="16473"/>
    <cellStyle name="Note 6 3 10 3 2" xfId="36541"/>
    <cellStyle name="Note 6 3 10 4" xfId="30772"/>
    <cellStyle name="Note 6 3 11" xfId="10590"/>
    <cellStyle name="Note 6 3 11 2" xfId="10591"/>
    <cellStyle name="Note 6 3 11 2 2" xfId="22306"/>
    <cellStyle name="Note 6 3 11 2 2 2" xfId="42374"/>
    <cellStyle name="Note 6 3 11 2 3" xfId="30775"/>
    <cellStyle name="Note 6 3 11 3" xfId="16666"/>
    <cellStyle name="Note 6 3 11 3 2" xfId="36734"/>
    <cellStyle name="Note 6 3 11 4" xfId="30774"/>
    <cellStyle name="Note 6 3 12" xfId="10592"/>
    <cellStyle name="Note 6 3 12 2" xfId="10593"/>
    <cellStyle name="Note 6 3 12 2 2" xfId="22307"/>
    <cellStyle name="Note 6 3 12 2 2 2" xfId="42375"/>
    <cellStyle name="Note 6 3 12 2 3" xfId="30777"/>
    <cellStyle name="Note 6 3 12 3" xfId="16845"/>
    <cellStyle name="Note 6 3 12 3 2" xfId="36913"/>
    <cellStyle name="Note 6 3 12 4" xfId="30776"/>
    <cellStyle name="Note 6 3 13" xfId="10594"/>
    <cellStyle name="Note 6 3 13 2" xfId="10595"/>
    <cellStyle name="Note 6 3 13 2 2" xfId="22308"/>
    <cellStyle name="Note 6 3 13 2 2 2" xfId="42376"/>
    <cellStyle name="Note 6 3 13 2 3" xfId="30779"/>
    <cellStyle name="Note 6 3 13 3" xfId="15479"/>
    <cellStyle name="Note 6 3 13 3 2" xfId="35547"/>
    <cellStyle name="Note 6 3 13 4" xfId="30778"/>
    <cellStyle name="Note 6 3 14" xfId="10596"/>
    <cellStyle name="Note 6 3 14 2" xfId="10597"/>
    <cellStyle name="Note 6 3 14 2 2" xfId="22309"/>
    <cellStyle name="Note 6 3 14 2 2 2" xfId="42377"/>
    <cellStyle name="Note 6 3 14 2 3" xfId="30781"/>
    <cellStyle name="Note 6 3 14 3" xfId="17150"/>
    <cellStyle name="Note 6 3 14 3 2" xfId="37218"/>
    <cellStyle name="Note 6 3 14 4" xfId="30780"/>
    <cellStyle name="Note 6 3 15" xfId="10598"/>
    <cellStyle name="Note 6 3 15 2" xfId="10599"/>
    <cellStyle name="Note 6 3 15 2 2" xfId="22310"/>
    <cellStyle name="Note 6 3 15 2 2 2" xfId="42378"/>
    <cellStyle name="Note 6 3 15 2 3" xfId="30783"/>
    <cellStyle name="Note 6 3 15 3" xfId="17326"/>
    <cellStyle name="Note 6 3 15 3 2" xfId="37394"/>
    <cellStyle name="Note 6 3 15 4" xfId="30782"/>
    <cellStyle name="Note 6 3 16" xfId="10600"/>
    <cellStyle name="Note 6 3 16 2" xfId="10601"/>
    <cellStyle name="Note 6 3 16 2 2" xfId="22311"/>
    <cellStyle name="Note 6 3 16 2 2 2" xfId="42379"/>
    <cellStyle name="Note 6 3 16 2 3" xfId="30785"/>
    <cellStyle name="Note 6 3 16 3" xfId="15799"/>
    <cellStyle name="Note 6 3 16 3 2" xfId="35867"/>
    <cellStyle name="Note 6 3 16 4" xfId="30784"/>
    <cellStyle name="Note 6 3 17" xfId="10602"/>
    <cellStyle name="Note 6 3 17 2" xfId="10603"/>
    <cellStyle name="Note 6 3 17 2 2" xfId="22312"/>
    <cellStyle name="Note 6 3 17 2 2 2" xfId="42380"/>
    <cellStyle name="Note 6 3 17 2 3" xfId="30787"/>
    <cellStyle name="Note 6 3 17 3" xfId="15584"/>
    <cellStyle name="Note 6 3 17 3 2" xfId="35652"/>
    <cellStyle name="Note 6 3 17 4" xfId="30786"/>
    <cellStyle name="Note 6 3 18" xfId="10604"/>
    <cellStyle name="Note 6 3 18 2" xfId="10605"/>
    <cellStyle name="Note 6 3 18 2 2" xfId="22313"/>
    <cellStyle name="Note 6 3 18 2 2 2" xfId="42381"/>
    <cellStyle name="Note 6 3 18 2 3" xfId="30789"/>
    <cellStyle name="Note 6 3 18 3" xfId="17715"/>
    <cellStyle name="Note 6 3 18 3 2" xfId="37783"/>
    <cellStyle name="Note 6 3 18 4" xfId="30788"/>
    <cellStyle name="Note 6 3 19" xfId="10606"/>
    <cellStyle name="Note 6 3 19 2" xfId="10607"/>
    <cellStyle name="Note 6 3 19 2 2" xfId="22314"/>
    <cellStyle name="Note 6 3 19 2 2 2" xfId="42382"/>
    <cellStyle name="Note 6 3 19 2 3" xfId="30791"/>
    <cellStyle name="Note 6 3 19 3" xfId="16234"/>
    <cellStyle name="Note 6 3 19 3 2" xfId="36302"/>
    <cellStyle name="Note 6 3 19 4" xfId="30790"/>
    <cellStyle name="Note 6 3 2" xfId="10608"/>
    <cellStyle name="Note 6 3 2 10" xfId="10609"/>
    <cellStyle name="Note 6 3 2 10 2" xfId="10610"/>
    <cellStyle name="Note 6 3 2 10 2 2" xfId="22316"/>
    <cellStyle name="Note 6 3 2 10 2 2 2" xfId="42384"/>
    <cellStyle name="Note 6 3 2 10 2 3" xfId="30794"/>
    <cellStyle name="Note 6 3 2 10 3" xfId="16973"/>
    <cellStyle name="Note 6 3 2 10 3 2" xfId="37041"/>
    <cellStyle name="Note 6 3 2 10 4" xfId="30793"/>
    <cellStyle name="Note 6 3 2 11" xfId="10611"/>
    <cellStyle name="Note 6 3 2 11 2" xfId="10612"/>
    <cellStyle name="Note 6 3 2 11 2 2" xfId="22317"/>
    <cellStyle name="Note 6 3 2 11 2 2 2" xfId="42385"/>
    <cellStyle name="Note 6 3 2 11 2 3" xfId="30796"/>
    <cellStyle name="Note 6 3 2 11 3" xfId="17118"/>
    <cellStyle name="Note 6 3 2 11 3 2" xfId="37186"/>
    <cellStyle name="Note 6 3 2 11 4" xfId="30795"/>
    <cellStyle name="Note 6 3 2 12" xfId="10613"/>
    <cellStyle name="Note 6 3 2 12 2" xfId="10614"/>
    <cellStyle name="Note 6 3 2 12 2 2" xfId="22318"/>
    <cellStyle name="Note 6 3 2 12 2 2 2" xfId="42386"/>
    <cellStyle name="Note 6 3 2 12 2 3" xfId="30798"/>
    <cellStyle name="Note 6 3 2 12 3" xfId="17290"/>
    <cellStyle name="Note 6 3 2 12 3 2" xfId="37358"/>
    <cellStyle name="Note 6 3 2 12 4" xfId="30797"/>
    <cellStyle name="Note 6 3 2 13" xfId="10615"/>
    <cellStyle name="Note 6 3 2 13 2" xfId="10616"/>
    <cellStyle name="Note 6 3 2 13 2 2" xfId="22319"/>
    <cellStyle name="Note 6 3 2 13 2 2 2" xfId="42387"/>
    <cellStyle name="Note 6 3 2 13 2 3" xfId="30800"/>
    <cellStyle name="Note 6 3 2 13 3" xfId="17454"/>
    <cellStyle name="Note 6 3 2 13 3 2" xfId="37522"/>
    <cellStyle name="Note 6 3 2 13 4" xfId="30799"/>
    <cellStyle name="Note 6 3 2 14" xfId="10617"/>
    <cellStyle name="Note 6 3 2 14 2" xfId="10618"/>
    <cellStyle name="Note 6 3 2 14 2 2" xfId="22320"/>
    <cellStyle name="Note 6 3 2 14 2 2 2" xfId="42388"/>
    <cellStyle name="Note 6 3 2 14 2 3" xfId="30802"/>
    <cellStyle name="Note 6 3 2 14 3" xfId="17580"/>
    <cellStyle name="Note 6 3 2 14 3 2" xfId="37648"/>
    <cellStyle name="Note 6 3 2 14 4" xfId="30801"/>
    <cellStyle name="Note 6 3 2 15" xfId="10619"/>
    <cellStyle name="Note 6 3 2 15 2" xfId="10620"/>
    <cellStyle name="Note 6 3 2 15 2 2" xfId="22321"/>
    <cellStyle name="Note 6 3 2 15 2 2 2" xfId="42389"/>
    <cellStyle name="Note 6 3 2 15 2 3" xfId="30804"/>
    <cellStyle name="Note 6 3 2 15 3" xfId="16155"/>
    <cellStyle name="Note 6 3 2 15 3 2" xfId="36223"/>
    <cellStyle name="Note 6 3 2 15 4" xfId="30803"/>
    <cellStyle name="Note 6 3 2 16" xfId="10621"/>
    <cellStyle name="Note 6 3 2 16 2" xfId="10622"/>
    <cellStyle name="Note 6 3 2 16 2 2" xfId="22322"/>
    <cellStyle name="Note 6 3 2 16 2 2 2" xfId="42390"/>
    <cellStyle name="Note 6 3 2 16 2 3" xfId="30806"/>
    <cellStyle name="Note 6 3 2 16 3" xfId="17830"/>
    <cellStyle name="Note 6 3 2 16 3 2" xfId="37898"/>
    <cellStyle name="Note 6 3 2 16 4" xfId="30805"/>
    <cellStyle name="Note 6 3 2 17" xfId="10623"/>
    <cellStyle name="Note 6 3 2 17 2" xfId="10624"/>
    <cellStyle name="Note 6 3 2 17 2 2" xfId="22323"/>
    <cellStyle name="Note 6 3 2 17 2 2 2" xfId="42391"/>
    <cellStyle name="Note 6 3 2 17 2 3" xfId="30808"/>
    <cellStyle name="Note 6 3 2 17 3" xfId="17968"/>
    <cellStyle name="Note 6 3 2 17 3 2" xfId="38036"/>
    <cellStyle name="Note 6 3 2 17 4" xfId="30807"/>
    <cellStyle name="Note 6 3 2 18" xfId="10625"/>
    <cellStyle name="Note 6 3 2 18 2" xfId="10626"/>
    <cellStyle name="Note 6 3 2 18 2 2" xfId="22324"/>
    <cellStyle name="Note 6 3 2 18 2 2 2" xfId="42392"/>
    <cellStyle name="Note 6 3 2 18 2 3" xfId="30810"/>
    <cellStyle name="Note 6 3 2 18 3" xfId="18107"/>
    <cellStyle name="Note 6 3 2 18 3 2" xfId="38175"/>
    <cellStyle name="Note 6 3 2 18 4" xfId="30809"/>
    <cellStyle name="Note 6 3 2 19" xfId="10627"/>
    <cellStyle name="Note 6 3 2 19 2" xfId="10628"/>
    <cellStyle name="Note 6 3 2 19 2 2" xfId="22325"/>
    <cellStyle name="Note 6 3 2 19 2 2 2" xfId="42393"/>
    <cellStyle name="Note 6 3 2 19 2 3" xfId="30812"/>
    <cellStyle name="Note 6 3 2 19 3" xfId="18225"/>
    <cellStyle name="Note 6 3 2 19 3 2" xfId="38293"/>
    <cellStyle name="Note 6 3 2 19 4" xfId="30811"/>
    <cellStyle name="Note 6 3 2 2" xfId="10629"/>
    <cellStyle name="Note 6 3 2 2 2" xfId="10630"/>
    <cellStyle name="Note 6 3 2 2 2 2" xfId="22326"/>
    <cellStyle name="Note 6 3 2 2 2 2 2" xfId="42394"/>
    <cellStyle name="Note 6 3 2 2 2 3" xfId="30814"/>
    <cellStyle name="Note 6 3 2 2 3" xfId="14693"/>
    <cellStyle name="Note 6 3 2 2 3 2" xfId="34761"/>
    <cellStyle name="Note 6 3 2 2 4" xfId="30813"/>
    <cellStyle name="Note 6 3 2 20" xfId="10631"/>
    <cellStyle name="Note 6 3 2 20 2" xfId="10632"/>
    <cellStyle name="Note 6 3 2 20 2 2" xfId="22327"/>
    <cellStyle name="Note 6 3 2 20 2 2 2" xfId="42395"/>
    <cellStyle name="Note 6 3 2 20 2 3" xfId="30816"/>
    <cellStyle name="Note 6 3 2 20 3" xfId="15624"/>
    <cellStyle name="Note 6 3 2 20 3 2" xfId="35692"/>
    <cellStyle name="Note 6 3 2 20 4" xfId="30815"/>
    <cellStyle name="Note 6 3 2 21" xfId="10633"/>
    <cellStyle name="Note 6 3 2 21 2" xfId="10634"/>
    <cellStyle name="Note 6 3 2 21 2 2" xfId="22328"/>
    <cellStyle name="Note 6 3 2 21 2 2 2" xfId="42396"/>
    <cellStyle name="Note 6 3 2 21 2 3" xfId="30818"/>
    <cellStyle name="Note 6 3 2 21 3" xfId="18430"/>
    <cellStyle name="Note 6 3 2 21 3 2" xfId="38498"/>
    <cellStyle name="Note 6 3 2 21 4" xfId="30817"/>
    <cellStyle name="Note 6 3 2 22" xfId="10635"/>
    <cellStyle name="Note 6 3 2 22 2" xfId="10636"/>
    <cellStyle name="Note 6 3 2 22 2 2" xfId="22329"/>
    <cellStyle name="Note 6 3 2 22 2 2 2" xfId="42397"/>
    <cellStyle name="Note 6 3 2 22 2 3" xfId="30820"/>
    <cellStyle name="Note 6 3 2 22 3" xfId="18563"/>
    <cellStyle name="Note 6 3 2 22 3 2" xfId="38631"/>
    <cellStyle name="Note 6 3 2 22 4" xfId="30819"/>
    <cellStyle name="Note 6 3 2 23" xfId="10637"/>
    <cellStyle name="Note 6 3 2 23 2" xfId="10638"/>
    <cellStyle name="Note 6 3 2 23 2 2" xfId="22330"/>
    <cellStyle name="Note 6 3 2 23 2 2 2" xfId="42398"/>
    <cellStyle name="Note 6 3 2 23 2 3" xfId="30822"/>
    <cellStyle name="Note 6 3 2 23 3" xfId="18674"/>
    <cellStyle name="Note 6 3 2 23 3 2" xfId="38742"/>
    <cellStyle name="Note 6 3 2 23 4" xfId="30821"/>
    <cellStyle name="Note 6 3 2 24" xfId="10639"/>
    <cellStyle name="Note 6 3 2 24 2" xfId="10640"/>
    <cellStyle name="Note 6 3 2 24 2 2" xfId="22331"/>
    <cellStyle name="Note 6 3 2 24 2 2 2" xfId="42399"/>
    <cellStyle name="Note 6 3 2 24 2 3" xfId="30824"/>
    <cellStyle name="Note 6 3 2 24 3" xfId="18774"/>
    <cellStyle name="Note 6 3 2 24 3 2" xfId="38842"/>
    <cellStyle name="Note 6 3 2 24 4" xfId="30823"/>
    <cellStyle name="Note 6 3 2 25" xfId="10641"/>
    <cellStyle name="Note 6 3 2 25 2" xfId="10642"/>
    <cellStyle name="Note 6 3 2 25 2 2" xfId="22332"/>
    <cellStyle name="Note 6 3 2 25 2 2 2" xfId="42400"/>
    <cellStyle name="Note 6 3 2 25 2 3" xfId="30826"/>
    <cellStyle name="Note 6 3 2 25 3" xfId="18874"/>
    <cellStyle name="Note 6 3 2 25 3 2" xfId="38942"/>
    <cellStyle name="Note 6 3 2 25 4" xfId="30825"/>
    <cellStyle name="Note 6 3 2 26" xfId="10643"/>
    <cellStyle name="Note 6 3 2 26 2" xfId="22315"/>
    <cellStyle name="Note 6 3 2 26 2 2" xfId="42383"/>
    <cellStyle name="Note 6 3 2 26 3" xfId="30827"/>
    <cellStyle name="Note 6 3 2 27" xfId="14031"/>
    <cellStyle name="Note 6 3 2 27 2" xfId="34099"/>
    <cellStyle name="Note 6 3 2 28" xfId="30792"/>
    <cellStyle name="Note 6 3 2 3" xfId="10644"/>
    <cellStyle name="Note 6 3 2 3 2" xfId="10645"/>
    <cellStyle name="Note 6 3 2 3 2 2" xfId="22333"/>
    <cellStyle name="Note 6 3 2 3 2 2 2" xfId="42401"/>
    <cellStyle name="Note 6 3 2 3 2 3" xfId="30829"/>
    <cellStyle name="Note 6 3 2 3 3" xfId="14817"/>
    <cellStyle name="Note 6 3 2 3 3 2" xfId="34885"/>
    <cellStyle name="Note 6 3 2 3 4" xfId="30828"/>
    <cellStyle name="Note 6 3 2 4" xfId="10646"/>
    <cellStyle name="Note 6 3 2 4 2" xfId="10647"/>
    <cellStyle name="Note 6 3 2 4 2 2" xfId="22334"/>
    <cellStyle name="Note 6 3 2 4 2 2 2" xfId="42402"/>
    <cellStyle name="Note 6 3 2 4 2 3" xfId="30831"/>
    <cellStyle name="Note 6 3 2 4 3" xfId="14942"/>
    <cellStyle name="Note 6 3 2 4 3 2" xfId="35010"/>
    <cellStyle name="Note 6 3 2 4 4" xfId="30830"/>
    <cellStyle name="Note 6 3 2 5" xfId="10648"/>
    <cellStyle name="Note 6 3 2 5 2" xfId="10649"/>
    <cellStyle name="Note 6 3 2 5 2 2" xfId="22335"/>
    <cellStyle name="Note 6 3 2 5 2 2 2" xfId="42403"/>
    <cellStyle name="Note 6 3 2 5 2 3" xfId="30833"/>
    <cellStyle name="Note 6 3 2 5 3" xfId="15111"/>
    <cellStyle name="Note 6 3 2 5 3 2" xfId="35179"/>
    <cellStyle name="Note 6 3 2 5 4" xfId="30832"/>
    <cellStyle name="Note 6 3 2 6" xfId="10650"/>
    <cellStyle name="Note 6 3 2 6 2" xfId="10651"/>
    <cellStyle name="Note 6 3 2 6 2 2" xfId="22336"/>
    <cellStyle name="Note 6 3 2 6 2 2 2" xfId="42404"/>
    <cellStyle name="Note 6 3 2 6 2 3" xfId="30835"/>
    <cellStyle name="Note 6 3 2 6 3" xfId="14746"/>
    <cellStyle name="Note 6 3 2 6 3 2" xfId="34814"/>
    <cellStyle name="Note 6 3 2 6 4" xfId="30834"/>
    <cellStyle name="Note 6 3 2 7" xfId="10652"/>
    <cellStyle name="Note 6 3 2 7 2" xfId="10653"/>
    <cellStyle name="Note 6 3 2 7 2 2" xfId="22337"/>
    <cellStyle name="Note 6 3 2 7 2 2 2" xfId="42405"/>
    <cellStyle name="Note 6 3 2 7 2 3" xfId="30837"/>
    <cellStyle name="Note 6 3 2 7 3" xfId="15243"/>
    <cellStyle name="Note 6 3 2 7 3 2" xfId="35311"/>
    <cellStyle name="Note 6 3 2 7 4" xfId="30836"/>
    <cellStyle name="Note 6 3 2 8" xfId="10654"/>
    <cellStyle name="Note 6 3 2 8 2" xfId="10655"/>
    <cellStyle name="Note 6 3 2 8 2 2" xfId="22338"/>
    <cellStyle name="Note 6 3 2 8 2 2 2" xfId="42406"/>
    <cellStyle name="Note 6 3 2 8 2 3" xfId="30839"/>
    <cellStyle name="Note 6 3 2 8 3" xfId="16608"/>
    <cellStyle name="Note 6 3 2 8 3 2" xfId="36676"/>
    <cellStyle name="Note 6 3 2 8 4" xfId="30838"/>
    <cellStyle name="Note 6 3 2 9" xfId="10656"/>
    <cellStyle name="Note 6 3 2 9 2" xfId="10657"/>
    <cellStyle name="Note 6 3 2 9 2 2" xfId="22339"/>
    <cellStyle name="Note 6 3 2 9 2 2 2" xfId="42407"/>
    <cellStyle name="Note 6 3 2 9 2 3" xfId="30841"/>
    <cellStyle name="Note 6 3 2 9 3" xfId="16812"/>
    <cellStyle name="Note 6 3 2 9 3 2" xfId="36880"/>
    <cellStyle name="Note 6 3 2 9 4" xfId="30840"/>
    <cellStyle name="Note 6 3 20" xfId="10658"/>
    <cellStyle name="Note 6 3 20 2" xfId="10659"/>
    <cellStyle name="Note 6 3 20 2 2" xfId="22340"/>
    <cellStyle name="Note 6 3 20 2 2 2" xfId="42408"/>
    <cellStyle name="Note 6 3 20 2 3" xfId="30843"/>
    <cellStyle name="Note 6 3 20 3" xfId="17998"/>
    <cellStyle name="Note 6 3 20 3 2" xfId="38066"/>
    <cellStyle name="Note 6 3 20 4" xfId="30842"/>
    <cellStyle name="Note 6 3 21" xfId="10660"/>
    <cellStyle name="Note 6 3 21 2" xfId="10661"/>
    <cellStyle name="Note 6 3 21 2 2" xfId="22341"/>
    <cellStyle name="Note 6 3 21 2 2 2" xfId="42409"/>
    <cellStyle name="Note 6 3 21 2 3" xfId="30845"/>
    <cellStyle name="Note 6 3 21 3" xfId="15683"/>
    <cellStyle name="Note 6 3 21 3 2" xfId="35751"/>
    <cellStyle name="Note 6 3 21 4" xfId="30844"/>
    <cellStyle name="Note 6 3 22" xfId="10662"/>
    <cellStyle name="Note 6 3 22 2" xfId="10663"/>
    <cellStyle name="Note 6 3 22 2 2" xfId="22342"/>
    <cellStyle name="Note 6 3 22 2 2 2" xfId="42410"/>
    <cellStyle name="Note 6 3 22 2 3" xfId="30847"/>
    <cellStyle name="Note 6 3 22 3" xfId="16261"/>
    <cellStyle name="Note 6 3 22 3 2" xfId="36329"/>
    <cellStyle name="Note 6 3 22 4" xfId="30846"/>
    <cellStyle name="Note 6 3 23" xfId="10664"/>
    <cellStyle name="Note 6 3 23 2" xfId="10665"/>
    <cellStyle name="Note 6 3 23 2 2" xfId="22343"/>
    <cellStyle name="Note 6 3 23 2 2 2" xfId="42411"/>
    <cellStyle name="Note 6 3 23 2 3" xfId="30849"/>
    <cellStyle name="Note 6 3 23 3" xfId="16493"/>
    <cellStyle name="Note 6 3 23 3 2" xfId="36561"/>
    <cellStyle name="Note 6 3 23 4" xfId="30848"/>
    <cellStyle name="Note 6 3 24" xfId="10666"/>
    <cellStyle name="Note 6 3 24 2" xfId="10667"/>
    <cellStyle name="Note 6 3 24 2 2" xfId="22344"/>
    <cellStyle name="Note 6 3 24 2 2 2" xfId="42412"/>
    <cellStyle name="Note 6 3 24 2 3" xfId="30851"/>
    <cellStyle name="Note 6 3 24 3" xfId="18458"/>
    <cellStyle name="Note 6 3 24 3 2" xfId="38526"/>
    <cellStyle name="Note 6 3 24 4" xfId="30850"/>
    <cellStyle name="Note 6 3 25" xfId="10668"/>
    <cellStyle name="Note 6 3 25 2" xfId="10669"/>
    <cellStyle name="Note 6 3 25 2 2" xfId="22345"/>
    <cellStyle name="Note 6 3 25 2 2 2" xfId="42413"/>
    <cellStyle name="Note 6 3 25 2 3" xfId="30853"/>
    <cellStyle name="Note 6 3 25 3" xfId="16186"/>
    <cellStyle name="Note 6 3 25 3 2" xfId="36254"/>
    <cellStyle name="Note 6 3 25 4" xfId="30852"/>
    <cellStyle name="Note 6 3 26" xfId="10670"/>
    <cellStyle name="Note 6 3 26 2" xfId="10671"/>
    <cellStyle name="Note 6 3 26 2 2" xfId="22346"/>
    <cellStyle name="Note 6 3 26 2 2 2" xfId="42414"/>
    <cellStyle name="Note 6 3 26 2 3" xfId="30855"/>
    <cellStyle name="Note 6 3 26 3" xfId="15833"/>
    <cellStyle name="Note 6 3 26 3 2" xfId="35901"/>
    <cellStyle name="Note 6 3 26 4" xfId="30854"/>
    <cellStyle name="Note 6 3 27" xfId="10672"/>
    <cellStyle name="Note 6 3 27 2" xfId="10673"/>
    <cellStyle name="Note 6 3 27 2 2" xfId="22347"/>
    <cellStyle name="Note 6 3 27 2 2 2" xfId="42415"/>
    <cellStyle name="Note 6 3 27 2 3" xfId="30857"/>
    <cellStyle name="Note 6 3 27 3" xfId="18156"/>
    <cellStyle name="Note 6 3 27 3 2" xfId="38224"/>
    <cellStyle name="Note 6 3 27 4" xfId="30856"/>
    <cellStyle name="Note 6 3 28" xfId="10674"/>
    <cellStyle name="Note 6 3 28 2" xfId="22304"/>
    <cellStyle name="Note 6 3 28 2 2" xfId="42372"/>
    <cellStyle name="Note 6 3 28 3" xfId="30858"/>
    <cellStyle name="Note 6 3 29" xfId="13924"/>
    <cellStyle name="Note 6 3 29 2" xfId="33992"/>
    <cellStyle name="Note 6 3 3" xfId="10675"/>
    <cellStyle name="Note 6 3 3 2" xfId="10676"/>
    <cellStyle name="Note 6 3 3 2 2" xfId="22348"/>
    <cellStyle name="Note 6 3 3 2 2 2" xfId="42416"/>
    <cellStyle name="Note 6 3 3 2 3" xfId="30860"/>
    <cellStyle name="Note 6 3 3 3" xfId="14477"/>
    <cellStyle name="Note 6 3 3 3 2" xfId="34545"/>
    <cellStyle name="Note 6 3 3 4" xfId="30859"/>
    <cellStyle name="Note 6 3 30" xfId="30771"/>
    <cellStyle name="Note 6 3 4" xfId="10677"/>
    <cellStyle name="Note 6 3 4 2" xfId="10678"/>
    <cellStyle name="Note 6 3 4 2 2" xfId="22349"/>
    <cellStyle name="Note 6 3 4 2 2 2" xfId="42417"/>
    <cellStyle name="Note 6 3 4 2 3" xfId="30862"/>
    <cellStyle name="Note 6 3 4 3" xfId="13998"/>
    <cellStyle name="Note 6 3 4 3 2" xfId="34066"/>
    <cellStyle name="Note 6 3 4 4" xfId="30861"/>
    <cellStyle name="Note 6 3 5" xfId="10679"/>
    <cellStyle name="Note 6 3 5 2" xfId="10680"/>
    <cellStyle name="Note 6 3 5 2 2" xfId="22350"/>
    <cellStyle name="Note 6 3 5 2 2 2" xfId="42418"/>
    <cellStyle name="Note 6 3 5 2 3" xfId="30864"/>
    <cellStyle name="Note 6 3 5 3" xfId="14370"/>
    <cellStyle name="Note 6 3 5 3 2" xfId="34438"/>
    <cellStyle name="Note 6 3 5 4" xfId="30863"/>
    <cellStyle name="Note 6 3 6" xfId="10681"/>
    <cellStyle name="Note 6 3 6 2" xfId="10682"/>
    <cellStyle name="Note 6 3 6 2 2" xfId="22351"/>
    <cellStyle name="Note 6 3 6 2 2 2" xfId="42419"/>
    <cellStyle name="Note 6 3 6 2 3" xfId="30866"/>
    <cellStyle name="Note 6 3 6 3" xfId="14977"/>
    <cellStyle name="Note 6 3 6 3 2" xfId="35045"/>
    <cellStyle name="Note 6 3 6 4" xfId="30865"/>
    <cellStyle name="Note 6 3 7" xfId="10683"/>
    <cellStyle name="Note 6 3 7 2" xfId="10684"/>
    <cellStyle name="Note 6 3 7 2 2" xfId="22352"/>
    <cellStyle name="Note 6 3 7 2 2 2" xfId="42420"/>
    <cellStyle name="Note 6 3 7 2 3" xfId="30868"/>
    <cellStyle name="Note 6 3 7 3" xfId="14719"/>
    <cellStyle name="Note 6 3 7 3 2" xfId="34787"/>
    <cellStyle name="Note 6 3 7 4" xfId="30867"/>
    <cellStyle name="Note 6 3 8" xfId="10685"/>
    <cellStyle name="Note 6 3 8 2" xfId="10686"/>
    <cellStyle name="Note 6 3 8 2 2" xfId="22353"/>
    <cellStyle name="Note 6 3 8 2 2 2" xfId="42421"/>
    <cellStyle name="Note 6 3 8 2 3" xfId="30870"/>
    <cellStyle name="Note 6 3 8 3" xfId="15151"/>
    <cellStyle name="Note 6 3 8 3 2" xfId="35219"/>
    <cellStyle name="Note 6 3 8 4" xfId="30869"/>
    <cellStyle name="Note 6 3 9" xfId="10687"/>
    <cellStyle name="Note 6 3 9 2" xfId="10688"/>
    <cellStyle name="Note 6 3 9 2 2" xfId="22354"/>
    <cellStyle name="Note 6 3 9 2 2 2" xfId="42422"/>
    <cellStyle name="Note 6 3 9 2 3" xfId="30872"/>
    <cellStyle name="Note 6 3 9 3" xfId="15330"/>
    <cellStyle name="Note 6 3 9 3 2" xfId="35398"/>
    <cellStyle name="Note 6 3 9 4" xfId="30871"/>
    <cellStyle name="Note 6 30" xfId="10689"/>
    <cellStyle name="Note 6 30 2" xfId="10690"/>
    <cellStyle name="Note 6 30 2 2" xfId="22355"/>
    <cellStyle name="Note 6 30 2 2 2" xfId="42423"/>
    <cellStyle name="Note 6 30 2 3" xfId="30874"/>
    <cellStyle name="Note 6 30 3" xfId="17793"/>
    <cellStyle name="Note 6 30 3 2" xfId="37861"/>
    <cellStyle name="Note 6 30 4" xfId="30873"/>
    <cellStyle name="Note 6 31" xfId="10691"/>
    <cellStyle name="Note 6 31 2" xfId="22232"/>
    <cellStyle name="Note 6 31 2 2" xfId="42300"/>
    <cellStyle name="Note 6 31 3" xfId="30875"/>
    <cellStyle name="Note 6 32" xfId="13922"/>
    <cellStyle name="Note 6 32 2" xfId="33990"/>
    <cellStyle name="Note 6 33" xfId="30628"/>
    <cellStyle name="Note 6 4" xfId="10692"/>
    <cellStyle name="Note 6 4 10" xfId="10693"/>
    <cellStyle name="Note 6 4 10 2" xfId="10694"/>
    <cellStyle name="Note 6 4 10 2 2" xfId="22357"/>
    <cellStyle name="Note 6 4 10 2 2 2" xfId="42425"/>
    <cellStyle name="Note 6 4 10 2 3" xfId="30878"/>
    <cellStyle name="Note 6 4 10 3" xfId="16474"/>
    <cellStyle name="Note 6 4 10 3 2" xfId="36542"/>
    <cellStyle name="Note 6 4 10 4" xfId="30877"/>
    <cellStyle name="Note 6 4 11" xfId="10695"/>
    <cellStyle name="Note 6 4 11 2" xfId="10696"/>
    <cellStyle name="Note 6 4 11 2 2" xfId="22358"/>
    <cellStyle name="Note 6 4 11 2 2 2" xfId="42426"/>
    <cellStyle name="Note 6 4 11 2 3" xfId="30880"/>
    <cellStyle name="Note 6 4 11 3" xfId="16667"/>
    <cellStyle name="Note 6 4 11 3 2" xfId="36735"/>
    <cellStyle name="Note 6 4 11 4" xfId="30879"/>
    <cellStyle name="Note 6 4 12" xfId="10697"/>
    <cellStyle name="Note 6 4 12 2" xfId="10698"/>
    <cellStyle name="Note 6 4 12 2 2" xfId="22359"/>
    <cellStyle name="Note 6 4 12 2 2 2" xfId="42427"/>
    <cellStyle name="Note 6 4 12 2 3" xfId="30882"/>
    <cellStyle name="Note 6 4 12 3" xfId="16846"/>
    <cellStyle name="Note 6 4 12 3 2" xfId="36914"/>
    <cellStyle name="Note 6 4 12 4" xfId="30881"/>
    <cellStyle name="Note 6 4 13" xfId="10699"/>
    <cellStyle name="Note 6 4 13 2" xfId="10700"/>
    <cellStyle name="Note 6 4 13 2 2" xfId="22360"/>
    <cellStyle name="Note 6 4 13 2 2 2" xfId="42428"/>
    <cellStyle name="Note 6 4 13 2 3" xfId="30884"/>
    <cellStyle name="Note 6 4 13 3" xfId="16712"/>
    <cellStyle name="Note 6 4 13 3 2" xfId="36780"/>
    <cellStyle name="Note 6 4 13 4" xfId="30883"/>
    <cellStyle name="Note 6 4 14" xfId="10701"/>
    <cellStyle name="Note 6 4 14 2" xfId="10702"/>
    <cellStyle name="Note 6 4 14 2 2" xfId="22361"/>
    <cellStyle name="Note 6 4 14 2 2 2" xfId="42429"/>
    <cellStyle name="Note 6 4 14 2 3" xfId="30886"/>
    <cellStyle name="Note 6 4 14 3" xfId="17151"/>
    <cellStyle name="Note 6 4 14 3 2" xfId="37219"/>
    <cellStyle name="Note 6 4 14 4" xfId="30885"/>
    <cellStyle name="Note 6 4 15" xfId="10703"/>
    <cellStyle name="Note 6 4 15 2" xfId="10704"/>
    <cellStyle name="Note 6 4 15 2 2" xfId="22362"/>
    <cellStyle name="Note 6 4 15 2 2 2" xfId="42430"/>
    <cellStyle name="Note 6 4 15 2 3" xfId="30888"/>
    <cellStyle name="Note 6 4 15 3" xfId="17327"/>
    <cellStyle name="Note 6 4 15 3 2" xfId="37395"/>
    <cellStyle name="Note 6 4 15 4" xfId="30887"/>
    <cellStyle name="Note 6 4 16" xfId="10705"/>
    <cellStyle name="Note 6 4 16 2" xfId="10706"/>
    <cellStyle name="Note 6 4 16 2 2" xfId="22363"/>
    <cellStyle name="Note 6 4 16 2 2 2" xfId="42431"/>
    <cellStyle name="Note 6 4 16 2 3" xfId="30890"/>
    <cellStyle name="Note 6 4 16 3" xfId="17189"/>
    <cellStyle name="Note 6 4 16 3 2" xfId="37257"/>
    <cellStyle name="Note 6 4 16 4" xfId="30889"/>
    <cellStyle name="Note 6 4 17" xfId="10707"/>
    <cellStyle name="Note 6 4 17 2" xfId="10708"/>
    <cellStyle name="Note 6 4 17 2 2" xfId="22364"/>
    <cellStyle name="Note 6 4 17 2 2 2" xfId="42432"/>
    <cellStyle name="Note 6 4 17 2 3" xfId="30892"/>
    <cellStyle name="Note 6 4 17 3" xfId="16314"/>
    <cellStyle name="Note 6 4 17 3 2" xfId="36382"/>
    <cellStyle name="Note 6 4 17 4" xfId="30891"/>
    <cellStyle name="Note 6 4 18" xfId="10709"/>
    <cellStyle name="Note 6 4 18 2" xfId="10710"/>
    <cellStyle name="Note 6 4 18 2 2" xfId="22365"/>
    <cellStyle name="Note 6 4 18 2 2 2" xfId="42433"/>
    <cellStyle name="Note 6 4 18 2 3" xfId="30894"/>
    <cellStyle name="Note 6 4 18 3" xfId="17716"/>
    <cellStyle name="Note 6 4 18 3 2" xfId="37784"/>
    <cellStyle name="Note 6 4 18 4" xfId="30893"/>
    <cellStyle name="Note 6 4 19" xfId="10711"/>
    <cellStyle name="Note 6 4 19 2" xfId="10712"/>
    <cellStyle name="Note 6 4 19 2 2" xfId="22366"/>
    <cellStyle name="Note 6 4 19 2 2 2" xfId="42434"/>
    <cellStyle name="Note 6 4 19 2 3" xfId="30896"/>
    <cellStyle name="Note 6 4 19 3" xfId="17619"/>
    <cellStyle name="Note 6 4 19 3 2" xfId="37687"/>
    <cellStyle name="Note 6 4 19 4" xfId="30895"/>
    <cellStyle name="Note 6 4 2" xfId="10713"/>
    <cellStyle name="Note 6 4 2 10" xfId="10714"/>
    <cellStyle name="Note 6 4 2 10 2" xfId="10715"/>
    <cellStyle name="Note 6 4 2 10 2 2" xfId="22368"/>
    <cellStyle name="Note 6 4 2 10 2 2 2" xfId="42436"/>
    <cellStyle name="Note 6 4 2 10 2 3" xfId="30899"/>
    <cellStyle name="Note 6 4 2 10 3" xfId="16974"/>
    <cellStyle name="Note 6 4 2 10 3 2" xfId="37042"/>
    <cellStyle name="Note 6 4 2 10 4" xfId="30898"/>
    <cellStyle name="Note 6 4 2 11" xfId="10716"/>
    <cellStyle name="Note 6 4 2 11 2" xfId="10717"/>
    <cellStyle name="Note 6 4 2 11 2 2" xfId="22369"/>
    <cellStyle name="Note 6 4 2 11 2 2 2" xfId="42437"/>
    <cellStyle name="Note 6 4 2 11 2 3" xfId="30901"/>
    <cellStyle name="Note 6 4 2 11 3" xfId="17119"/>
    <cellStyle name="Note 6 4 2 11 3 2" xfId="37187"/>
    <cellStyle name="Note 6 4 2 11 4" xfId="30900"/>
    <cellStyle name="Note 6 4 2 12" xfId="10718"/>
    <cellStyle name="Note 6 4 2 12 2" xfId="10719"/>
    <cellStyle name="Note 6 4 2 12 2 2" xfId="22370"/>
    <cellStyle name="Note 6 4 2 12 2 2 2" xfId="42438"/>
    <cellStyle name="Note 6 4 2 12 2 3" xfId="30903"/>
    <cellStyle name="Note 6 4 2 12 3" xfId="17291"/>
    <cellStyle name="Note 6 4 2 12 3 2" xfId="37359"/>
    <cellStyle name="Note 6 4 2 12 4" xfId="30902"/>
    <cellStyle name="Note 6 4 2 13" xfId="10720"/>
    <cellStyle name="Note 6 4 2 13 2" xfId="10721"/>
    <cellStyle name="Note 6 4 2 13 2 2" xfId="22371"/>
    <cellStyle name="Note 6 4 2 13 2 2 2" xfId="42439"/>
    <cellStyle name="Note 6 4 2 13 2 3" xfId="30905"/>
    <cellStyle name="Note 6 4 2 13 3" xfId="17455"/>
    <cellStyle name="Note 6 4 2 13 3 2" xfId="37523"/>
    <cellStyle name="Note 6 4 2 13 4" xfId="30904"/>
    <cellStyle name="Note 6 4 2 14" xfId="10722"/>
    <cellStyle name="Note 6 4 2 14 2" xfId="10723"/>
    <cellStyle name="Note 6 4 2 14 2 2" xfId="22372"/>
    <cellStyle name="Note 6 4 2 14 2 2 2" xfId="42440"/>
    <cellStyle name="Note 6 4 2 14 2 3" xfId="30907"/>
    <cellStyle name="Note 6 4 2 14 3" xfId="17581"/>
    <cellStyle name="Note 6 4 2 14 3 2" xfId="37649"/>
    <cellStyle name="Note 6 4 2 14 4" xfId="30906"/>
    <cellStyle name="Note 6 4 2 15" xfId="10724"/>
    <cellStyle name="Note 6 4 2 15 2" xfId="10725"/>
    <cellStyle name="Note 6 4 2 15 2 2" xfId="22373"/>
    <cellStyle name="Note 6 4 2 15 2 2 2" xfId="42441"/>
    <cellStyle name="Note 6 4 2 15 2 3" xfId="30909"/>
    <cellStyle name="Note 6 4 2 15 3" xfId="16154"/>
    <cellStyle name="Note 6 4 2 15 3 2" xfId="36222"/>
    <cellStyle name="Note 6 4 2 15 4" xfId="30908"/>
    <cellStyle name="Note 6 4 2 16" xfId="10726"/>
    <cellStyle name="Note 6 4 2 16 2" xfId="10727"/>
    <cellStyle name="Note 6 4 2 16 2 2" xfId="22374"/>
    <cellStyle name="Note 6 4 2 16 2 2 2" xfId="42442"/>
    <cellStyle name="Note 6 4 2 16 2 3" xfId="30911"/>
    <cellStyle name="Note 6 4 2 16 3" xfId="17831"/>
    <cellStyle name="Note 6 4 2 16 3 2" xfId="37899"/>
    <cellStyle name="Note 6 4 2 16 4" xfId="30910"/>
    <cellStyle name="Note 6 4 2 17" xfId="10728"/>
    <cellStyle name="Note 6 4 2 17 2" xfId="10729"/>
    <cellStyle name="Note 6 4 2 17 2 2" xfId="22375"/>
    <cellStyle name="Note 6 4 2 17 2 2 2" xfId="42443"/>
    <cellStyle name="Note 6 4 2 17 2 3" xfId="30913"/>
    <cellStyle name="Note 6 4 2 17 3" xfId="17969"/>
    <cellStyle name="Note 6 4 2 17 3 2" xfId="38037"/>
    <cellStyle name="Note 6 4 2 17 4" xfId="30912"/>
    <cellStyle name="Note 6 4 2 18" xfId="10730"/>
    <cellStyle name="Note 6 4 2 18 2" xfId="10731"/>
    <cellStyle name="Note 6 4 2 18 2 2" xfId="22376"/>
    <cellStyle name="Note 6 4 2 18 2 2 2" xfId="42444"/>
    <cellStyle name="Note 6 4 2 18 2 3" xfId="30915"/>
    <cellStyle name="Note 6 4 2 18 3" xfId="18108"/>
    <cellStyle name="Note 6 4 2 18 3 2" xfId="38176"/>
    <cellStyle name="Note 6 4 2 18 4" xfId="30914"/>
    <cellStyle name="Note 6 4 2 19" xfId="10732"/>
    <cellStyle name="Note 6 4 2 19 2" xfId="10733"/>
    <cellStyle name="Note 6 4 2 19 2 2" xfId="22377"/>
    <cellStyle name="Note 6 4 2 19 2 2 2" xfId="42445"/>
    <cellStyle name="Note 6 4 2 19 2 3" xfId="30917"/>
    <cellStyle name="Note 6 4 2 19 3" xfId="18226"/>
    <cellStyle name="Note 6 4 2 19 3 2" xfId="38294"/>
    <cellStyle name="Note 6 4 2 19 4" xfId="30916"/>
    <cellStyle name="Note 6 4 2 2" xfId="10734"/>
    <cellStyle name="Note 6 4 2 2 2" xfId="10735"/>
    <cellStyle name="Note 6 4 2 2 2 2" xfId="22378"/>
    <cellStyle name="Note 6 4 2 2 2 2 2" xfId="42446"/>
    <cellStyle name="Note 6 4 2 2 2 3" xfId="30919"/>
    <cellStyle name="Note 6 4 2 2 3" xfId="14694"/>
    <cellStyle name="Note 6 4 2 2 3 2" xfId="34762"/>
    <cellStyle name="Note 6 4 2 2 4" xfId="30918"/>
    <cellStyle name="Note 6 4 2 20" xfId="10736"/>
    <cellStyle name="Note 6 4 2 20 2" xfId="10737"/>
    <cellStyle name="Note 6 4 2 20 2 2" xfId="22379"/>
    <cellStyle name="Note 6 4 2 20 2 2 2" xfId="42447"/>
    <cellStyle name="Note 6 4 2 20 2 3" xfId="30921"/>
    <cellStyle name="Note 6 4 2 20 3" xfId="16690"/>
    <cellStyle name="Note 6 4 2 20 3 2" xfId="36758"/>
    <cellStyle name="Note 6 4 2 20 4" xfId="30920"/>
    <cellStyle name="Note 6 4 2 21" xfId="10738"/>
    <cellStyle name="Note 6 4 2 21 2" xfId="10739"/>
    <cellStyle name="Note 6 4 2 21 2 2" xfId="22380"/>
    <cellStyle name="Note 6 4 2 21 2 2 2" xfId="42448"/>
    <cellStyle name="Note 6 4 2 21 2 3" xfId="30923"/>
    <cellStyle name="Note 6 4 2 21 3" xfId="18431"/>
    <cellStyle name="Note 6 4 2 21 3 2" xfId="38499"/>
    <cellStyle name="Note 6 4 2 21 4" xfId="30922"/>
    <cellStyle name="Note 6 4 2 22" xfId="10740"/>
    <cellStyle name="Note 6 4 2 22 2" xfId="10741"/>
    <cellStyle name="Note 6 4 2 22 2 2" xfId="22381"/>
    <cellStyle name="Note 6 4 2 22 2 2 2" xfId="42449"/>
    <cellStyle name="Note 6 4 2 22 2 3" xfId="30925"/>
    <cellStyle name="Note 6 4 2 22 3" xfId="18564"/>
    <cellStyle name="Note 6 4 2 22 3 2" xfId="38632"/>
    <cellStyle name="Note 6 4 2 22 4" xfId="30924"/>
    <cellStyle name="Note 6 4 2 23" xfId="10742"/>
    <cellStyle name="Note 6 4 2 23 2" xfId="10743"/>
    <cellStyle name="Note 6 4 2 23 2 2" xfId="22382"/>
    <cellStyle name="Note 6 4 2 23 2 2 2" xfId="42450"/>
    <cellStyle name="Note 6 4 2 23 2 3" xfId="30927"/>
    <cellStyle name="Note 6 4 2 23 3" xfId="18675"/>
    <cellStyle name="Note 6 4 2 23 3 2" xfId="38743"/>
    <cellStyle name="Note 6 4 2 23 4" xfId="30926"/>
    <cellStyle name="Note 6 4 2 24" xfId="10744"/>
    <cellStyle name="Note 6 4 2 24 2" xfId="10745"/>
    <cellStyle name="Note 6 4 2 24 2 2" xfId="22383"/>
    <cellStyle name="Note 6 4 2 24 2 2 2" xfId="42451"/>
    <cellStyle name="Note 6 4 2 24 2 3" xfId="30929"/>
    <cellStyle name="Note 6 4 2 24 3" xfId="18775"/>
    <cellStyle name="Note 6 4 2 24 3 2" xfId="38843"/>
    <cellStyle name="Note 6 4 2 24 4" xfId="30928"/>
    <cellStyle name="Note 6 4 2 25" xfId="10746"/>
    <cellStyle name="Note 6 4 2 25 2" xfId="10747"/>
    <cellStyle name="Note 6 4 2 25 2 2" xfId="22384"/>
    <cellStyle name="Note 6 4 2 25 2 2 2" xfId="42452"/>
    <cellStyle name="Note 6 4 2 25 2 3" xfId="30931"/>
    <cellStyle name="Note 6 4 2 25 3" xfId="18875"/>
    <cellStyle name="Note 6 4 2 25 3 2" xfId="38943"/>
    <cellStyle name="Note 6 4 2 25 4" xfId="30930"/>
    <cellStyle name="Note 6 4 2 26" xfId="10748"/>
    <cellStyle name="Note 6 4 2 26 2" xfId="22367"/>
    <cellStyle name="Note 6 4 2 26 2 2" xfId="42435"/>
    <cellStyle name="Note 6 4 2 26 3" xfId="30932"/>
    <cellStyle name="Note 6 4 2 27" xfId="14452"/>
    <cellStyle name="Note 6 4 2 27 2" xfId="34520"/>
    <cellStyle name="Note 6 4 2 28" xfId="30897"/>
    <cellStyle name="Note 6 4 2 3" xfId="10749"/>
    <cellStyle name="Note 6 4 2 3 2" xfId="10750"/>
    <cellStyle name="Note 6 4 2 3 2 2" xfId="22385"/>
    <cellStyle name="Note 6 4 2 3 2 2 2" xfId="42453"/>
    <cellStyle name="Note 6 4 2 3 2 3" xfId="30934"/>
    <cellStyle name="Note 6 4 2 3 3" xfId="14818"/>
    <cellStyle name="Note 6 4 2 3 3 2" xfId="34886"/>
    <cellStyle name="Note 6 4 2 3 4" xfId="30933"/>
    <cellStyle name="Note 6 4 2 4" xfId="10751"/>
    <cellStyle name="Note 6 4 2 4 2" xfId="10752"/>
    <cellStyle name="Note 6 4 2 4 2 2" xfId="22386"/>
    <cellStyle name="Note 6 4 2 4 2 2 2" xfId="42454"/>
    <cellStyle name="Note 6 4 2 4 2 3" xfId="30936"/>
    <cellStyle name="Note 6 4 2 4 3" xfId="14943"/>
    <cellStyle name="Note 6 4 2 4 3 2" xfId="35011"/>
    <cellStyle name="Note 6 4 2 4 4" xfId="30935"/>
    <cellStyle name="Note 6 4 2 5" xfId="10753"/>
    <cellStyle name="Note 6 4 2 5 2" xfId="10754"/>
    <cellStyle name="Note 6 4 2 5 2 2" xfId="22387"/>
    <cellStyle name="Note 6 4 2 5 2 2 2" xfId="42455"/>
    <cellStyle name="Note 6 4 2 5 2 3" xfId="30938"/>
    <cellStyle name="Note 6 4 2 5 3" xfId="15112"/>
    <cellStyle name="Note 6 4 2 5 3 2" xfId="35180"/>
    <cellStyle name="Note 6 4 2 5 4" xfId="30937"/>
    <cellStyle name="Note 6 4 2 6" xfId="10755"/>
    <cellStyle name="Note 6 4 2 6 2" xfId="10756"/>
    <cellStyle name="Note 6 4 2 6 2 2" xfId="22388"/>
    <cellStyle name="Note 6 4 2 6 2 2 2" xfId="42456"/>
    <cellStyle name="Note 6 4 2 6 2 3" xfId="30940"/>
    <cellStyle name="Note 6 4 2 6 3" xfId="14237"/>
    <cellStyle name="Note 6 4 2 6 3 2" xfId="34305"/>
    <cellStyle name="Note 6 4 2 6 4" xfId="30939"/>
    <cellStyle name="Note 6 4 2 7" xfId="10757"/>
    <cellStyle name="Note 6 4 2 7 2" xfId="10758"/>
    <cellStyle name="Note 6 4 2 7 2 2" xfId="22389"/>
    <cellStyle name="Note 6 4 2 7 2 2 2" xfId="42457"/>
    <cellStyle name="Note 6 4 2 7 2 3" xfId="30942"/>
    <cellStyle name="Note 6 4 2 7 3" xfId="15244"/>
    <cellStyle name="Note 6 4 2 7 3 2" xfId="35312"/>
    <cellStyle name="Note 6 4 2 7 4" xfId="30941"/>
    <cellStyle name="Note 6 4 2 8" xfId="10759"/>
    <cellStyle name="Note 6 4 2 8 2" xfId="10760"/>
    <cellStyle name="Note 6 4 2 8 2 2" xfId="22390"/>
    <cellStyle name="Note 6 4 2 8 2 2 2" xfId="42458"/>
    <cellStyle name="Note 6 4 2 8 2 3" xfId="30944"/>
    <cellStyle name="Note 6 4 2 8 3" xfId="16609"/>
    <cellStyle name="Note 6 4 2 8 3 2" xfId="36677"/>
    <cellStyle name="Note 6 4 2 8 4" xfId="30943"/>
    <cellStyle name="Note 6 4 2 9" xfId="10761"/>
    <cellStyle name="Note 6 4 2 9 2" xfId="10762"/>
    <cellStyle name="Note 6 4 2 9 2 2" xfId="22391"/>
    <cellStyle name="Note 6 4 2 9 2 2 2" xfId="42459"/>
    <cellStyle name="Note 6 4 2 9 2 3" xfId="30946"/>
    <cellStyle name="Note 6 4 2 9 3" xfId="16813"/>
    <cellStyle name="Note 6 4 2 9 3 2" xfId="36881"/>
    <cellStyle name="Note 6 4 2 9 4" xfId="30945"/>
    <cellStyle name="Note 6 4 20" xfId="10763"/>
    <cellStyle name="Note 6 4 20 2" xfId="10764"/>
    <cellStyle name="Note 6 4 20 2 2" xfId="22392"/>
    <cellStyle name="Note 6 4 20 2 2 2" xfId="42460"/>
    <cellStyle name="Note 6 4 20 2 3" xfId="30948"/>
    <cellStyle name="Note 6 4 20 3" xfId="17999"/>
    <cellStyle name="Note 6 4 20 3 2" xfId="38067"/>
    <cellStyle name="Note 6 4 20 4" xfId="30947"/>
    <cellStyle name="Note 6 4 21" xfId="10765"/>
    <cellStyle name="Note 6 4 21 2" xfId="10766"/>
    <cellStyle name="Note 6 4 21 2 2" xfId="22393"/>
    <cellStyle name="Note 6 4 21 2 2 2" xfId="42461"/>
    <cellStyle name="Note 6 4 21 2 3" xfId="30950"/>
    <cellStyle name="Note 6 4 21 3" xfId="17874"/>
    <cellStyle name="Note 6 4 21 3 2" xfId="37942"/>
    <cellStyle name="Note 6 4 21 4" xfId="30949"/>
    <cellStyle name="Note 6 4 22" xfId="10767"/>
    <cellStyle name="Note 6 4 22 2" xfId="10768"/>
    <cellStyle name="Note 6 4 22 2 2" xfId="22394"/>
    <cellStyle name="Note 6 4 22 2 2 2" xfId="42462"/>
    <cellStyle name="Note 6 4 22 2 3" xfId="30952"/>
    <cellStyle name="Note 6 4 22 3" xfId="17701"/>
    <cellStyle name="Note 6 4 22 3 2" xfId="37769"/>
    <cellStyle name="Note 6 4 22 4" xfId="30951"/>
    <cellStyle name="Note 6 4 23" xfId="10769"/>
    <cellStyle name="Note 6 4 23 2" xfId="10770"/>
    <cellStyle name="Note 6 4 23 2 2" xfId="22395"/>
    <cellStyle name="Note 6 4 23 2 2 2" xfId="42463"/>
    <cellStyle name="Note 6 4 23 2 3" xfId="30954"/>
    <cellStyle name="Note 6 4 23 3" xfId="18311"/>
    <cellStyle name="Note 6 4 23 3 2" xfId="38379"/>
    <cellStyle name="Note 6 4 23 4" xfId="30953"/>
    <cellStyle name="Note 6 4 24" xfId="10771"/>
    <cellStyle name="Note 6 4 24 2" xfId="10772"/>
    <cellStyle name="Note 6 4 24 2 2" xfId="22396"/>
    <cellStyle name="Note 6 4 24 2 2 2" xfId="42464"/>
    <cellStyle name="Note 6 4 24 2 3" xfId="30956"/>
    <cellStyle name="Note 6 4 24 3" xfId="18459"/>
    <cellStyle name="Note 6 4 24 3 2" xfId="38527"/>
    <cellStyle name="Note 6 4 24 4" xfId="30955"/>
    <cellStyle name="Note 6 4 25" xfId="10773"/>
    <cellStyle name="Note 6 4 25 2" xfId="10774"/>
    <cellStyle name="Note 6 4 25 2 2" xfId="22397"/>
    <cellStyle name="Note 6 4 25 2 2 2" xfId="42465"/>
    <cellStyle name="Note 6 4 25 2 3" xfId="30958"/>
    <cellStyle name="Note 6 4 25 3" xfId="18338"/>
    <cellStyle name="Note 6 4 25 3 2" xfId="38406"/>
    <cellStyle name="Note 6 4 25 4" xfId="30957"/>
    <cellStyle name="Note 6 4 26" xfId="10775"/>
    <cellStyle name="Note 6 4 26 2" xfId="10776"/>
    <cellStyle name="Note 6 4 26 2 2" xfId="22398"/>
    <cellStyle name="Note 6 4 26 2 2 2" xfId="42466"/>
    <cellStyle name="Note 6 4 26 2 3" xfId="30960"/>
    <cellStyle name="Note 6 4 26 3" xfId="18484"/>
    <cellStyle name="Note 6 4 26 3 2" xfId="38552"/>
    <cellStyle name="Note 6 4 26 4" xfId="30959"/>
    <cellStyle name="Note 6 4 27" xfId="10777"/>
    <cellStyle name="Note 6 4 27 2" xfId="10778"/>
    <cellStyle name="Note 6 4 27 2 2" xfId="22399"/>
    <cellStyle name="Note 6 4 27 2 2 2" xfId="42467"/>
    <cellStyle name="Note 6 4 27 2 3" xfId="30962"/>
    <cellStyle name="Note 6 4 27 3" xfId="18597"/>
    <cellStyle name="Note 6 4 27 3 2" xfId="38665"/>
    <cellStyle name="Note 6 4 27 4" xfId="30961"/>
    <cellStyle name="Note 6 4 28" xfId="10779"/>
    <cellStyle name="Note 6 4 28 2" xfId="22356"/>
    <cellStyle name="Note 6 4 28 2 2" xfId="42424"/>
    <cellStyle name="Note 6 4 28 3" xfId="30963"/>
    <cellStyle name="Note 6 4 29" xfId="13925"/>
    <cellStyle name="Note 6 4 29 2" xfId="33993"/>
    <cellStyle name="Note 6 4 3" xfId="10780"/>
    <cellStyle name="Note 6 4 3 2" xfId="10781"/>
    <cellStyle name="Note 6 4 3 2 2" xfId="22400"/>
    <cellStyle name="Note 6 4 3 2 2 2" xfId="42468"/>
    <cellStyle name="Note 6 4 3 2 3" xfId="30965"/>
    <cellStyle name="Note 6 4 3 3" xfId="14053"/>
    <cellStyle name="Note 6 4 3 3 2" xfId="34121"/>
    <cellStyle name="Note 6 4 3 4" xfId="30964"/>
    <cellStyle name="Note 6 4 30" xfId="30876"/>
    <cellStyle name="Note 6 4 4" xfId="10782"/>
    <cellStyle name="Note 6 4 4 2" xfId="10783"/>
    <cellStyle name="Note 6 4 4 2 2" xfId="22401"/>
    <cellStyle name="Note 6 4 4 2 2 2" xfId="42469"/>
    <cellStyle name="Note 6 4 4 2 3" xfId="30967"/>
    <cellStyle name="Note 6 4 4 3" xfId="14414"/>
    <cellStyle name="Note 6 4 4 3 2" xfId="34482"/>
    <cellStyle name="Note 6 4 4 4" xfId="30966"/>
    <cellStyle name="Note 6 4 5" xfId="10784"/>
    <cellStyle name="Note 6 4 5 2" xfId="10785"/>
    <cellStyle name="Note 6 4 5 2 2" xfId="22402"/>
    <cellStyle name="Note 6 4 5 2 2 2" xfId="42470"/>
    <cellStyle name="Note 6 4 5 2 3" xfId="30969"/>
    <cellStyle name="Note 6 4 5 3" xfId="14486"/>
    <cellStyle name="Note 6 4 5 3 2" xfId="34554"/>
    <cellStyle name="Note 6 4 5 4" xfId="30968"/>
    <cellStyle name="Note 6 4 6" xfId="10786"/>
    <cellStyle name="Note 6 4 6 2" xfId="10787"/>
    <cellStyle name="Note 6 4 6 2 2" xfId="22403"/>
    <cellStyle name="Note 6 4 6 2 2 2" xfId="42471"/>
    <cellStyle name="Note 6 4 6 2 3" xfId="30971"/>
    <cellStyle name="Note 6 4 6 3" xfId="14978"/>
    <cellStyle name="Note 6 4 6 3 2" xfId="35046"/>
    <cellStyle name="Note 6 4 6 4" xfId="30970"/>
    <cellStyle name="Note 6 4 7" xfId="10788"/>
    <cellStyle name="Note 6 4 7 2" xfId="10789"/>
    <cellStyle name="Note 6 4 7 2 2" xfId="22404"/>
    <cellStyle name="Note 6 4 7 2 2 2" xfId="42472"/>
    <cellStyle name="Note 6 4 7 2 3" xfId="30973"/>
    <cellStyle name="Note 6 4 7 3" xfId="14487"/>
    <cellStyle name="Note 6 4 7 3 2" xfId="34555"/>
    <cellStyle name="Note 6 4 7 4" xfId="30972"/>
    <cellStyle name="Note 6 4 8" xfId="10790"/>
    <cellStyle name="Note 6 4 8 2" xfId="10791"/>
    <cellStyle name="Note 6 4 8 2 2" xfId="22405"/>
    <cellStyle name="Note 6 4 8 2 2 2" xfId="42473"/>
    <cellStyle name="Note 6 4 8 2 3" xfId="30975"/>
    <cellStyle name="Note 6 4 8 3" xfId="15152"/>
    <cellStyle name="Note 6 4 8 3 2" xfId="35220"/>
    <cellStyle name="Note 6 4 8 4" xfId="30974"/>
    <cellStyle name="Note 6 4 9" xfId="10792"/>
    <cellStyle name="Note 6 4 9 2" xfId="10793"/>
    <cellStyle name="Note 6 4 9 2 2" xfId="22406"/>
    <cellStyle name="Note 6 4 9 2 2 2" xfId="42474"/>
    <cellStyle name="Note 6 4 9 2 3" xfId="30977"/>
    <cellStyle name="Note 6 4 9 3" xfId="15331"/>
    <cellStyle name="Note 6 4 9 3 2" xfId="35399"/>
    <cellStyle name="Note 6 4 9 4" xfId="30976"/>
    <cellStyle name="Note 6 5" xfId="10794"/>
    <cellStyle name="Note 6 5 10" xfId="10795"/>
    <cellStyle name="Note 6 5 10 2" xfId="10796"/>
    <cellStyle name="Note 6 5 10 2 2" xfId="22408"/>
    <cellStyle name="Note 6 5 10 2 2 2" xfId="42476"/>
    <cellStyle name="Note 6 5 10 2 3" xfId="30980"/>
    <cellStyle name="Note 6 5 10 3" xfId="16971"/>
    <cellStyle name="Note 6 5 10 3 2" xfId="37039"/>
    <cellStyle name="Note 6 5 10 4" xfId="30979"/>
    <cellStyle name="Note 6 5 11" xfId="10797"/>
    <cellStyle name="Note 6 5 11 2" xfId="10798"/>
    <cellStyle name="Note 6 5 11 2 2" xfId="22409"/>
    <cellStyle name="Note 6 5 11 2 2 2" xfId="42477"/>
    <cellStyle name="Note 6 5 11 2 3" xfId="30982"/>
    <cellStyle name="Note 6 5 11 3" xfId="17116"/>
    <cellStyle name="Note 6 5 11 3 2" xfId="37184"/>
    <cellStyle name="Note 6 5 11 4" xfId="30981"/>
    <cellStyle name="Note 6 5 12" xfId="10799"/>
    <cellStyle name="Note 6 5 12 2" xfId="10800"/>
    <cellStyle name="Note 6 5 12 2 2" xfId="22410"/>
    <cellStyle name="Note 6 5 12 2 2 2" xfId="42478"/>
    <cellStyle name="Note 6 5 12 2 3" xfId="30984"/>
    <cellStyle name="Note 6 5 12 3" xfId="17288"/>
    <cellStyle name="Note 6 5 12 3 2" xfId="37356"/>
    <cellStyle name="Note 6 5 12 4" xfId="30983"/>
    <cellStyle name="Note 6 5 13" xfId="10801"/>
    <cellStyle name="Note 6 5 13 2" xfId="10802"/>
    <cellStyle name="Note 6 5 13 2 2" xfId="22411"/>
    <cellStyle name="Note 6 5 13 2 2 2" xfId="42479"/>
    <cellStyle name="Note 6 5 13 2 3" xfId="30986"/>
    <cellStyle name="Note 6 5 13 3" xfId="17452"/>
    <cellStyle name="Note 6 5 13 3 2" xfId="37520"/>
    <cellStyle name="Note 6 5 13 4" xfId="30985"/>
    <cellStyle name="Note 6 5 14" xfId="10803"/>
    <cellStyle name="Note 6 5 14 2" xfId="10804"/>
    <cellStyle name="Note 6 5 14 2 2" xfId="22412"/>
    <cellStyle name="Note 6 5 14 2 2 2" xfId="42480"/>
    <cellStyle name="Note 6 5 14 2 3" xfId="30988"/>
    <cellStyle name="Note 6 5 14 3" xfId="17578"/>
    <cellStyle name="Note 6 5 14 3 2" xfId="37646"/>
    <cellStyle name="Note 6 5 14 4" xfId="30987"/>
    <cellStyle name="Note 6 5 15" xfId="10805"/>
    <cellStyle name="Note 6 5 15 2" xfId="10806"/>
    <cellStyle name="Note 6 5 15 2 2" xfId="22413"/>
    <cellStyle name="Note 6 5 15 2 2 2" xfId="42481"/>
    <cellStyle name="Note 6 5 15 2 3" xfId="30990"/>
    <cellStyle name="Note 6 5 15 3" xfId="15578"/>
    <cellStyle name="Note 6 5 15 3 2" xfId="35646"/>
    <cellStyle name="Note 6 5 15 4" xfId="30989"/>
    <cellStyle name="Note 6 5 16" xfId="10807"/>
    <cellStyle name="Note 6 5 16 2" xfId="10808"/>
    <cellStyle name="Note 6 5 16 2 2" xfId="22414"/>
    <cellStyle name="Note 6 5 16 2 2 2" xfId="42482"/>
    <cellStyle name="Note 6 5 16 2 3" xfId="30992"/>
    <cellStyle name="Note 6 5 16 3" xfId="17828"/>
    <cellStyle name="Note 6 5 16 3 2" xfId="37896"/>
    <cellStyle name="Note 6 5 16 4" xfId="30991"/>
    <cellStyle name="Note 6 5 17" xfId="10809"/>
    <cellStyle name="Note 6 5 17 2" xfId="10810"/>
    <cellStyle name="Note 6 5 17 2 2" xfId="22415"/>
    <cellStyle name="Note 6 5 17 2 2 2" xfId="42483"/>
    <cellStyle name="Note 6 5 17 2 3" xfId="30994"/>
    <cellStyle name="Note 6 5 17 3" xfId="17966"/>
    <cellStyle name="Note 6 5 17 3 2" xfId="38034"/>
    <cellStyle name="Note 6 5 17 4" xfId="30993"/>
    <cellStyle name="Note 6 5 18" xfId="10811"/>
    <cellStyle name="Note 6 5 18 2" xfId="10812"/>
    <cellStyle name="Note 6 5 18 2 2" xfId="22416"/>
    <cellStyle name="Note 6 5 18 2 2 2" xfId="42484"/>
    <cellStyle name="Note 6 5 18 2 3" xfId="30996"/>
    <cellStyle name="Note 6 5 18 3" xfId="18105"/>
    <cellStyle name="Note 6 5 18 3 2" xfId="38173"/>
    <cellStyle name="Note 6 5 18 4" xfId="30995"/>
    <cellStyle name="Note 6 5 19" xfId="10813"/>
    <cellStyle name="Note 6 5 19 2" xfId="10814"/>
    <cellStyle name="Note 6 5 19 2 2" xfId="22417"/>
    <cellStyle name="Note 6 5 19 2 2 2" xfId="42485"/>
    <cellStyle name="Note 6 5 19 2 3" xfId="30998"/>
    <cellStyle name="Note 6 5 19 3" xfId="18223"/>
    <cellStyle name="Note 6 5 19 3 2" xfId="38291"/>
    <cellStyle name="Note 6 5 19 4" xfId="30997"/>
    <cellStyle name="Note 6 5 2" xfId="10815"/>
    <cellStyle name="Note 6 5 2 2" xfId="10816"/>
    <cellStyle name="Note 6 5 2 2 2" xfId="22418"/>
    <cellStyle name="Note 6 5 2 2 2 2" xfId="42486"/>
    <cellStyle name="Note 6 5 2 2 3" xfId="31000"/>
    <cellStyle name="Note 6 5 2 3" xfId="14691"/>
    <cellStyle name="Note 6 5 2 3 2" xfId="34759"/>
    <cellStyle name="Note 6 5 2 4" xfId="30999"/>
    <cellStyle name="Note 6 5 20" xfId="10817"/>
    <cellStyle name="Note 6 5 20 2" xfId="10818"/>
    <cellStyle name="Note 6 5 20 2 2" xfId="22419"/>
    <cellStyle name="Note 6 5 20 2 2 2" xfId="42487"/>
    <cellStyle name="Note 6 5 20 2 3" xfId="31002"/>
    <cellStyle name="Note 6 5 20 3" xfId="17210"/>
    <cellStyle name="Note 6 5 20 3 2" xfId="37278"/>
    <cellStyle name="Note 6 5 20 4" xfId="31001"/>
    <cellStyle name="Note 6 5 21" xfId="10819"/>
    <cellStyle name="Note 6 5 21 2" xfId="10820"/>
    <cellStyle name="Note 6 5 21 2 2" xfId="22420"/>
    <cellStyle name="Note 6 5 21 2 2 2" xfId="42488"/>
    <cellStyle name="Note 6 5 21 2 3" xfId="31004"/>
    <cellStyle name="Note 6 5 21 3" xfId="18428"/>
    <cellStyle name="Note 6 5 21 3 2" xfId="38496"/>
    <cellStyle name="Note 6 5 21 4" xfId="31003"/>
    <cellStyle name="Note 6 5 22" xfId="10821"/>
    <cellStyle name="Note 6 5 22 2" xfId="10822"/>
    <cellStyle name="Note 6 5 22 2 2" xfId="22421"/>
    <cellStyle name="Note 6 5 22 2 2 2" xfId="42489"/>
    <cellStyle name="Note 6 5 22 2 3" xfId="31006"/>
    <cellStyle name="Note 6 5 22 3" xfId="18561"/>
    <cellStyle name="Note 6 5 22 3 2" xfId="38629"/>
    <cellStyle name="Note 6 5 22 4" xfId="31005"/>
    <cellStyle name="Note 6 5 23" xfId="10823"/>
    <cellStyle name="Note 6 5 23 2" xfId="10824"/>
    <cellStyle name="Note 6 5 23 2 2" xfId="22422"/>
    <cellStyle name="Note 6 5 23 2 2 2" xfId="42490"/>
    <cellStyle name="Note 6 5 23 2 3" xfId="31008"/>
    <cellStyle name="Note 6 5 23 3" xfId="18672"/>
    <cellStyle name="Note 6 5 23 3 2" xfId="38740"/>
    <cellStyle name="Note 6 5 23 4" xfId="31007"/>
    <cellStyle name="Note 6 5 24" xfId="10825"/>
    <cellStyle name="Note 6 5 24 2" xfId="10826"/>
    <cellStyle name="Note 6 5 24 2 2" xfId="22423"/>
    <cellStyle name="Note 6 5 24 2 2 2" xfId="42491"/>
    <cellStyle name="Note 6 5 24 2 3" xfId="31010"/>
    <cellStyle name="Note 6 5 24 3" xfId="18772"/>
    <cellStyle name="Note 6 5 24 3 2" xfId="38840"/>
    <cellStyle name="Note 6 5 24 4" xfId="31009"/>
    <cellStyle name="Note 6 5 25" xfId="10827"/>
    <cellStyle name="Note 6 5 25 2" xfId="10828"/>
    <cellStyle name="Note 6 5 25 2 2" xfId="22424"/>
    <cellStyle name="Note 6 5 25 2 2 2" xfId="42492"/>
    <cellStyle name="Note 6 5 25 2 3" xfId="31012"/>
    <cellStyle name="Note 6 5 25 3" xfId="18872"/>
    <cellStyle name="Note 6 5 25 3 2" xfId="38940"/>
    <cellStyle name="Note 6 5 25 4" xfId="31011"/>
    <cellStyle name="Note 6 5 26" xfId="10829"/>
    <cellStyle name="Note 6 5 26 2" xfId="22407"/>
    <cellStyle name="Note 6 5 26 2 2" xfId="42475"/>
    <cellStyle name="Note 6 5 26 3" xfId="31013"/>
    <cellStyle name="Note 6 5 27" xfId="14443"/>
    <cellStyle name="Note 6 5 27 2" xfId="34511"/>
    <cellStyle name="Note 6 5 28" xfId="30978"/>
    <cellStyle name="Note 6 5 3" xfId="10830"/>
    <cellStyle name="Note 6 5 3 2" xfId="10831"/>
    <cellStyle name="Note 6 5 3 2 2" xfId="22425"/>
    <cellStyle name="Note 6 5 3 2 2 2" xfId="42493"/>
    <cellStyle name="Note 6 5 3 2 3" xfId="31015"/>
    <cellStyle name="Note 6 5 3 3" xfId="14815"/>
    <cellStyle name="Note 6 5 3 3 2" xfId="34883"/>
    <cellStyle name="Note 6 5 3 4" xfId="31014"/>
    <cellStyle name="Note 6 5 4" xfId="10832"/>
    <cellStyle name="Note 6 5 4 2" xfId="10833"/>
    <cellStyle name="Note 6 5 4 2 2" xfId="22426"/>
    <cellStyle name="Note 6 5 4 2 2 2" xfId="42494"/>
    <cellStyle name="Note 6 5 4 2 3" xfId="31017"/>
    <cellStyle name="Note 6 5 4 3" xfId="14940"/>
    <cellStyle name="Note 6 5 4 3 2" xfId="35008"/>
    <cellStyle name="Note 6 5 4 4" xfId="31016"/>
    <cellStyle name="Note 6 5 5" xfId="10834"/>
    <cellStyle name="Note 6 5 5 2" xfId="10835"/>
    <cellStyle name="Note 6 5 5 2 2" xfId="22427"/>
    <cellStyle name="Note 6 5 5 2 2 2" xfId="42495"/>
    <cellStyle name="Note 6 5 5 2 3" xfId="31019"/>
    <cellStyle name="Note 6 5 5 3" xfId="15109"/>
    <cellStyle name="Note 6 5 5 3 2" xfId="35177"/>
    <cellStyle name="Note 6 5 5 4" xfId="31018"/>
    <cellStyle name="Note 6 5 6" xfId="10836"/>
    <cellStyle name="Note 6 5 6 2" xfId="10837"/>
    <cellStyle name="Note 6 5 6 2 2" xfId="22428"/>
    <cellStyle name="Note 6 5 6 2 2 2" xfId="42496"/>
    <cellStyle name="Note 6 5 6 2 3" xfId="31021"/>
    <cellStyle name="Note 6 5 6 3" xfId="14183"/>
    <cellStyle name="Note 6 5 6 3 2" xfId="34251"/>
    <cellStyle name="Note 6 5 6 4" xfId="31020"/>
    <cellStyle name="Note 6 5 7" xfId="10838"/>
    <cellStyle name="Note 6 5 7 2" xfId="10839"/>
    <cellStyle name="Note 6 5 7 2 2" xfId="22429"/>
    <cellStyle name="Note 6 5 7 2 2 2" xfId="42497"/>
    <cellStyle name="Note 6 5 7 2 3" xfId="31023"/>
    <cellStyle name="Note 6 5 7 3" xfId="15241"/>
    <cellStyle name="Note 6 5 7 3 2" xfId="35309"/>
    <cellStyle name="Note 6 5 7 4" xfId="31022"/>
    <cellStyle name="Note 6 5 8" xfId="10840"/>
    <cellStyle name="Note 6 5 8 2" xfId="10841"/>
    <cellStyle name="Note 6 5 8 2 2" xfId="22430"/>
    <cellStyle name="Note 6 5 8 2 2 2" xfId="42498"/>
    <cellStyle name="Note 6 5 8 2 3" xfId="31025"/>
    <cellStyle name="Note 6 5 8 3" xfId="16606"/>
    <cellStyle name="Note 6 5 8 3 2" xfId="36674"/>
    <cellStyle name="Note 6 5 8 4" xfId="31024"/>
    <cellStyle name="Note 6 5 9" xfId="10842"/>
    <cellStyle name="Note 6 5 9 2" xfId="10843"/>
    <cellStyle name="Note 6 5 9 2 2" xfId="22431"/>
    <cellStyle name="Note 6 5 9 2 2 2" xfId="42499"/>
    <cellStyle name="Note 6 5 9 2 3" xfId="31027"/>
    <cellStyle name="Note 6 5 9 3" xfId="16810"/>
    <cellStyle name="Note 6 5 9 3 2" xfId="36878"/>
    <cellStyle name="Note 6 5 9 4" xfId="31026"/>
    <cellStyle name="Note 6 6" xfId="10844"/>
    <cellStyle name="Note 6 6 2" xfId="10845"/>
    <cellStyle name="Note 6 6 2 2" xfId="22432"/>
    <cellStyle name="Note 6 6 2 2 2" xfId="42500"/>
    <cellStyle name="Note 6 6 2 3" xfId="31029"/>
    <cellStyle name="Note 6 6 3" xfId="14390"/>
    <cellStyle name="Note 6 6 3 2" xfId="34458"/>
    <cellStyle name="Note 6 6 4" xfId="31028"/>
    <cellStyle name="Note 6 7" xfId="10846"/>
    <cellStyle name="Note 6 7 2" xfId="10847"/>
    <cellStyle name="Note 6 7 2 2" xfId="22433"/>
    <cellStyle name="Note 6 7 2 2 2" xfId="42501"/>
    <cellStyle name="Note 6 7 2 3" xfId="31031"/>
    <cellStyle name="Note 6 7 3" xfId="14230"/>
    <cellStyle name="Note 6 7 3 2" xfId="34298"/>
    <cellStyle name="Note 6 7 4" xfId="31030"/>
    <cellStyle name="Note 6 8" xfId="10848"/>
    <cellStyle name="Note 6 8 2" xfId="10849"/>
    <cellStyle name="Note 6 8 2 2" xfId="22434"/>
    <cellStyle name="Note 6 8 2 2 2" xfId="42502"/>
    <cellStyle name="Note 6 8 2 3" xfId="31033"/>
    <cellStyle name="Note 6 8 3" xfId="14105"/>
    <cellStyle name="Note 6 8 3 2" xfId="34173"/>
    <cellStyle name="Note 6 8 4" xfId="31032"/>
    <cellStyle name="Note 6 9" xfId="10850"/>
    <cellStyle name="Note 6 9 2" xfId="10851"/>
    <cellStyle name="Note 6 9 2 2" xfId="22435"/>
    <cellStyle name="Note 6 9 2 2 2" xfId="42503"/>
    <cellStyle name="Note 6 9 2 3" xfId="31035"/>
    <cellStyle name="Note 6 9 3" xfId="14975"/>
    <cellStyle name="Note 6 9 3 2" xfId="35043"/>
    <cellStyle name="Note 6 9 4" xfId="31034"/>
    <cellStyle name="Note 6_2011-2012" xfId="10852"/>
    <cellStyle name="Note 7" xfId="10853"/>
    <cellStyle name="Note 7 10" xfId="10854"/>
    <cellStyle name="Note 7 10 2" xfId="10855"/>
    <cellStyle name="Note 7 10 2 2" xfId="22437"/>
    <cellStyle name="Note 7 10 2 2 2" xfId="42505"/>
    <cellStyle name="Note 7 10 2 3" xfId="31038"/>
    <cellStyle name="Note 7 10 3" xfId="14493"/>
    <cellStyle name="Note 7 10 3 2" xfId="34561"/>
    <cellStyle name="Note 7 10 4" xfId="31037"/>
    <cellStyle name="Note 7 11" xfId="10856"/>
    <cellStyle name="Note 7 11 2" xfId="10857"/>
    <cellStyle name="Note 7 11 2 2" xfId="22438"/>
    <cellStyle name="Note 7 11 2 2 2" xfId="42506"/>
    <cellStyle name="Note 7 11 2 3" xfId="31040"/>
    <cellStyle name="Note 7 11 3" xfId="15153"/>
    <cellStyle name="Note 7 11 3 2" xfId="35221"/>
    <cellStyle name="Note 7 11 4" xfId="31039"/>
    <cellStyle name="Note 7 12" xfId="10858"/>
    <cellStyle name="Note 7 12 2" xfId="10859"/>
    <cellStyle name="Note 7 12 2 2" xfId="22439"/>
    <cellStyle name="Note 7 12 2 2 2" xfId="42507"/>
    <cellStyle name="Note 7 12 2 3" xfId="31042"/>
    <cellStyle name="Note 7 12 3" xfId="15332"/>
    <cellStyle name="Note 7 12 3 2" xfId="35400"/>
    <cellStyle name="Note 7 12 4" xfId="31041"/>
    <cellStyle name="Note 7 13" xfId="10860"/>
    <cellStyle name="Note 7 13 2" xfId="10861"/>
    <cellStyle name="Note 7 13 2 2" xfId="22440"/>
    <cellStyle name="Note 7 13 2 2 2" xfId="42508"/>
    <cellStyle name="Note 7 13 2 3" xfId="31044"/>
    <cellStyle name="Note 7 13 3" xfId="16475"/>
    <cellStyle name="Note 7 13 3 2" xfId="36543"/>
    <cellStyle name="Note 7 13 4" xfId="31043"/>
    <cellStyle name="Note 7 14" xfId="10862"/>
    <cellStyle name="Note 7 14 2" xfId="10863"/>
    <cellStyle name="Note 7 14 2 2" xfId="22441"/>
    <cellStyle name="Note 7 14 2 2 2" xfId="42509"/>
    <cellStyle name="Note 7 14 2 3" xfId="31046"/>
    <cellStyle name="Note 7 14 3" xfId="16668"/>
    <cellStyle name="Note 7 14 3 2" xfId="36736"/>
    <cellStyle name="Note 7 14 4" xfId="31045"/>
    <cellStyle name="Note 7 15" xfId="10864"/>
    <cellStyle name="Note 7 15 2" xfId="10865"/>
    <cellStyle name="Note 7 15 2 2" xfId="22442"/>
    <cellStyle name="Note 7 15 2 2 2" xfId="42510"/>
    <cellStyle name="Note 7 15 2 3" xfId="31048"/>
    <cellStyle name="Note 7 15 3" xfId="16847"/>
    <cellStyle name="Note 7 15 3 2" xfId="36915"/>
    <cellStyle name="Note 7 15 4" xfId="31047"/>
    <cellStyle name="Note 7 16" xfId="10866"/>
    <cellStyle name="Note 7 16 2" xfId="10867"/>
    <cellStyle name="Note 7 16 2 2" xfId="22443"/>
    <cellStyle name="Note 7 16 2 2 2" xfId="42511"/>
    <cellStyle name="Note 7 16 2 3" xfId="31050"/>
    <cellStyle name="Note 7 16 3" xfId="15930"/>
    <cellStyle name="Note 7 16 3 2" xfId="35998"/>
    <cellStyle name="Note 7 16 4" xfId="31049"/>
    <cellStyle name="Note 7 17" xfId="10868"/>
    <cellStyle name="Note 7 17 2" xfId="10869"/>
    <cellStyle name="Note 7 17 2 2" xfId="22444"/>
    <cellStyle name="Note 7 17 2 2 2" xfId="42512"/>
    <cellStyle name="Note 7 17 2 3" xfId="31052"/>
    <cellStyle name="Note 7 17 3" xfId="17152"/>
    <cellStyle name="Note 7 17 3 2" xfId="37220"/>
    <cellStyle name="Note 7 17 4" xfId="31051"/>
    <cellStyle name="Note 7 18" xfId="10870"/>
    <cellStyle name="Note 7 18 2" xfId="10871"/>
    <cellStyle name="Note 7 18 2 2" xfId="22445"/>
    <cellStyle name="Note 7 18 2 2 2" xfId="42513"/>
    <cellStyle name="Note 7 18 2 3" xfId="31054"/>
    <cellStyle name="Note 7 18 3" xfId="17328"/>
    <cellStyle name="Note 7 18 3 2" xfId="37396"/>
    <cellStyle name="Note 7 18 4" xfId="31053"/>
    <cellStyle name="Note 7 19" xfId="10872"/>
    <cellStyle name="Note 7 19 2" xfId="10873"/>
    <cellStyle name="Note 7 19 2 2" xfId="22446"/>
    <cellStyle name="Note 7 19 2 2 2" xfId="42514"/>
    <cellStyle name="Note 7 19 2 3" xfId="31056"/>
    <cellStyle name="Note 7 19 3" xfId="15964"/>
    <cellStyle name="Note 7 19 3 2" xfId="36032"/>
    <cellStyle name="Note 7 19 4" xfId="31055"/>
    <cellStyle name="Note 7 2" xfId="10874"/>
    <cellStyle name="Note 7 2 10" xfId="10875"/>
    <cellStyle name="Note 7 2 10 2" xfId="10876"/>
    <cellStyle name="Note 7 2 10 2 2" xfId="22448"/>
    <cellStyle name="Note 7 2 10 2 2 2" xfId="42516"/>
    <cellStyle name="Note 7 2 10 2 3" xfId="31059"/>
    <cellStyle name="Note 7 2 10 3" xfId="16476"/>
    <cellStyle name="Note 7 2 10 3 2" xfId="36544"/>
    <cellStyle name="Note 7 2 10 4" xfId="31058"/>
    <cellStyle name="Note 7 2 11" xfId="10877"/>
    <cellStyle name="Note 7 2 11 2" xfId="10878"/>
    <cellStyle name="Note 7 2 11 2 2" xfId="22449"/>
    <cellStyle name="Note 7 2 11 2 2 2" xfId="42517"/>
    <cellStyle name="Note 7 2 11 2 3" xfId="31061"/>
    <cellStyle name="Note 7 2 11 3" xfId="16669"/>
    <cellStyle name="Note 7 2 11 3 2" xfId="36737"/>
    <cellStyle name="Note 7 2 11 4" xfId="31060"/>
    <cellStyle name="Note 7 2 12" xfId="10879"/>
    <cellStyle name="Note 7 2 12 2" xfId="10880"/>
    <cellStyle name="Note 7 2 12 2 2" xfId="22450"/>
    <cellStyle name="Note 7 2 12 2 2 2" xfId="42518"/>
    <cellStyle name="Note 7 2 12 2 3" xfId="31063"/>
    <cellStyle name="Note 7 2 12 3" xfId="16848"/>
    <cellStyle name="Note 7 2 12 3 2" xfId="36916"/>
    <cellStyle name="Note 7 2 12 4" xfId="31062"/>
    <cellStyle name="Note 7 2 13" xfId="10881"/>
    <cellStyle name="Note 7 2 13 2" xfId="10882"/>
    <cellStyle name="Note 7 2 13 2 2" xfId="22451"/>
    <cellStyle name="Note 7 2 13 2 2 2" xfId="42519"/>
    <cellStyle name="Note 7 2 13 2 3" xfId="31065"/>
    <cellStyle name="Note 7 2 13 3" xfId="15478"/>
    <cellStyle name="Note 7 2 13 3 2" xfId="35546"/>
    <cellStyle name="Note 7 2 13 4" xfId="31064"/>
    <cellStyle name="Note 7 2 14" xfId="10883"/>
    <cellStyle name="Note 7 2 14 2" xfId="10884"/>
    <cellStyle name="Note 7 2 14 2 2" xfId="22452"/>
    <cellStyle name="Note 7 2 14 2 2 2" xfId="42520"/>
    <cellStyle name="Note 7 2 14 2 3" xfId="31067"/>
    <cellStyle name="Note 7 2 14 3" xfId="17153"/>
    <cellStyle name="Note 7 2 14 3 2" xfId="37221"/>
    <cellStyle name="Note 7 2 14 4" xfId="31066"/>
    <cellStyle name="Note 7 2 15" xfId="10885"/>
    <cellStyle name="Note 7 2 15 2" xfId="10886"/>
    <cellStyle name="Note 7 2 15 2 2" xfId="22453"/>
    <cellStyle name="Note 7 2 15 2 2 2" xfId="42521"/>
    <cellStyle name="Note 7 2 15 2 3" xfId="31069"/>
    <cellStyle name="Note 7 2 15 3" xfId="17329"/>
    <cellStyle name="Note 7 2 15 3 2" xfId="37397"/>
    <cellStyle name="Note 7 2 15 4" xfId="31068"/>
    <cellStyle name="Note 7 2 16" xfId="10887"/>
    <cellStyle name="Note 7 2 16 2" xfId="10888"/>
    <cellStyle name="Note 7 2 16 2 2" xfId="22454"/>
    <cellStyle name="Note 7 2 16 2 2 2" xfId="42522"/>
    <cellStyle name="Note 7 2 16 2 3" xfId="31071"/>
    <cellStyle name="Note 7 2 16 3" xfId="16212"/>
    <cellStyle name="Note 7 2 16 3 2" xfId="36280"/>
    <cellStyle name="Note 7 2 16 4" xfId="31070"/>
    <cellStyle name="Note 7 2 17" xfId="10889"/>
    <cellStyle name="Note 7 2 17 2" xfId="10890"/>
    <cellStyle name="Note 7 2 17 2 2" xfId="22455"/>
    <cellStyle name="Note 7 2 17 2 2 2" xfId="42523"/>
    <cellStyle name="Note 7 2 17 2 3" xfId="31073"/>
    <cellStyle name="Note 7 2 17 3" xfId="15827"/>
    <cellStyle name="Note 7 2 17 3 2" xfId="35895"/>
    <cellStyle name="Note 7 2 17 4" xfId="31072"/>
    <cellStyle name="Note 7 2 18" xfId="10891"/>
    <cellStyle name="Note 7 2 18 2" xfId="10892"/>
    <cellStyle name="Note 7 2 18 2 2" xfId="22456"/>
    <cellStyle name="Note 7 2 18 2 2 2" xfId="42524"/>
    <cellStyle name="Note 7 2 18 2 3" xfId="31075"/>
    <cellStyle name="Note 7 2 18 3" xfId="17718"/>
    <cellStyle name="Note 7 2 18 3 2" xfId="37786"/>
    <cellStyle name="Note 7 2 18 4" xfId="31074"/>
    <cellStyle name="Note 7 2 19" xfId="10893"/>
    <cellStyle name="Note 7 2 19 2" xfId="10894"/>
    <cellStyle name="Note 7 2 19 2 2" xfId="22457"/>
    <cellStyle name="Note 7 2 19 2 2 2" xfId="42525"/>
    <cellStyle name="Note 7 2 19 2 3" xfId="31077"/>
    <cellStyle name="Note 7 2 19 3" xfId="15894"/>
    <cellStyle name="Note 7 2 19 3 2" xfId="35962"/>
    <cellStyle name="Note 7 2 19 4" xfId="31076"/>
    <cellStyle name="Note 7 2 2" xfId="10895"/>
    <cellStyle name="Note 7 2 2 10" xfId="10896"/>
    <cellStyle name="Note 7 2 2 10 2" xfId="10897"/>
    <cellStyle name="Note 7 2 2 10 2 2" xfId="22459"/>
    <cellStyle name="Note 7 2 2 10 2 2 2" xfId="42527"/>
    <cellStyle name="Note 7 2 2 10 2 3" xfId="31080"/>
    <cellStyle name="Note 7 2 2 10 3" xfId="16976"/>
    <cellStyle name="Note 7 2 2 10 3 2" xfId="37044"/>
    <cellStyle name="Note 7 2 2 10 4" xfId="31079"/>
    <cellStyle name="Note 7 2 2 11" xfId="10898"/>
    <cellStyle name="Note 7 2 2 11 2" xfId="10899"/>
    <cellStyle name="Note 7 2 2 11 2 2" xfId="22460"/>
    <cellStyle name="Note 7 2 2 11 2 2 2" xfId="42528"/>
    <cellStyle name="Note 7 2 2 11 2 3" xfId="31082"/>
    <cellStyle name="Note 7 2 2 11 3" xfId="17121"/>
    <cellStyle name="Note 7 2 2 11 3 2" xfId="37189"/>
    <cellStyle name="Note 7 2 2 11 4" xfId="31081"/>
    <cellStyle name="Note 7 2 2 12" xfId="10900"/>
    <cellStyle name="Note 7 2 2 12 2" xfId="10901"/>
    <cellStyle name="Note 7 2 2 12 2 2" xfId="22461"/>
    <cellStyle name="Note 7 2 2 12 2 2 2" xfId="42529"/>
    <cellStyle name="Note 7 2 2 12 2 3" xfId="31084"/>
    <cellStyle name="Note 7 2 2 12 3" xfId="17293"/>
    <cellStyle name="Note 7 2 2 12 3 2" xfId="37361"/>
    <cellStyle name="Note 7 2 2 12 4" xfId="31083"/>
    <cellStyle name="Note 7 2 2 13" xfId="10902"/>
    <cellStyle name="Note 7 2 2 13 2" xfId="10903"/>
    <cellStyle name="Note 7 2 2 13 2 2" xfId="22462"/>
    <cellStyle name="Note 7 2 2 13 2 2 2" xfId="42530"/>
    <cellStyle name="Note 7 2 2 13 2 3" xfId="31086"/>
    <cellStyle name="Note 7 2 2 13 3" xfId="17457"/>
    <cellStyle name="Note 7 2 2 13 3 2" xfId="37525"/>
    <cellStyle name="Note 7 2 2 13 4" xfId="31085"/>
    <cellStyle name="Note 7 2 2 14" xfId="10904"/>
    <cellStyle name="Note 7 2 2 14 2" xfId="10905"/>
    <cellStyle name="Note 7 2 2 14 2 2" xfId="22463"/>
    <cellStyle name="Note 7 2 2 14 2 2 2" xfId="42531"/>
    <cellStyle name="Note 7 2 2 14 2 3" xfId="31088"/>
    <cellStyle name="Note 7 2 2 14 3" xfId="17583"/>
    <cellStyle name="Note 7 2 2 14 3 2" xfId="37651"/>
    <cellStyle name="Note 7 2 2 14 4" xfId="31087"/>
    <cellStyle name="Note 7 2 2 15" xfId="10906"/>
    <cellStyle name="Note 7 2 2 15 2" xfId="10907"/>
    <cellStyle name="Note 7 2 2 15 2 2" xfId="22464"/>
    <cellStyle name="Note 7 2 2 15 2 2 2" xfId="42532"/>
    <cellStyle name="Note 7 2 2 15 2 3" xfId="31090"/>
    <cellStyle name="Note 7 2 2 15 3" xfId="16153"/>
    <cellStyle name="Note 7 2 2 15 3 2" xfId="36221"/>
    <cellStyle name="Note 7 2 2 15 4" xfId="31089"/>
    <cellStyle name="Note 7 2 2 16" xfId="10908"/>
    <cellStyle name="Note 7 2 2 16 2" xfId="10909"/>
    <cellStyle name="Note 7 2 2 16 2 2" xfId="22465"/>
    <cellStyle name="Note 7 2 2 16 2 2 2" xfId="42533"/>
    <cellStyle name="Note 7 2 2 16 2 3" xfId="31092"/>
    <cellStyle name="Note 7 2 2 16 3" xfId="17833"/>
    <cellStyle name="Note 7 2 2 16 3 2" xfId="37901"/>
    <cellStyle name="Note 7 2 2 16 4" xfId="31091"/>
    <cellStyle name="Note 7 2 2 17" xfId="10910"/>
    <cellStyle name="Note 7 2 2 17 2" xfId="10911"/>
    <cellStyle name="Note 7 2 2 17 2 2" xfId="22466"/>
    <cellStyle name="Note 7 2 2 17 2 2 2" xfId="42534"/>
    <cellStyle name="Note 7 2 2 17 2 3" xfId="31094"/>
    <cellStyle name="Note 7 2 2 17 3" xfId="17971"/>
    <cellStyle name="Note 7 2 2 17 3 2" xfId="38039"/>
    <cellStyle name="Note 7 2 2 17 4" xfId="31093"/>
    <cellStyle name="Note 7 2 2 18" xfId="10912"/>
    <cellStyle name="Note 7 2 2 18 2" xfId="10913"/>
    <cellStyle name="Note 7 2 2 18 2 2" xfId="22467"/>
    <cellStyle name="Note 7 2 2 18 2 2 2" xfId="42535"/>
    <cellStyle name="Note 7 2 2 18 2 3" xfId="31096"/>
    <cellStyle name="Note 7 2 2 18 3" xfId="18110"/>
    <cellStyle name="Note 7 2 2 18 3 2" xfId="38178"/>
    <cellStyle name="Note 7 2 2 18 4" xfId="31095"/>
    <cellStyle name="Note 7 2 2 19" xfId="10914"/>
    <cellStyle name="Note 7 2 2 19 2" xfId="10915"/>
    <cellStyle name="Note 7 2 2 19 2 2" xfId="22468"/>
    <cellStyle name="Note 7 2 2 19 2 2 2" xfId="42536"/>
    <cellStyle name="Note 7 2 2 19 2 3" xfId="31098"/>
    <cellStyle name="Note 7 2 2 19 3" xfId="18228"/>
    <cellStyle name="Note 7 2 2 19 3 2" xfId="38296"/>
    <cellStyle name="Note 7 2 2 19 4" xfId="31097"/>
    <cellStyle name="Note 7 2 2 2" xfId="10916"/>
    <cellStyle name="Note 7 2 2 2 2" xfId="10917"/>
    <cellStyle name="Note 7 2 2 2 2 2" xfId="22469"/>
    <cellStyle name="Note 7 2 2 2 2 2 2" xfId="42537"/>
    <cellStyle name="Note 7 2 2 2 2 3" xfId="31100"/>
    <cellStyle name="Note 7 2 2 2 3" xfId="14696"/>
    <cellStyle name="Note 7 2 2 2 3 2" xfId="34764"/>
    <cellStyle name="Note 7 2 2 2 4" xfId="31099"/>
    <cellStyle name="Note 7 2 2 20" xfId="10918"/>
    <cellStyle name="Note 7 2 2 20 2" xfId="10919"/>
    <cellStyle name="Note 7 2 2 20 2 2" xfId="22470"/>
    <cellStyle name="Note 7 2 2 20 2 2 2" xfId="42538"/>
    <cellStyle name="Note 7 2 2 20 2 3" xfId="31102"/>
    <cellStyle name="Note 7 2 2 20 3" xfId="15688"/>
    <cellStyle name="Note 7 2 2 20 3 2" xfId="35756"/>
    <cellStyle name="Note 7 2 2 20 4" xfId="31101"/>
    <cellStyle name="Note 7 2 2 21" xfId="10920"/>
    <cellStyle name="Note 7 2 2 21 2" xfId="10921"/>
    <cellStyle name="Note 7 2 2 21 2 2" xfId="22471"/>
    <cellStyle name="Note 7 2 2 21 2 2 2" xfId="42539"/>
    <cellStyle name="Note 7 2 2 21 2 3" xfId="31104"/>
    <cellStyle name="Note 7 2 2 21 3" xfId="18433"/>
    <cellStyle name="Note 7 2 2 21 3 2" xfId="38501"/>
    <cellStyle name="Note 7 2 2 21 4" xfId="31103"/>
    <cellStyle name="Note 7 2 2 22" xfId="10922"/>
    <cellStyle name="Note 7 2 2 22 2" xfId="10923"/>
    <cellStyle name="Note 7 2 2 22 2 2" xfId="22472"/>
    <cellStyle name="Note 7 2 2 22 2 2 2" xfId="42540"/>
    <cellStyle name="Note 7 2 2 22 2 3" xfId="31106"/>
    <cellStyle name="Note 7 2 2 22 3" xfId="18566"/>
    <cellStyle name="Note 7 2 2 22 3 2" xfId="38634"/>
    <cellStyle name="Note 7 2 2 22 4" xfId="31105"/>
    <cellStyle name="Note 7 2 2 23" xfId="10924"/>
    <cellStyle name="Note 7 2 2 23 2" xfId="10925"/>
    <cellStyle name="Note 7 2 2 23 2 2" xfId="22473"/>
    <cellStyle name="Note 7 2 2 23 2 2 2" xfId="42541"/>
    <cellStyle name="Note 7 2 2 23 2 3" xfId="31108"/>
    <cellStyle name="Note 7 2 2 23 3" xfId="18677"/>
    <cellStyle name="Note 7 2 2 23 3 2" xfId="38745"/>
    <cellStyle name="Note 7 2 2 23 4" xfId="31107"/>
    <cellStyle name="Note 7 2 2 24" xfId="10926"/>
    <cellStyle name="Note 7 2 2 24 2" xfId="10927"/>
    <cellStyle name="Note 7 2 2 24 2 2" xfId="22474"/>
    <cellStyle name="Note 7 2 2 24 2 2 2" xfId="42542"/>
    <cellStyle name="Note 7 2 2 24 2 3" xfId="31110"/>
    <cellStyle name="Note 7 2 2 24 3" xfId="18777"/>
    <cellStyle name="Note 7 2 2 24 3 2" xfId="38845"/>
    <cellStyle name="Note 7 2 2 24 4" xfId="31109"/>
    <cellStyle name="Note 7 2 2 25" xfId="10928"/>
    <cellStyle name="Note 7 2 2 25 2" xfId="10929"/>
    <cellStyle name="Note 7 2 2 25 2 2" xfId="22475"/>
    <cellStyle name="Note 7 2 2 25 2 2 2" xfId="42543"/>
    <cellStyle name="Note 7 2 2 25 2 3" xfId="31112"/>
    <cellStyle name="Note 7 2 2 25 3" xfId="18877"/>
    <cellStyle name="Note 7 2 2 25 3 2" xfId="38945"/>
    <cellStyle name="Note 7 2 2 25 4" xfId="31111"/>
    <cellStyle name="Note 7 2 2 26" xfId="10930"/>
    <cellStyle name="Note 7 2 2 26 2" xfId="22458"/>
    <cellStyle name="Note 7 2 2 26 2 2" xfId="42526"/>
    <cellStyle name="Note 7 2 2 26 3" xfId="31113"/>
    <cellStyle name="Note 7 2 2 27" xfId="14184"/>
    <cellStyle name="Note 7 2 2 27 2" xfId="34252"/>
    <cellStyle name="Note 7 2 2 28" xfId="31078"/>
    <cellStyle name="Note 7 2 2 3" xfId="10931"/>
    <cellStyle name="Note 7 2 2 3 2" xfId="10932"/>
    <cellStyle name="Note 7 2 2 3 2 2" xfId="22476"/>
    <cellStyle name="Note 7 2 2 3 2 2 2" xfId="42544"/>
    <cellStyle name="Note 7 2 2 3 2 3" xfId="31115"/>
    <cellStyle name="Note 7 2 2 3 3" xfId="14820"/>
    <cellStyle name="Note 7 2 2 3 3 2" xfId="34888"/>
    <cellStyle name="Note 7 2 2 3 4" xfId="31114"/>
    <cellStyle name="Note 7 2 2 4" xfId="10933"/>
    <cellStyle name="Note 7 2 2 4 2" xfId="10934"/>
    <cellStyle name="Note 7 2 2 4 2 2" xfId="22477"/>
    <cellStyle name="Note 7 2 2 4 2 2 2" xfId="42545"/>
    <cellStyle name="Note 7 2 2 4 2 3" xfId="31117"/>
    <cellStyle name="Note 7 2 2 4 3" xfId="14945"/>
    <cellStyle name="Note 7 2 2 4 3 2" xfId="35013"/>
    <cellStyle name="Note 7 2 2 4 4" xfId="31116"/>
    <cellStyle name="Note 7 2 2 5" xfId="10935"/>
    <cellStyle name="Note 7 2 2 5 2" xfId="10936"/>
    <cellStyle name="Note 7 2 2 5 2 2" xfId="22478"/>
    <cellStyle name="Note 7 2 2 5 2 2 2" xfId="42546"/>
    <cellStyle name="Note 7 2 2 5 2 3" xfId="31119"/>
    <cellStyle name="Note 7 2 2 5 3" xfId="15114"/>
    <cellStyle name="Note 7 2 2 5 3 2" xfId="35182"/>
    <cellStyle name="Note 7 2 2 5 4" xfId="31118"/>
    <cellStyle name="Note 7 2 2 6" xfId="10937"/>
    <cellStyle name="Note 7 2 2 6 2" xfId="10938"/>
    <cellStyle name="Note 7 2 2 6 2 2" xfId="22479"/>
    <cellStyle name="Note 7 2 2 6 2 2 2" xfId="42547"/>
    <cellStyle name="Note 7 2 2 6 2 3" xfId="31121"/>
    <cellStyle name="Note 7 2 2 6 3" xfId="14495"/>
    <cellStyle name="Note 7 2 2 6 3 2" xfId="34563"/>
    <cellStyle name="Note 7 2 2 6 4" xfId="31120"/>
    <cellStyle name="Note 7 2 2 7" xfId="10939"/>
    <cellStyle name="Note 7 2 2 7 2" xfId="10940"/>
    <cellStyle name="Note 7 2 2 7 2 2" xfId="22480"/>
    <cellStyle name="Note 7 2 2 7 2 2 2" xfId="42548"/>
    <cellStyle name="Note 7 2 2 7 2 3" xfId="31123"/>
    <cellStyle name="Note 7 2 2 7 3" xfId="15246"/>
    <cellStyle name="Note 7 2 2 7 3 2" xfId="35314"/>
    <cellStyle name="Note 7 2 2 7 4" xfId="31122"/>
    <cellStyle name="Note 7 2 2 8" xfId="10941"/>
    <cellStyle name="Note 7 2 2 8 2" xfId="10942"/>
    <cellStyle name="Note 7 2 2 8 2 2" xfId="22481"/>
    <cellStyle name="Note 7 2 2 8 2 2 2" xfId="42549"/>
    <cellStyle name="Note 7 2 2 8 2 3" xfId="31125"/>
    <cellStyle name="Note 7 2 2 8 3" xfId="16611"/>
    <cellStyle name="Note 7 2 2 8 3 2" xfId="36679"/>
    <cellStyle name="Note 7 2 2 8 4" xfId="31124"/>
    <cellStyle name="Note 7 2 2 9" xfId="10943"/>
    <cellStyle name="Note 7 2 2 9 2" xfId="10944"/>
    <cellStyle name="Note 7 2 2 9 2 2" xfId="22482"/>
    <cellStyle name="Note 7 2 2 9 2 2 2" xfId="42550"/>
    <cellStyle name="Note 7 2 2 9 2 3" xfId="31127"/>
    <cellStyle name="Note 7 2 2 9 3" xfId="16815"/>
    <cellStyle name="Note 7 2 2 9 3 2" xfId="36883"/>
    <cellStyle name="Note 7 2 2 9 4" xfId="31126"/>
    <cellStyle name="Note 7 2 20" xfId="10945"/>
    <cellStyle name="Note 7 2 20 2" xfId="10946"/>
    <cellStyle name="Note 7 2 20 2 2" xfId="22483"/>
    <cellStyle name="Note 7 2 20 2 2 2" xfId="42551"/>
    <cellStyle name="Note 7 2 20 2 3" xfId="31129"/>
    <cellStyle name="Note 7 2 20 3" xfId="18001"/>
    <cellStyle name="Note 7 2 20 3 2" xfId="38069"/>
    <cellStyle name="Note 7 2 20 4" xfId="31128"/>
    <cellStyle name="Note 7 2 21" xfId="10947"/>
    <cellStyle name="Note 7 2 21 2" xfId="10948"/>
    <cellStyle name="Note 7 2 21 2 2" xfId="22484"/>
    <cellStyle name="Note 7 2 21 2 2 2" xfId="42552"/>
    <cellStyle name="Note 7 2 21 2 3" xfId="31131"/>
    <cellStyle name="Note 7 2 21 3" xfId="16274"/>
    <cellStyle name="Note 7 2 21 3 2" xfId="36342"/>
    <cellStyle name="Note 7 2 21 4" xfId="31130"/>
    <cellStyle name="Note 7 2 22" xfId="10949"/>
    <cellStyle name="Note 7 2 22 2" xfId="10950"/>
    <cellStyle name="Note 7 2 22 2 2" xfId="22485"/>
    <cellStyle name="Note 7 2 22 2 2 2" xfId="42553"/>
    <cellStyle name="Note 7 2 22 2 3" xfId="31133"/>
    <cellStyle name="Note 7 2 22 3" xfId="17505"/>
    <cellStyle name="Note 7 2 22 3 2" xfId="37573"/>
    <cellStyle name="Note 7 2 22 4" xfId="31132"/>
    <cellStyle name="Note 7 2 23" xfId="10951"/>
    <cellStyle name="Note 7 2 23 2" xfId="10952"/>
    <cellStyle name="Note 7 2 23 2 2" xfId="22486"/>
    <cellStyle name="Note 7 2 23 2 2 2" xfId="42554"/>
    <cellStyle name="Note 7 2 23 2 3" xfId="31135"/>
    <cellStyle name="Note 7 2 23 3" xfId="15739"/>
    <cellStyle name="Note 7 2 23 3 2" xfId="35807"/>
    <cellStyle name="Note 7 2 23 4" xfId="31134"/>
    <cellStyle name="Note 7 2 24" xfId="10953"/>
    <cellStyle name="Note 7 2 24 2" xfId="10954"/>
    <cellStyle name="Note 7 2 24 2 2" xfId="22487"/>
    <cellStyle name="Note 7 2 24 2 2 2" xfId="42555"/>
    <cellStyle name="Note 7 2 24 2 3" xfId="31137"/>
    <cellStyle name="Note 7 2 24 3" xfId="18461"/>
    <cellStyle name="Note 7 2 24 3 2" xfId="38529"/>
    <cellStyle name="Note 7 2 24 4" xfId="31136"/>
    <cellStyle name="Note 7 2 25" xfId="10955"/>
    <cellStyle name="Note 7 2 25 2" xfId="10956"/>
    <cellStyle name="Note 7 2 25 2 2" xfId="22488"/>
    <cellStyle name="Note 7 2 25 2 2 2" xfId="42556"/>
    <cellStyle name="Note 7 2 25 2 3" xfId="31139"/>
    <cellStyle name="Note 7 2 25 3" xfId="16173"/>
    <cellStyle name="Note 7 2 25 3 2" xfId="36241"/>
    <cellStyle name="Note 7 2 25 4" xfId="31138"/>
    <cellStyle name="Note 7 2 26" xfId="10957"/>
    <cellStyle name="Note 7 2 26 2" xfId="10958"/>
    <cellStyle name="Note 7 2 26 2 2" xfId="22489"/>
    <cellStyle name="Note 7 2 26 2 2 2" xfId="42557"/>
    <cellStyle name="Note 7 2 26 2 3" xfId="31141"/>
    <cellStyle name="Note 7 2 26 3" xfId="17698"/>
    <cellStyle name="Note 7 2 26 3 2" xfId="37766"/>
    <cellStyle name="Note 7 2 26 4" xfId="31140"/>
    <cellStyle name="Note 7 2 27" xfId="10959"/>
    <cellStyle name="Note 7 2 27 2" xfId="10960"/>
    <cellStyle name="Note 7 2 27 2 2" xfId="22490"/>
    <cellStyle name="Note 7 2 27 2 2 2" xfId="42558"/>
    <cellStyle name="Note 7 2 27 2 3" xfId="31143"/>
    <cellStyle name="Note 7 2 27 3" xfId="17606"/>
    <cellStyle name="Note 7 2 27 3 2" xfId="37674"/>
    <cellStyle name="Note 7 2 27 4" xfId="31142"/>
    <cellStyle name="Note 7 2 28" xfId="10961"/>
    <cellStyle name="Note 7 2 28 2" xfId="22447"/>
    <cellStyle name="Note 7 2 28 2 2" xfId="42515"/>
    <cellStyle name="Note 7 2 28 3" xfId="31144"/>
    <cellStyle name="Note 7 2 29" xfId="13927"/>
    <cellStyle name="Note 7 2 29 2" xfId="33995"/>
    <cellStyle name="Note 7 2 3" xfId="10962"/>
    <cellStyle name="Note 7 2 3 2" xfId="10963"/>
    <cellStyle name="Note 7 2 3 2 2" xfId="22491"/>
    <cellStyle name="Note 7 2 3 2 2 2" xfId="42559"/>
    <cellStyle name="Note 7 2 3 2 3" xfId="31146"/>
    <cellStyle name="Note 7 2 3 3" xfId="14502"/>
    <cellStyle name="Note 7 2 3 3 2" xfId="34570"/>
    <cellStyle name="Note 7 2 3 4" xfId="31145"/>
    <cellStyle name="Note 7 2 30" xfId="31057"/>
    <cellStyle name="Note 7 2 4" xfId="10964"/>
    <cellStyle name="Note 7 2 4 2" xfId="10965"/>
    <cellStyle name="Note 7 2 4 2 2" xfId="22492"/>
    <cellStyle name="Note 7 2 4 2 2 2" xfId="42560"/>
    <cellStyle name="Note 7 2 4 2 3" xfId="31148"/>
    <cellStyle name="Note 7 2 4 3" xfId="14553"/>
    <cellStyle name="Note 7 2 4 3 2" xfId="34621"/>
    <cellStyle name="Note 7 2 4 4" xfId="31147"/>
    <cellStyle name="Note 7 2 5" xfId="10966"/>
    <cellStyle name="Note 7 2 5 2" xfId="10967"/>
    <cellStyle name="Note 7 2 5 2 2" xfId="22493"/>
    <cellStyle name="Note 7 2 5 2 2 2" xfId="42561"/>
    <cellStyle name="Note 7 2 5 2 3" xfId="31150"/>
    <cellStyle name="Note 7 2 5 3" xfId="14206"/>
    <cellStyle name="Note 7 2 5 3 2" xfId="34274"/>
    <cellStyle name="Note 7 2 5 4" xfId="31149"/>
    <cellStyle name="Note 7 2 6" xfId="10968"/>
    <cellStyle name="Note 7 2 6 2" xfId="10969"/>
    <cellStyle name="Note 7 2 6 2 2" xfId="22494"/>
    <cellStyle name="Note 7 2 6 2 2 2" xfId="42562"/>
    <cellStyle name="Note 7 2 6 2 3" xfId="31152"/>
    <cellStyle name="Note 7 2 6 3" xfId="14980"/>
    <cellStyle name="Note 7 2 6 3 2" xfId="35048"/>
    <cellStyle name="Note 7 2 6 4" xfId="31151"/>
    <cellStyle name="Note 7 2 7" xfId="10970"/>
    <cellStyle name="Note 7 2 7 2" xfId="10971"/>
    <cellStyle name="Note 7 2 7 2 2" xfId="22495"/>
    <cellStyle name="Note 7 2 7 2 2 2" xfId="42563"/>
    <cellStyle name="Note 7 2 7 2 3" xfId="31154"/>
    <cellStyle name="Note 7 2 7 3" xfId="14362"/>
    <cellStyle name="Note 7 2 7 3 2" xfId="34430"/>
    <cellStyle name="Note 7 2 7 4" xfId="31153"/>
    <cellStyle name="Note 7 2 8" xfId="10972"/>
    <cellStyle name="Note 7 2 8 2" xfId="10973"/>
    <cellStyle name="Note 7 2 8 2 2" xfId="22496"/>
    <cellStyle name="Note 7 2 8 2 2 2" xfId="42564"/>
    <cellStyle name="Note 7 2 8 2 3" xfId="31156"/>
    <cellStyle name="Note 7 2 8 3" xfId="15154"/>
    <cellStyle name="Note 7 2 8 3 2" xfId="35222"/>
    <cellStyle name="Note 7 2 8 4" xfId="31155"/>
    <cellStyle name="Note 7 2 9" xfId="10974"/>
    <cellStyle name="Note 7 2 9 2" xfId="10975"/>
    <cellStyle name="Note 7 2 9 2 2" xfId="22497"/>
    <cellStyle name="Note 7 2 9 2 2 2" xfId="42565"/>
    <cellStyle name="Note 7 2 9 2 3" xfId="31158"/>
    <cellStyle name="Note 7 2 9 3" xfId="15333"/>
    <cellStyle name="Note 7 2 9 3 2" xfId="35401"/>
    <cellStyle name="Note 7 2 9 4" xfId="31157"/>
    <cellStyle name="Note 7 20" xfId="10976"/>
    <cellStyle name="Note 7 20 2" xfId="10977"/>
    <cellStyle name="Note 7 20 2 2" xfId="22498"/>
    <cellStyle name="Note 7 20 2 2 2" xfId="42566"/>
    <cellStyle name="Note 7 20 2 3" xfId="31160"/>
    <cellStyle name="Note 7 20 3" xfId="16339"/>
    <cellStyle name="Note 7 20 3 2" xfId="36407"/>
    <cellStyle name="Note 7 20 4" xfId="31159"/>
    <cellStyle name="Note 7 21" xfId="10978"/>
    <cellStyle name="Note 7 21 2" xfId="10979"/>
    <cellStyle name="Note 7 21 2 2" xfId="22499"/>
    <cellStyle name="Note 7 21 2 2 2" xfId="42567"/>
    <cellStyle name="Note 7 21 2 3" xfId="31162"/>
    <cellStyle name="Note 7 21 3" xfId="17717"/>
    <cellStyle name="Note 7 21 3 2" xfId="37785"/>
    <cellStyle name="Note 7 21 4" xfId="31161"/>
    <cellStyle name="Note 7 22" xfId="10980"/>
    <cellStyle name="Note 7 22 2" xfId="10981"/>
    <cellStyle name="Note 7 22 2 2" xfId="22500"/>
    <cellStyle name="Note 7 22 2 2 2" xfId="42568"/>
    <cellStyle name="Note 7 22 2 3" xfId="31164"/>
    <cellStyle name="Note 7 22 3" xfId="17644"/>
    <cellStyle name="Note 7 22 3 2" xfId="37712"/>
    <cellStyle name="Note 7 22 4" xfId="31163"/>
    <cellStyle name="Note 7 23" xfId="10982"/>
    <cellStyle name="Note 7 23 2" xfId="10983"/>
    <cellStyle name="Note 7 23 2 2" xfId="22501"/>
    <cellStyle name="Note 7 23 2 2 2" xfId="42569"/>
    <cellStyle name="Note 7 23 2 3" xfId="31166"/>
    <cellStyle name="Note 7 23 3" xfId="18000"/>
    <cellStyle name="Note 7 23 3 2" xfId="38068"/>
    <cellStyle name="Note 7 23 4" xfId="31165"/>
    <cellStyle name="Note 7 24" xfId="10984"/>
    <cellStyle name="Note 7 24 2" xfId="10985"/>
    <cellStyle name="Note 7 24 2 2" xfId="22502"/>
    <cellStyle name="Note 7 24 2 2 2" xfId="42570"/>
    <cellStyle name="Note 7 24 2 3" xfId="31168"/>
    <cellStyle name="Note 7 24 3" xfId="15492"/>
    <cellStyle name="Note 7 24 3 2" xfId="35560"/>
    <cellStyle name="Note 7 24 4" xfId="31167"/>
    <cellStyle name="Note 7 25" xfId="10986"/>
    <cellStyle name="Note 7 25 2" xfId="10987"/>
    <cellStyle name="Note 7 25 2 2" xfId="22503"/>
    <cellStyle name="Note 7 25 2 2 2" xfId="42571"/>
    <cellStyle name="Note 7 25 2 3" xfId="31170"/>
    <cellStyle name="Note 7 25 3" xfId="15910"/>
    <cellStyle name="Note 7 25 3 2" xfId="35978"/>
    <cellStyle name="Note 7 25 4" xfId="31169"/>
    <cellStyle name="Note 7 26" xfId="10988"/>
    <cellStyle name="Note 7 26 2" xfId="10989"/>
    <cellStyle name="Note 7 26 2 2" xfId="22504"/>
    <cellStyle name="Note 7 26 2 2 2" xfId="42572"/>
    <cellStyle name="Note 7 26 2 3" xfId="31172"/>
    <cellStyle name="Note 7 26 3" xfId="17010"/>
    <cellStyle name="Note 7 26 3 2" xfId="37078"/>
    <cellStyle name="Note 7 26 4" xfId="31171"/>
    <cellStyle name="Note 7 27" xfId="10990"/>
    <cellStyle name="Note 7 27 2" xfId="10991"/>
    <cellStyle name="Note 7 27 2 2" xfId="22505"/>
    <cellStyle name="Note 7 27 2 2 2" xfId="42573"/>
    <cellStyle name="Note 7 27 2 3" xfId="31174"/>
    <cellStyle name="Note 7 27 3" xfId="18460"/>
    <cellStyle name="Note 7 27 3 2" xfId="38528"/>
    <cellStyle name="Note 7 27 4" xfId="31173"/>
    <cellStyle name="Note 7 28" xfId="10992"/>
    <cellStyle name="Note 7 28 2" xfId="10993"/>
    <cellStyle name="Note 7 28 2 2" xfId="22506"/>
    <cellStyle name="Note 7 28 2 2 2" xfId="42574"/>
    <cellStyle name="Note 7 28 2 3" xfId="31176"/>
    <cellStyle name="Note 7 28 3" xfId="15857"/>
    <cellStyle name="Note 7 28 3 2" xfId="35925"/>
    <cellStyle name="Note 7 28 4" xfId="31175"/>
    <cellStyle name="Note 7 29" xfId="10994"/>
    <cellStyle name="Note 7 29 2" xfId="10995"/>
    <cellStyle name="Note 7 29 2 2" xfId="22507"/>
    <cellStyle name="Note 7 29 2 2 2" xfId="42575"/>
    <cellStyle name="Note 7 29 2 3" xfId="31178"/>
    <cellStyle name="Note 7 29 3" xfId="16869"/>
    <cellStyle name="Note 7 29 3 2" xfId="36937"/>
    <cellStyle name="Note 7 29 4" xfId="31177"/>
    <cellStyle name="Note 7 3" xfId="10996"/>
    <cellStyle name="Note 7 3 10" xfId="10997"/>
    <cellStyle name="Note 7 3 10 2" xfId="10998"/>
    <cellStyle name="Note 7 3 10 2 2" xfId="22509"/>
    <cellStyle name="Note 7 3 10 2 2 2" xfId="42577"/>
    <cellStyle name="Note 7 3 10 2 3" xfId="31181"/>
    <cellStyle name="Note 7 3 10 3" xfId="16477"/>
    <cellStyle name="Note 7 3 10 3 2" xfId="36545"/>
    <cellStyle name="Note 7 3 10 4" xfId="31180"/>
    <cellStyle name="Note 7 3 11" xfId="10999"/>
    <cellStyle name="Note 7 3 11 2" xfId="11000"/>
    <cellStyle name="Note 7 3 11 2 2" xfId="22510"/>
    <cellStyle name="Note 7 3 11 2 2 2" xfId="42578"/>
    <cellStyle name="Note 7 3 11 2 3" xfId="31183"/>
    <cellStyle name="Note 7 3 11 3" xfId="16670"/>
    <cellStyle name="Note 7 3 11 3 2" xfId="36738"/>
    <cellStyle name="Note 7 3 11 4" xfId="31182"/>
    <cellStyle name="Note 7 3 12" xfId="11001"/>
    <cellStyle name="Note 7 3 12 2" xfId="11002"/>
    <cellStyle name="Note 7 3 12 2 2" xfId="22511"/>
    <cellStyle name="Note 7 3 12 2 2 2" xfId="42579"/>
    <cellStyle name="Note 7 3 12 2 3" xfId="31185"/>
    <cellStyle name="Note 7 3 12 3" xfId="16849"/>
    <cellStyle name="Note 7 3 12 3 2" xfId="36917"/>
    <cellStyle name="Note 7 3 12 4" xfId="31184"/>
    <cellStyle name="Note 7 3 13" xfId="11003"/>
    <cellStyle name="Note 7 3 13 2" xfId="11004"/>
    <cellStyle name="Note 7 3 13 2 2" xfId="22512"/>
    <cellStyle name="Note 7 3 13 2 2 2" xfId="42580"/>
    <cellStyle name="Note 7 3 13 2 3" xfId="31187"/>
    <cellStyle name="Note 7 3 13 3" xfId="15703"/>
    <cellStyle name="Note 7 3 13 3 2" xfId="35771"/>
    <cellStyle name="Note 7 3 13 4" xfId="31186"/>
    <cellStyle name="Note 7 3 14" xfId="11005"/>
    <cellStyle name="Note 7 3 14 2" xfId="11006"/>
    <cellStyle name="Note 7 3 14 2 2" xfId="22513"/>
    <cellStyle name="Note 7 3 14 2 2 2" xfId="42581"/>
    <cellStyle name="Note 7 3 14 2 3" xfId="31189"/>
    <cellStyle name="Note 7 3 14 3" xfId="17154"/>
    <cellStyle name="Note 7 3 14 3 2" xfId="37222"/>
    <cellStyle name="Note 7 3 14 4" xfId="31188"/>
    <cellStyle name="Note 7 3 15" xfId="11007"/>
    <cellStyle name="Note 7 3 15 2" xfId="11008"/>
    <cellStyle name="Note 7 3 15 2 2" xfId="22514"/>
    <cellStyle name="Note 7 3 15 2 2 2" xfId="42582"/>
    <cellStyle name="Note 7 3 15 2 3" xfId="31191"/>
    <cellStyle name="Note 7 3 15 3" xfId="17330"/>
    <cellStyle name="Note 7 3 15 3 2" xfId="37398"/>
    <cellStyle name="Note 7 3 15 4" xfId="31190"/>
    <cellStyle name="Note 7 3 16" xfId="11009"/>
    <cellStyle name="Note 7 3 16 2" xfId="11010"/>
    <cellStyle name="Note 7 3 16 2 2" xfId="22515"/>
    <cellStyle name="Note 7 3 16 2 2 2" xfId="42583"/>
    <cellStyle name="Note 7 3 16 2 3" xfId="31193"/>
    <cellStyle name="Note 7 3 16 3" xfId="15667"/>
    <cellStyle name="Note 7 3 16 3 2" xfId="35735"/>
    <cellStyle name="Note 7 3 16 4" xfId="31192"/>
    <cellStyle name="Note 7 3 17" xfId="11011"/>
    <cellStyle name="Note 7 3 17 2" xfId="11012"/>
    <cellStyle name="Note 7 3 17 2 2" xfId="22516"/>
    <cellStyle name="Note 7 3 17 2 2 2" xfId="42584"/>
    <cellStyle name="Note 7 3 17 2 3" xfId="31195"/>
    <cellStyle name="Note 7 3 17 3" xfId="15826"/>
    <cellStyle name="Note 7 3 17 3 2" xfId="35894"/>
    <cellStyle name="Note 7 3 17 4" xfId="31194"/>
    <cellStyle name="Note 7 3 18" xfId="11013"/>
    <cellStyle name="Note 7 3 18 2" xfId="11014"/>
    <cellStyle name="Note 7 3 18 2 2" xfId="22517"/>
    <cellStyle name="Note 7 3 18 2 2 2" xfId="42585"/>
    <cellStyle name="Note 7 3 18 2 3" xfId="31197"/>
    <cellStyle name="Note 7 3 18 3" xfId="17719"/>
    <cellStyle name="Note 7 3 18 3 2" xfId="37787"/>
    <cellStyle name="Note 7 3 18 4" xfId="31196"/>
    <cellStyle name="Note 7 3 19" xfId="11015"/>
    <cellStyle name="Note 7 3 19 2" xfId="11016"/>
    <cellStyle name="Note 7 3 19 2 2" xfId="22518"/>
    <cellStyle name="Note 7 3 19 2 2 2" xfId="42586"/>
    <cellStyle name="Note 7 3 19 2 3" xfId="31199"/>
    <cellStyle name="Note 7 3 19 3" xfId="16073"/>
    <cellStyle name="Note 7 3 19 3 2" xfId="36141"/>
    <cellStyle name="Note 7 3 19 4" xfId="31198"/>
    <cellStyle name="Note 7 3 2" xfId="11017"/>
    <cellStyle name="Note 7 3 2 10" xfId="11018"/>
    <cellStyle name="Note 7 3 2 10 2" xfId="11019"/>
    <cellStyle name="Note 7 3 2 10 2 2" xfId="22520"/>
    <cellStyle name="Note 7 3 2 10 2 2 2" xfId="42588"/>
    <cellStyle name="Note 7 3 2 10 2 3" xfId="31202"/>
    <cellStyle name="Note 7 3 2 10 3" xfId="16977"/>
    <cellStyle name="Note 7 3 2 10 3 2" xfId="37045"/>
    <cellStyle name="Note 7 3 2 10 4" xfId="31201"/>
    <cellStyle name="Note 7 3 2 11" xfId="11020"/>
    <cellStyle name="Note 7 3 2 11 2" xfId="11021"/>
    <cellStyle name="Note 7 3 2 11 2 2" xfId="22521"/>
    <cellStyle name="Note 7 3 2 11 2 2 2" xfId="42589"/>
    <cellStyle name="Note 7 3 2 11 2 3" xfId="31204"/>
    <cellStyle name="Note 7 3 2 11 3" xfId="17122"/>
    <cellStyle name="Note 7 3 2 11 3 2" xfId="37190"/>
    <cellStyle name="Note 7 3 2 11 4" xfId="31203"/>
    <cellStyle name="Note 7 3 2 12" xfId="11022"/>
    <cellStyle name="Note 7 3 2 12 2" xfId="11023"/>
    <cellStyle name="Note 7 3 2 12 2 2" xfId="22522"/>
    <cellStyle name="Note 7 3 2 12 2 2 2" xfId="42590"/>
    <cellStyle name="Note 7 3 2 12 2 3" xfId="31206"/>
    <cellStyle name="Note 7 3 2 12 3" xfId="17294"/>
    <cellStyle name="Note 7 3 2 12 3 2" xfId="37362"/>
    <cellStyle name="Note 7 3 2 12 4" xfId="31205"/>
    <cellStyle name="Note 7 3 2 13" xfId="11024"/>
    <cellStyle name="Note 7 3 2 13 2" xfId="11025"/>
    <cellStyle name="Note 7 3 2 13 2 2" xfId="22523"/>
    <cellStyle name="Note 7 3 2 13 2 2 2" xfId="42591"/>
    <cellStyle name="Note 7 3 2 13 2 3" xfId="31208"/>
    <cellStyle name="Note 7 3 2 13 3" xfId="17458"/>
    <cellStyle name="Note 7 3 2 13 3 2" xfId="37526"/>
    <cellStyle name="Note 7 3 2 13 4" xfId="31207"/>
    <cellStyle name="Note 7 3 2 14" xfId="11026"/>
    <cellStyle name="Note 7 3 2 14 2" xfId="11027"/>
    <cellStyle name="Note 7 3 2 14 2 2" xfId="22524"/>
    <cellStyle name="Note 7 3 2 14 2 2 2" xfId="42592"/>
    <cellStyle name="Note 7 3 2 14 2 3" xfId="31210"/>
    <cellStyle name="Note 7 3 2 14 3" xfId="17584"/>
    <cellStyle name="Note 7 3 2 14 3 2" xfId="37652"/>
    <cellStyle name="Note 7 3 2 14 4" xfId="31209"/>
    <cellStyle name="Note 7 3 2 15" xfId="11028"/>
    <cellStyle name="Note 7 3 2 15 2" xfId="11029"/>
    <cellStyle name="Note 7 3 2 15 2 2" xfId="22525"/>
    <cellStyle name="Note 7 3 2 15 2 2 2" xfId="42593"/>
    <cellStyle name="Note 7 3 2 15 2 3" xfId="31212"/>
    <cellStyle name="Note 7 3 2 15 3" xfId="15614"/>
    <cellStyle name="Note 7 3 2 15 3 2" xfId="35682"/>
    <cellStyle name="Note 7 3 2 15 4" xfId="31211"/>
    <cellStyle name="Note 7 3 2 16" xfId="11030"/>
    <cellStyle name="Note 7 3 2 16 2" xfId="11031"/>
    <cellStyle name="Note 7 3 2 16 2 2" xfId="22526"/>
    <cellStyle name="Note 7 3 2 16 2 2 2" xfId="42594"/>
    <cellStyle name="Note 7 3 2 16 2 3" xfId="31214"/>
    <cellStyle name="Note 7 3 2 16 3" xfId="17834"/>
    <cellStyle name="Note 7 3 2 16 3 2" xfId="37902"/>
    <cellStyle name="Note 7 3 2 16 4" xfId="31213"/>
    <cellStyle name="Note 7 3 2 17" xfId="11032"/>
    <cellStyle name="Note 7 3 2 17 2" xfId="11033"/>
    <cellStyle name="Note 7 3 2 17 2 2" xfId="22527"/>
    <cellStyle name="Note 7 3 2 17 2 2 2" xfId="42595"/>
    <cellStyle name="Note 7 3 2 17 2 3" xfId="31216"/>
    <cellStyle name="Note 7 3 2 17 3" xfId="17972"/>
    <cellStyle name="Note 7 3 2 17 3 2" xfId="38040"/>
    <cellStyle name="Note 7 3 2 17 4" xfId="31215"/>
    <cellStyle name="Note 7 3 2 18" xfId="11034"/>
    <cellStyle name="Note 7 3 2 18 2" xfId="11035"/>
    <cellStyle name="Note 7 3 2 18 2 2" xfId="22528"/>
    <cellStyle name="Note 7 3 2 18 2 2 2" xfId="42596"/>
    <cellStyle name="Note 7 3 2 18 2 3" xfId="31218"/>
    <cellStyle name="Note 7 3 2 18 3" xfId="18111"/>
    <cellStyle name="Note 7 3 2 18 3 2" xfId="38179"/>
    <cellStyle name="Note 7 3 2 18 4" xfId="31217"/>
    <cellStyle name="Note 7 3 2 19" xfId="11036"/>
    <cellStyle name="Note 7 3 2 19 2" xfId="11037"/>
    <cellStyle name="Note 7 3 2 19 2 2" xfId="22529"/>
    <cellStyle name="Note 7 3 2 19 2 2 2" xfId="42597"/>
    <cellStyle name="Note 7 3 2 19 2 3" xfId="31220"/>
    <cellStyle name="Note 7 3 2 19 3" xfId="18229"/>
    <cellStyle name="Note 7 3 2 19 3 2" xfId="38297"/>
    <cellStyle name="Note 7 3 2 19 4" xfId="31219"/>
    <cellStyle name="Note 7 3 2 2" xfId="11038"/>
    <cellStyle name="Note 7 3 2 2 2" xfId="11039"/>
    <cellStyle name="Note 7 3 2 2 2 2" xfId="22530"/>
    <cellStyle name="Note 7 3 2 2 2 2 2" xfId="42598"/>
    <cellStyle name="Note 7 3 2 2 2 3" xfId="31222"/>
    <cellStyle name="Note 7 3 2 2 3" xfId="14697"/>
    <cellStyle name="Note 7 3 2 2 3 2" xfId="34765"/>
    <cellStyle name="Note 7 3 2 2 4" xfId="31221"/>
    <cellStyle name="Note 7 3 2 20" xfId="11040"/>
    <cellStyle name="Note 7 3 2 20 2" xfId="11041"/>
    <cellStyle name="Note 7 3 2 20 2 2" xfId="22531"/>
    <cellStyle name="Note 7 3 2 20 2 2 2" xfId="42599"/>
    <cellStyle name="Note 7 3 2 20 2 3" xfId="31224"/>
    <cellStyle name="Note 7 3 2 20 3" xfId="15416"/>
    <cellStyle name="Note 7 3 2 20 3 2" xfId="35484"/>
    <cellStyle name="Note 7 3 2 20 4" xfId="31223"/>
    <cellStyle name="Note 7 3 2 21" xfId="11042"/>
    <cellStyle name="Note 7 3 2 21 2" xfId="11043"/>
    <cellStyle name="Note 7 3 2 21 2 2" xfId="22532"/>
    <cellStyle name="Note 7 3 2 21 2 2 2" xfId="42600"/>
    <cellStyle name="Note 7 3 2 21 2 3" xfId="31226"/>
    <cellStyle name="Note 7 3 2 21 3" xfId="18434"/>
    <cellStyle name="Note 7 3 2 21 3 2" xfId="38502"/>
    <cellStyle name="Note 7 3 2 21 4" xfId="31225"/>
    <cellStyle name="Note 7 3 2 22" xfId="11044"/>
    <cellStyle name="Note 7 3 2 22 2" xfId="11045"/>
    <cellStyle name="Note 7 3 2 22 2 2" xfId="22533"/>
    <cellStyle name="Note 7 3 2 22 2 2 2" xfId="42601"/>
    <cellStyle name="Note 7 3 2 22 2 3" xfId="31228"/>
    <cellStyle name="Note 7 3 2 22 3" xfId="18567"/>
    <cellStyle name="Note 7 3 2 22 3 2" xfId="38635"/>
    <cellStyle name="Note 7 3 2 22 4" xfId="31227"/>
    <cellStyle name="Note 7 3 2 23" xfId="11046"/>
    <cellStyle name="Note 7 3 2 23 2" xfId="11047"/>
    <cellStyle name="Note 7 3 2 23 2 2" xfId="22534"/>
    <cellStyle name="Note 7 3 2 23 2 2 2" xfId="42602"/>
    <cellStyle name="Note 7 3 2 23 2 3" xfId="31230"/>
    <cellStyle name="Note 7 3 2 23 3" xfId="18678"/>
    <cellStyle name="Note 7 3 2 23 3 2" xfId="38746"/>
    <cellStyle name="Note 7 3 2 23 4" xfId="31229"/>
    <cellStyle name="Note 7 3 2 24" xfId="11048"/>
    <cellStyle name="Note 7 3 2 24 2" xfId="11049"/>
    <cellStyle name="Note 7 3 2 24 2 2" xfId="22535"/>
    <cellStyle name="Note 7 3 2 24 2 2 2" xfId="42603"/>
    <cellStyle name="Note 7 3 2 24 2 3" xfId="31232"/>
    <cellStyle name="Note 7 3 2 24 3" xfId="18778"/>
    <cellStyle name="Note 7 3 2 24 3 2" xfId="38846"/>
    <cellStyle name="Note 7 3 2 24 4" xfId="31231"/>
    <cellStyle name="Note 7 3 2 25" xfId="11050"/>
    <cellStyle name="Note 7 3 2 25 2" xfId="11051"/>
    <cellStyle name="Note 7 3 2 25 2 2" xfId="22536"/>
    <cellStyle name="Note 7 3 2 25 2 2 2" xfId="42604"/>
    <cellStyle name="Note 7 3 2 25 2 3" xfId="31234"/>
    <cellStyle name="Note 7 3 2 25 3" xfId="18878"/>
    <cellStyle name="Note 7 3 2 25 3 2" xfId="38946"/>
    <cellStyle name="Note 7 3 2 25 4" xfId="31233"/>
    <cellStyle name="Note 7 3 2 26" xfId="11052"/>
    <cellStyle name="Note 7 3 2 26 2" xfId="22519"/>
    <cellStyle name="Note 7 3 2 26 2 2" xfId="42587"/>
    <cellStyle name="Note 7 3 2 26 3" xfId="31235"/>
    <cellStyle name="Note 7 3 2 27" xfId="14525"/>
    <cellStyle name="Note 7 3 2 27 2" xfId="34593"/>
    <cellStyle name="Note 7 3 2 28" xfId="31200"/>
    <cellStyle name="Note 7 3 2 3" xfId="11053"/>
    <cellStyle name="Note 7 3 2 3 2" xfId="11054"/>
    <cellStyle name="Note 7 3 2 3 2 2" xfId="22537"/>
    <cellStyle name="Note 7 3 2 3 2 2 2" xfId="42605"/>
    <cellStyle name="Note 7 3 2 3 2 3" xfId="31237"/>
    <cellStyle name="Note 7 3 2 3 3" xfId="14821"/>
    <cellStyle name="Note 7 3 2 3 3 2" xfId="34889"/>
    <cellStyle name="Note 7 3 2 3 4" xfId="31236"/>
    <cellStyle name="Note 7 3 2 4" xfId="11055"/>
    <cellStyle name="Note 7 3 2 4 2" xfId="11056"/>
    <cellStyle name="Note 7 3 2 4 2 2" xfId="22538"/>
    <cellStyle name="Note 7 3 2 4 2 2 2" xfId="42606"/>
    <cellStyle name="Note 7 3 2 4 2 3" xfId="31239"/>
    <cellStyle name="Note 7 3 2 4 3" xfId="14946"/>
    <cellStyle name="Note 7 3 2 4 3 2" xfId="35014"/>
    <cellStyle name="Note 7 3 2 4 4" xfId="31238"/>
    <cellStyle name="Note 7 3 2 5" xfId="11057"/>
    <cellStyle name="Note 7 3 2 5 2" xfId="11058"/>
    <cellStyle name="Note 7 3 2 5 2 2" xfId="22539"/>
    <cellStyle name="Note 7 3 2 5 2 2 2" xfId="42607"/>
    <cellStyle name="Note 7 3 2 5 2 3" xfId="31241"/>
    <cellStyle name="Note 7 3 2 5 3" xfId="15115"/>
    <cellStyle name="Note 7 3 2 5 3 2" xfId="35183"/>
    <cellStyle name="Note 7 3 2 5 4" xfId="31240"/>
    <cellStyle name="Note 7 3 2 6" xfId="11059"/>
    <cellStyle name="Note 7 3 2 6 2" xfId="11060"/>
    <cellStyle name="Note 7 3 2 6 2 2" xfId="22540"/>
    <cellStyle name="Note 7 3 2 6 2 2 2" xfId="42608"/>
    <cellStyle name="Note 7 3 2 6 2 3" xfId="31243"/>
    <cellStyle name="Note 7 3 2 6 3" xfId="14587"/>
    <cellStyle name="Note 7 3 2 6 3 2" xfId="34655"/>
    <cellStyle name="Note 7 3 2 6 4" xfId="31242"/>
    <cellStyle name="Note 7 3 2 7" xfId="11061"/>
    <cellStyle name="Note 7 3 2 7 2" xfId="11062"/>
    <cellStyle name="Note 7 3 2 7 2 2" xfId="22541"/>
    <cellStyle name="Note 7 3 2 7 2 2 2" xfId="42609"/>
    <cellStyle name="Note 7 3 2 7 2 3" xfId="31245"/>
    <cellStyle name="Note 7 3 2 7 3" xfId="15247"/>
    <cellStyle name="Note 7 3 2 7 3 2" xfId="35315"/>
    <cellStyle name="Note 7 3 2 7 4" xfId="31244"/>
    <cellStyle name="Note 7 3 2 8" xfId="11063"/>
    <cellStyle name="Note 7 3 2 8 2" xfId="11064"/>
    <cellStyle name="Note 7 3 2 8 2 2" xfId="22542"/>
    <cellStyle name="Note 7 3 2 8 2 2 2" xfId="42610"/>
    <cellStyle name="Note 7 3 2 8 2 3" xfId="31247"/>
    <cellStyle name="Note 7 3 2 8 3" xfId="16612"/>
    <cellStyle name="Note 7 3 2 8 3 2" xfId="36680"/>
    <cellStyle name="Note 7 3 2 8 4" xfId="31246"/>
    <cellStyle name="Note 7 3 2 9" xfId="11065"/>
    <cellStyle name="Note 7 3 2 9 2" xfId="11066"/>
    <cellStyle name="Note 7 3 2 9 2 2" xfId="22543"/>
    <cellStyle name="Note 7 3 2 9 2 2 2" xfId="42611"/>
    <cellStyle name="Note 7 3 2 9 2 3" xfId="31249"/>
    <cellStyle name="Note 7 3 2 9 3" xfId="16816"/>
    <cellStyle name="Note 7 3 2 9 3 2" xfId="36884"/>
    <cellStyle name="Note 7 3 2 9 4" xfId="31248"/>
    <cellStyle name="Note 7 3 20" xfId="11067"/>
    <cellStyle name="Note 7 3 20 2" xfId="11068"/>
    <cellStyle name="Note 7 3 20 2 2" xfId="22544"/>
    <cellStyle name="Note 7 3 20 2 2 2" xfId="42612"/>
    <cellStyle name="Note 7 3 20 2 3" xfId="31251"/>
    <cellStyle name="Note 7 3 20 3" xfId="18002"/>
    <cellStyle name="Note 7 3 20 3 2" xfId="38070"/>
    <cellStyle name="Note 7 3 20 4" xfId="31250"/>
    <cellStyle name="Note 7 3 21" xfId="11069"/>
    <cellStyle name="Note 7 3 21 2" xfId="11070"/>
    <cellStyle name="Note 7 3 21 2 2" xfId="22545"/>
    <cellStyle name="Note 7 3 21 2 2 2" xfId="42613"/>
    <cellStyle name="Note 7 3 21 2 3" xfId="31253"/>
    <cellStyle name="Note 7 3 21 3" xfId="15957"/>
    <cellStyle name="Note 7 3 21 3 2" xfId="36025"/>
    <cellStyle name="Note 7 3 21 4" xfId="31252"/>
    <cellStyle name="Note 7 3 22" xfId="11071"/>
    <cellStyle name="Note 7 3 22 2" xfId="11072"/>
    <cellStyle name="Note 7 3 22 2 2" xfId="22546"/>
    <cellStyle name="Note 7 3 22 2 2 2" xfId="42614"/>
    <cellStyle name="Note 7 3 22 2 3" xfId="31255"/>
    <cellStyle name="Note 7 3 22 3" xfId="17692"/>
    <cellStyle name="Note 7 3 22 3 2" xfId="37760"/>
    <cellStyle name="Note 7 3 22 4" xfId="31254"/>
    <cellStyle name="Note 7 3 23" xfId="11073"/>
    <cellStyle name="Note 7 3 23 2" xfId="11074"/>
    <cellStyle name="Note 7 3 23 2 2" xfId="22547"/>
    <cellStyle name="Note 7 3 23 2 2 2" xfId="42615"/>
    <cellStyle name="Note 7 3 23 2 3" xfId="31257"/>
    <cellStyle name="Note 7 3 23 3" xfId="16342"/>
    <cellStyle name="Note 7 3 23 3 2" xfId="36410"/>
    <cellStyle name="Note 7 3 23 4" xfId="31256"/>
    <cellStyle name="Note 7 3 24" xfId="11075"/>
    <cellStyle name="Note 7 3 24 2" xfId="11076"/>
    <cellStyle name="Note 7 3 24 2 2" xfId="22548"/>
    <cellStyle name="Note 7 3 24 2 2 2" xfId="42616"/>
    <cellStyle name="Note 7 3 24 2 3" xfId="31259"/>
    <cellStyle name="Note 7 3 24 3" xfId="18462"/>
    <cellStyle name="Note 7 3 24 3 2" xfId="38530"/>
    <cellStyle name="Note 7 3 24 4" xfId="31258"/>
    <cellStyle name="Note 7 3 25" xfId="11077"/>
    <cellStyle name="Note 7 3 25 2" xfId="11078"/>
    <cellStyle name="Note 7 3 25 2 2" xfId="22549"/>
    <cellStyle name="Note 7 3 25 2 2 2" xfId="42617"/>
    <cellStyle name="Note 7 3 25 2 3" xfId="31261"/>
    <cellStyle name="Note 7 3 25 3" xfId="16088"/>
    <cellStyle name="Note 7 3 25 3 2" xfId="36156"/>
    <cellStyle name="Note 7 3 25 4" xfId="31260"/>
    <cellStyle name="Note 7 3 26" xfId="11079"/>
    <cellStyle name="Note 7 3 26 2" xfId="11080"/>
    <cellStyle name="Note 7 3 26 2 2" xfId="22550"/>
    <cellStyle name="Note 7 3 26 2 2 2" xfId="42618"/>
    <cellStyle name="Note 7 3 26 2 3" xfId="31263"/>
    <cellStyle name="Note 7 3 26 3" xfId="18034"/>
    <cellStyle name="Note 7 3 26 3 2" xfId="38102"/>
    <cellStyle name="Note 7 3 26 4" xfId="31262"/>
    <cellStyle name="Note 7 3 27" xfId="11081"/>
    <cellStyle name="Note 7 3 27 2" xfId="11082"/>
    <cellStyle name="Note 7 3 27 2 2" xfId="22551"/>
    <cellStyle name="Note 7 3 27 2 2 2" xfId="42619"/>
    <cellStyle name="Note 7 3 27 2 3" xfId="31265"/>
    <cellStyle name="Note 7 3 27 3" xfId="16193"/>
    <cellStyle name="Note 7 3 27 3 2" xfId="36261"/>
    <cellStyle name="Note 7 3 27 4" xfId="31264"/>
    <cellStyle name="Note 7 3 28" xfId="11083"/>
    <cellStyle name="Note 7 3 28 2" xfId="22508"/>
    <cellStyle name="Note 7 3 28 2 2" xfId="42576"/>
    <cellStyle name="Note 7 3 28 3" xfId="31266"/>
    <cellStyle name="Note 7 3 29" xfId="13928"/>
    <cellStyle name="Note 7 3 29 2" xfId="33996"/>
    <cellStyle name="Note 7 3 3" xfId="11084"/>
    <cellStyle name="Note 7 3 3 2" xfId="11085"/>
    <cellStyle name="Note 7 3 3 2 2" xfId="22552"/>
    <cellStyle name="Note 7 3 3 2 2 2" xfId="42620"/>
    <cellStyle name="Note 7 3 3 2 3" xfId="31268"/>
    <cellStyle name="Note 7 3 3 3" xfId="14174"/>
    <cellStyle name="Note 7 3 3 3 2" xfId="34242"/>
    <cellStyle name="Note 7 3 3 4" xfId="31267"/>
    <cellStyle name="Note 7 3 30" xfId="31179"/>
    <cellStyle name="Note 7 3 4" xfId="11086"/>
    <cellStyle name="Note 7 3 4 2" xfId="11087"/>
    <cellStyle name="Note 7 3 4 2 2" xfId="22553"/>
    <cellStyle name="Note 7 3 4 2 2 2" xfId="42621"/>
    <cellStyle name="Note 7 3 4 2 3" xfId="31270"/>
    <cellStyle name="Note 7 3 4 3" xfId="14127"/>
    <cellStyle name="Note 7 3 4 3 2" xfId="34195"/>
    <cellStyle name="Note 7 3 4 4" xfId="31269"/>
    <cellStyle name="Note 7 3 5" xfId="11088"/>
    <cellStyle name="Note 7 3 5 2" xfId="11089"/>
    <cellStyle name="Note 7 3 5 2 2" xfId="22554"/>
    <cellStyle name="Note 7 3 5 2 2 2" xfId="42622"/>
    <cellStyle name="Note 7 3 5 2 3" xfId="31272"/>
    <cellStyle name="Note 7 3 5 3" xfId="14569"/>
    <cellStyle name="Note 7 3 5 3 2" xfId="34637"/>
    <cellStyle name="Note 7 3 5 4" xfId="31271"/>
    <cellStyle name="Note 7 3 6" xfId="11090"/>
    <cellStyle name="Note 7 3 6 2" xfId="11091"/>
    <cellStyle name="Note 7 3 6 2 2" xfId="22555"/>
    <cellStyle name="Note 7 3 6 2 2 2" xfId="42623"/>
    <cellStyle name="Note 7 3 6 2 3" xfId="31274"/>
    <cellStyle name="Note 7 3 6 3" xfId="14981"/>
    <cellStyle name="Note 7 3 6 3 2" xfId="35049"/>
    <cellStyle name="Note 7 3 6 4" xfId="31273"/>
    <cellStyle name="Note 7 3 7" xfId="11092"/>
    <cellStyle name="Note 7 3 7 2" xfId="11093"/>
    <cellStyle name="Note 7 3 7 2 2" xfId="22556"/>
    <cellStyle name="Note 7 3 7 2 2 2" xfId="42624"/>
    <cellStyle name="Note 7 3 7 2 3" xfId="31276"/>
    <cellStyle name="Note 7 3 7 3" xfId="14603"/>
    <cellStyle name="Note 7 3 7 3 2" xfId="34671"/>
    <cellStyle name="Note 7 3 7 4" xfId="31275"/>
    <cellStyle name="Note 7 3 8" xfId="11094"/>
    <cellStyle name="Note 7 3 8 2" xfId="11095"/>
    <cellStyle name="Note 7 3 8 2 2" xfId="22557"/>
    <cellStyle name="Note 7 3 8 2 2 2" xfId="42625"/>
    <cellStyle name="Note 7 3 8 2 3" xfId="31278"/>
    <cellStyle name="Note 7 3 8 3" xfId="15155"/>
    <cellStyle name="Note 7 3 8 3 2" xfId="35223"/>
    <cellStyle name="Note 7 3 8 4" xfId="31277"/>
    <cellStyle name="Note 7 3 9" xfId="11096"/>
    <cellStyle name="Note 7 3 9 2" xfId="11097"/>
    <cellStyle name="Note 7 3 9 2 2" xfId="22558"/>
    <cellStyle name="Note 7 3 9 2 2 2" xfId="42626"/>
    <cellStyle name="Note 7 3 9 2 3" xfId="31280"/>
    <cellStyle name="Note 7 3 9 3" xfId="15334"/>
    <cellStyle name="Note 7 3 9 3 2" xfId="35402"/>
    <cellStyle name="Note 7 3 9 4" xfId="31279"/>
    <cellStyle name="Note 7 30" xfId="11098"/>
    <cellStyle name="Note 7 30 2" xfId="11099"/>
    <cellStyle name="Note 7 30 2 2" xfId="22559"/>
    <cellStyle name="Note 7 30 2 2 2" xfId="42627"/>
    <cellStyle name="Note 7 30 2 3" xfId="31282"/>
    <cellStyle name="Note 7 30 3" xfId="17759"/>
    <cellStyle name="Note 7 30 3 2" xfId="37827"/>
    <cellStyle name="Note 7 30 4" xfId="31281"/>
    <cellStyle name="Note 7 31" xfId="11100"/>
    <cellStyle name="Note 7 31 2" xfId="22436"/>
    <cellStyle name="Note 7 31 2 2" xfId="42504"/>
    <cellStyle name="Note 7 31 3" xfId="31283"/>
    <cellStyle name="Note 7 32" xfId="13926"/>
    <cellStyle name="Note 7 32 2" xfId="33994"/>
    <cellStyle name="Note 7 33" xfId="31036"/>
    <cellStyle name="Note 7 4" xfId="11101"/>
    <cellStyle name="Note 7 4 10" xfId="11102"/>
    <cellStyle name="Note 7 4 10 2" xfId="11103"/>
    <cellStyle name="Note 7 4 10 2 2" xfId="22561"/>
    <cellStyle name="Note 7 4 10 2 2 2" xfId="42629"/>
    <cellStyle name="Note 7 4 10 2 3" xfId="31286"/>
    <cellStyle name="Note 7 4 10 3" xfId="16478"/>
    <cellStyle name="Note 7 4 10 3 2" xfId="36546"/>
    <cellStyle name="Note 7 4 10 4" xfId="31285"/>
    <cellStyle name="Note 7 4 11" xfId="11104"/>
    <cellStyle name="Note 7 4 11 2" xfId="11105"/>
    <cellStyle name="Note 7 4 11 2 2" xfId="22562"/>
    <cellStyle name="Note 7 4 11 2 2 2" xfId="42630"/>
    <cellStyle name="Note 7 4 11 2 3" xfId="31288"/>
    <cellStyle name="Note 7 4 11 3" xfId="16671"/>
    <cellStyle name="Note 7 4 11 3 2" xfId="36739"/>
    <cellStyle name="Note 7 4 11 4" xfId="31287"/>
    <cellStyle name="Note 7 4 12" xfId="11106"/>
    <cellStyle name="Note 7 4 12 2" xfId="11107"/>
    <cellStyle name="Note 7 4 12 2 2" xfId="22563"/>
    <cellStyle name="Note 7 4 12 2 2 2" xfId="42631"/>
    <cellStyle name="Note 7 4 12 2 3" xfId="31290"/>
    <cellStyle name="Note 7 4 12 3" xfId="16850"/>
    <cellStyle name="Note 7 4 12 3 2" xfId="36918"/>
    <cellStyle name="Note 7 4 12 4" xfId="31289"/>
    <cellStyle name="Note 7 4 13" xfId="11108"/>
    <cellStyle name="Note 7 4 13 2" xfId="11109"/>
    <cellStyle name="Note 7 4 13 2 2" xfId="22564"/>
    <cellStyle name="Note 7 4 13 2 2 2" xfId="42632"/>
    <cellStyle name="Note 7 4 13 2 3" xfId="31292"/>
    <cellStyle name="Note 7 4 13 3" xfId="16713"/>
    <cellStyle name="Note 7 4 13 3 2" xfId="36781"/>
    <cellStyle name="Note 7 4 13 4" xfId="31291"/>
    <cellStyle name="Note 7 4 14" xfId="11110"/>
    <cellStyle name="Note 7 4 14 2" xfId="11111"/>
    <cellStyle name="Note 7 4 14 2 2" xfId="22565"/>
    <cellStyle name="Note 7 4 14 2 2 2" xfId="42633"/>
    <cellStyle name="Note 7 4 14 2 3" xfId="31294"/>
    <cellStyle name="Note 7 4 14 3" xfId="17155"/>
    <cellStyle name="Note 7 4 14 3 2" xfId="37223"/>
    <cellStyle name="Note 7 4 14 4" xfId="31293"/>
    <cellStyle name="Note 7 4 15" xfId="11112"/>
    <cellStyle name="Note 7 4 15 2" xfId="11113"/>
    <cellStyle name="Note 7 4 15 2 2" xfId="22566"/>
    <cellStyle name="Note 7 4 15 2 2 2" xfId="42634"/>
    <cellStyle name="Note 7 4 15 2 3" xfId="31296"/>
    <cellStyle name="Note 7 4 15 3" xfId="17331"/>
    <cellStyle name="Note 7 4 15 3 2" xfId="37399"/>
    <cellStyle name="Note 7 4 15 4" xfId="31295"/>
    <cellStyle name="Note 7 4 16" xfId="11114"/>
    <cellStyle name="Note 7 4 16 2" xfId="11115"/>
    <cellStyle name="Note 7 4 16 2 2" xfId="22567"/>
    <cellStyle name="Note 7 4 16 2 2 2" xfId="42635"/>
    <cellStyle name="Note 7 4 16 2 3" xfId="31298"/>
    <cellStyle name="Note 7 4 16 3" xfId="17190"/>
    <cellStyle name="Note 7 4 16 3 2" xfId="37258"/>
    <cellStyle name="Note 7 4 16 4" xfId="31297"/>
    <cellStyle name="Note 7 4 17" xfId="11116"/>
    <cellStyle name="Note 7 4 17 2" xfId="11117"/>
    <cellStyle name="Note 7 4 17 2 2" xfId="22568"/>
    <cellStyle name="Note 7 4 17 2 2 2" xfId="42636"/>
    <cellStyle name="Note 7 4 17 2 3" xfId="31300"/>
    <cellStyle name="Note 7 4 17 3" xfId="17372"/>
    <cellStyle name="Note 7 4 17 3 2" xfId="37440"/>
    <cellStyle name="Note 7 4 17 4" xfId="31299"/>
    <cellStyle name="Note 7 4 18" xfId="11118"/>
    <cellStyle name="Note 7 4 18 2" xfId="11119"/>
    <cellStyle name="Note 7 4 18 2 2" xfId="22569"/>
    <cellStyle name="Note 7 4 18 2 2 2" xfId="42637"/>
    <cellStyle name="Note 7 4 18 2 3" xfId="31302"/>
    <cellStyle name="Note 7 4 18 3" xfId="17720"/>
    <cellStyle name="Note 7 4 18 3 2" xfId="37788"/>
    <cellStyle name="Note 7 4 18 4" xfId="31301"/>
    <cellStyle name="Note 7 4 19" xfId="11120"/>
    <cellStyle name="Note 7 4 19 2" xfId="11121"/>
    <cellStyle name="Note 7 4 19 2 2" xfId="22570"/>
    <cellStyle name="Note 7 4 19 2 2 2" xfId="42638"/>
    <cellStyle name="Note 7 4 19 2 3" xfId="31304"/>
    <cellStyle name="Note 7 4 19 3" xfId="17620"/>
    <cellStyle name="Note 7 4 19 3 2" xfId="37688"/>
    <cellStyle name="Note 7 4 19 4" xfId="31303"/>
    <cellStyle name="Note 7 4 2" xfId="11122"/>
    <cellStyle name="Note 7 4 2 10" xfId="11123"/>
    <cellStyle name="Note 7 4 2 10 2" xfId="11124"/>
    <cellStyle name="Note 7 4 2 10 2 2" xfId="22572"/>
    <cellStyle name="Note 7 4 2 10 2 2 2" xfId="42640"/>
    <cellStyle name="Note 7 4 2 10 2 3" xfId="31307"/>
    <cellStyle name="Note 7 4 2 10 3" xfId="16978"/>
    <cellStyle name="Note 7 4 2 10 3 2" xfId="37046"/>
    <cellStyle name="Note 7 4 2 10 4" xfId="31306"/>
    <cellStyle name="Note 7 4 2 11" xfId="11125"/>
    <cellStyle name="Note 7 4 2 11 2" xfId="11126"/>
    <cellStyle name="Note 7 4 2 11 2 2" xfId="22573"/>
    <cellStyle name="Note 7 4 2 11 2 2 2" xfId="42641"/>
    <cellStyle name="Note 7 4 2 11 2 3" xfId="31309"/>
    <cellStyle name="Note 7 4 2 11 3" xfId="17123"/>
    <cellStyle name="Note 7 4 2 11 3 2" xfId="37191"/>
    <cellStyle name="Note 7 4 2 11 4" xfId="31308"/>
    <cellStyle name="Note 7 4 2 12" xfId="11127"/>
    <cellStyle name="Note 7 4 2 12 2" xfId="11128"/>
    <cellStyle name="Note 7 4 2 12 2 2" xfId="22574"/>
    <cellStyle name="Note 7 4 2 12 2 2 2" xfId="42642"/>
    <cellStyle name="Note 7 4 2 12 2 3" xfId="31311"/>
    <cellStyle name="Note 7 4 2 12 3" xfId="17295"/>
    <cellStyle name="Note 7 4 2 12 3 2" xfId="37363"/>
    <cellStyle name="Note 7 4 2 12 4" xfId="31310"/>
    <cellStyle name="Note 7 4 2 13" xfId="11129"/>
    <cellStyle name="Note 7 4 2 13 2" xfId="11130"/>
    <cellStyle name="Note 7 4 2 13 2 2" xfId="22575"/>
    <cellStyle name="Note 7 4 2 13 2 2 2" xfId="42643"/>
    <cellStyle name="Note 7 4 2 13 2 3" xfId="31313"/>
    <cellStyle name="Note 7 4 2 13 3" xfId="17459"/>
    <cellStyle name="Note 7 4 2 13 3 2" xfId="37527"/>
    <cellStyle name="Note 7 4 2 13 4" xfId="31312"/>
    <cellStyle name="Note 7 4 2 14" xfId="11131"/>
    <cellStyle name="Note 7 4 2 14 2" xfId="11132"/>
    <cellStyle name="Note 7 4 2 14 2 2" xfId="22576"/>
    <cellStyle name="Note 7 4 2 14 2 2 2" xfId="42644"/>
    <cellStyle name="Note 7 4 2 14 2 3" xfId="31315"/>
    <cellStyle name="Note 7 4 2 14 3" xfId="17585"/>
    <cellStyle name="Note 7 4 2 14 3 2" xfId="37653"/>
    <cellStyle name="Note 7 4 2 14 4" xfId="31314"/>
    <cellStyle name="Note 7 4 2 15" xfId="11133"/>
    <cellStyle name="Note 7 4 2 15 2" xfId="11134"/>
    <cellStyle name="Note 7 4 2 15 2 2" xfId="22577"/>
    <cellStyle name="Note 7 4 2 15 2 2 2" xfId="42645"/>
    <cellStyle name="Note 7 4 2 15 2 3" xfId="31317"/>
    <cellStyle name="Note 7 4 2 15 3" xfId="15577"/>
    <cellStyle name="Note 7 4 2 15 3 2" xfId="35645"/>
    <cellStyle name="Note 7 4 2 15 4" xfId="31316"/>
    <cellStyle name="Note 7 4 2 16" xfId="11135"/>
    <cellStyle name="Note 7 4 2 16 2" xfId="11136"/>
    <cellStyle name="Note 7 4 2 16 2 2" xfId="22578"/>
    <cellStyle name="Note 7 4 2 16 2 2 2" xfId="42646"/>
    <cellStyle name="Note 7 4 2 16 2 3" xfId="31319"/>
    <cellStyle name="Note 7 4 2 16 3" xfId="17835"/>
    <cellStyle name="Note 7 4 2 16 3 2" xfId="37903"/>
    <cellStyle name="Note 7 4 2 16 4" xfId="31318"/>
    <cellStyle name="Note 7 4 2 17" xfId="11137"/>
    <cellStyle name="Note 7 4 2 17 2" xfId="11138"/>
    <cellStyle name="Note 7 4 2 17 2 2" xfId="22579"/>
    <cellStyle name="Note 7 4 2 17 2 2 2" xfId="42647"/>
    <cellStyle name="Note 7 4 2 17 2 3" xfId="31321"/>
    <cellStyle name="Note 7 4 2 17 3" xfId="17973"/>
    <cellStyle name="Note 7 4 2 17 3 2" xfId="38041"/>
    <cellStyle name="Note 7 4 2 17 4" xfId="31320"/>
    <cellStyle name="Note 7 4 2 18" xfId="11139"/>
    <cellStyle name="Note 7 4 2 18 2" xfId="11140"/>
    <cellStyle name="Note 7 4 2 18 2 2" xfId="22580"/>
    <cellStyle name="Note 7 4 2 18 2 2 2" xfId="42648"/>
    <cellStyle name="Note 7 4 2 18 2 3" xfId="31323"/>
    <cellStyle name="Note 7 4 2 18 3" xfId="18112"/>
    <cellStyle name="Note 7 4 2 18 3 2" xfId="38180"/>
    <cellStyle name="Note 7 4 2 18 4" xfId="31322"/>
    <cellStyle name="Note 7 4 2 19" xfId="11141"/>
    <cellStyle name="Note 7 4 2 19 2" xfId="11142"/>
    <cellStyle name="Note 7 4 2 19 2 2" xfId="22581"/>
    <cellStyle name="Note 7 4 2 19 2 2 2" xfId="42649"/>
    <cellStyle name="Note 7 4 2 19 2 3" xfId="31325"/>
    <cellStyle name="Note 7 4 2 19 3" xfId="18230"/>
    <cellStyle name="Note 7 4 2 19 3 2" xfId="38298"/>
    <cellStyle name="Note 7 4 2 19 4" xfId="31324"/>
    <cellStyle name="Note 7 4 2 2" xfId="11143"/>
    <cellStyle name="Note 7 4 2 2 2" xfId="11144"/>
    <cellStyle name="Note 7 4 2 2 2 2" xfId="22582"/>
    <cellStyle name="Note 7 4 2 2 2 2 2" xfId="42650"/>
    <cellStyle name="Note 7 4 2 2 2 3" xfId="31327"/>
    <cellStyle name="Note 7 4 2 2 3" xfId="14698"/>
    <cellStyle name="Note 7 4 2 2 3 2" xfId="34766"/>
    <cellStyle name="Note 7 4 2 2 4" xfId="31326"/>
    <cellStyle name="Note 7 4 2 20" xfId="11145"/>
    <cellStyle name="Note 7 4 2 20 2" xfId="11146"/>
    <cellStyle name="Note 7 4 2 20 2 2" xfId="22583"/>
    <cellStyle name="Note 7 4 2 20 2 2 2" xfId="42651"/>
    <cellStyle name="Note 7 4 2 20 2 3" xfId="31329"/>
    <cellStyle name="Note 7 4 2 20 3" xfId="17413"/>
    <cellStyle name="Note 7 4 2 20 3 2" xfId="37481"/>
    <cellStyle name="Note 7 4 2 20 4" xfId="31328"/>
    <cellStyle name="Note 7 4 2 21" xfId="11147"/>
    <cellStyle name="Note 7 4 2 21 2" xfId="11148"/>
    <cellStyle name="Note 7 4 2 21 2 2" xfId="22584"/>
    <cellStyle name="Note 7 4 2 21 2 2 2" xfId="42652"/>
    <cellStyle name="Note 7 4 2 21 2 3" xfId="31331"/>
    <cellStyle name="Note 7 4 2 21 3" xfId="18435"/>
    <cellStyle name="Note 7 4 2 21 3 2" xfId="38503"/>
    <cellStyle name="Note 7 4 2 21 4" xfId="31330"/>
    <cellStyle name="Note 7 4 2 22" xfId="11149"/>
    <cellStyle name="Note 7 4 2 22 2" xfId="11150"/>
    <cellStyle name="Note 7 4 2 22 2 2" xfId="22585"/>
    <cellStyle name="Note 7 4 2 22 2 2 2" xfId="42653"/>
    <cellStyle name="Note 7 4 2 22 2 3" xfId="31333"/>
    <cellStyle name="Note 7 4 2 22 3" xfId="18568"/>
    <cellStyle name="Note 7 4 2 22 3 2" xfId="38636"/>
    <cellStyle name="Note 7 4 2 22 4" xfId="31332"/>
    <cellStyle name="Note 7 4 2 23" xfId="11151"/>
    <cellStyle name="Note 7 4 2 23 2" xfId="11152"/>
    <cellStyle name="Note 7 4 2 23 2 2" xfId="22586"/>
    <cellStyle name="Note 7 4 2 23 2 2 2" xfId="42654"/>
    <cellStyle name="Note 7 4 2 23 2 3" xfId="31335"/>
    <cellStyle name="Note 7 4 2 23 3" xfId="18679"/>
    <cellStyle name="Note 7 4 2 23 3 2" xfId="38747"/>
    <cellStyle name="Note 7 4 2 23 4" xfId="31334"/>
    <cellStyle name="Note 7 4 2 24" xfId="11153"/>
    <cellStyle name="Note 7 4 2 24 2" xfId="11154"/>
    <cellStyle name="Note 7 4 2 24 2 2" xfId="22587"/>
    <cellStyle name="Note 7 4 2 24 2 2 2" xfId="42655"/>
    <cellStyle name="Note 7 4 2 24 2 3" xfId="31337"/>
    <cellStyle name="Note 7 4 2 24 3" xfId="18779"/>
    <cellStyle name="Note 7 4 2 24 3 2" xfId="38847"/>
    <cellStyle name="Note 7 4 2 24 4" xfId="31336"/>
    <cellStyle name="Note 7 4 2 25" xfId="11155"/>
    <cellStyle name="Note 7 4 2 25 2" xfId="11156"/>
    <cellStyle name="Note 7 4 2 25 2 2" xfId="22588"/>
    <cellStyle name="Note 7 4 2 25 2 2 2" xfId="42656"/>
    <cellStyle name="Note 7 4 2 25 2 3" xfId="31339"/>
    <cellStyle name="Note 7 4 2 25 3" xfId="18879"/>
    <cellStyle name="Note 7 4 2 25 3 2" xfId="38947"/>
    <cellStyle name="Note 7 4 2 25 4" xfId="31338"/>
    <cellStyle name="Note 7 4 2 26" xfId="11157"/>
    <cellStyle name="Note 7 4 2 26 2" xfId="22571"/>
    <cellStyle name="Note 7 4 2 26 2 2" xfId="42639"/>
    <cellStyle name="Note 7 4 2 26 3" xfId="31340"/>
    <cellStyle name="Note 7 4 2 27" xfId="14583"/>
    <cellStyle name="Note 7 4 2 27 2" xfId="34651"/>
    <cellStyle name="Note 7 4 2 28" xfId="31305"/>
    <cellStyle name="Note 7 4 2 3" xfId="11158"/>
    <cellStyle name="Note 7 4 2 3 2" xfId="11159"/>
    <cellStyle name="Note 7 4 2 3 2 2" xfId="22589"/>
    <cellStyle name="Note 7 4 2 3 2 2 2" xfId="42657"/>
    <cellStyle name="Note 7 4 2 3 2 3" xfId="31342"/>
    <cellStyle name="Note 7 4 2 3 3" xfId="14822"/>
    <cellStyle name="Note 7 4 2 3 3 2" xfId="34890"/>
    <cellStyle name="Note 7 4 2 3 4" xfId="31341"/>
    <cellStyle name="Note 7 4 2 4" xfId="11160"/>
    <cellStyle name="Note 7 4 2 4 2" xfId="11161"/>
    <cellStyle name="Note 7 4 2 4 2 2" xfId="22590"/>
    <cellStyle name="Note 7 4 2 4 2 2 2" xfId="42658"/>
    <cellStyle name="Note 7 4 2 4 2 3" xfId="31344"/>
    <cellStyle name="Note 7 4 2 4 3" xfId="14947"/>
    <cellStyle name="Note 7 4 2 4 3 2" xfId="35015"/>
    <cellStyle name="Note 7 4 2 4 4" xfId="31343"/>
    <cellStyle name="Note 7 4 2 5" xfId="11162"/>
    <cellStyle name="Note 7 4 2 5 2" xfId="11163"/>
    <cellStyle name="Note 7 4 2 5 2 2" xfId="22591"/>
    <cellStyle name="Note 7 4 2 5 2 2 2" xfId="42659"/>
    <cellStyle name="Note 7 4 2 5 2 3" xfId="31346"/>
    <cellStyle name="Note 7 4 2 5 3" xfId="15116"/>
    <cellStyle name="Note 7 4 2 5 3 2" xfId="35184"/>
    <cellStyle name="Note 7 4 2 5 4" xfId="31345"/>
    <cellStyle name="Note 7 4 2 6" xfId="11164"/>
    <cellStyle name="Note 7 4 2 6 2" xfId="11165"/>
    <cellStyle name="Note 7 4 2 6 2 2" xfId="22592"/>
    <cellStyle name="Note 7 4 2 6 2 2 2" xfId="42660"/>
    <cellStyle name="Note 7 4 2 6 2 3" xfId="31348"/>
    <cellStyle name="Note 7 4 2 6 3" xfId="14565"/>
    <cellStyle name="Note 7 4 2 6 3 2" xfId="34633"/>
    <cellStyle name="Note 7 4 2 6 4" xfId="31347"/>
    <cellStyle name="Note 7 4 2 7" xfId="11166"/>
    <cellStyle name="Note 7 4 2 7 2" xfId="11167"/>
    <cellStyle name="Note 7 4 2 7 2 2" xfId="22593"/>
    <cellStyle name="Note 7 4 2 7 2 2 2" xfId="42661"/>
    <cellStyle name="Note 7 4 2 7 2 3" xfId="31350"/>
    <cellStyle name="Note 7 4 2 7 3" xfId="15248"/>
    <cellStyle name="Note 7 4 2 7 3 2" xfId="35316"/>
    <cellStyle name="Note 7 4 2 7 4" xfId="31349"/>
    <cellStyle name="Note 7 4 2 8" xfId="11168"/>
    <cellStyle name="Note 7 4 2 8 2" xfId="11169"/>
    <cellStyle name="Note 7 4 2 8 2 2" xfId="22594"/>
    <cellStyle name="Note 7 4 2 8 2 2 2" xfId="42662"/>
    <cellStyle name="Note 7 4 2 8 2 3" xfId="31352"/>
    <cellStyle name="Note 7 4 2 8 3" xfId="16613"/>
    <cellStyle name="Note 7 4 2 8 3 2" xfId="36681"/>
    <cellStyle name="Note 7 4 2 8 4" xfId="31351"/>
    <cellStyle name="Note 7 4 2 9" xfId="11170"/>
    <cellStyle name="Note 7 4 2 9 2" xfId="11171"/>
    <cellStyle name="Note 7 4 2 9 2 2" xfId="22595"/>
    <cellStyle name="Note 7 4 2 9 2 2 2" xfId="42663"/>
    <cellStyle name="Note 7 4 2 9 2 3" xfId="31354"/>
    <cellStyle name="Note 7 4 2 9 3" xfId="16817"/>
    <cellStyle name="Note 7 4 2 9 3 2" xfId="36885"/>
    <cellStyle name="Note 7 4 2 9 4" xfId="31353"/>
    <cellStyle name="Note 7 4 20" xfId="11172"/>
    <cellStyle name="Note 7 4 20 2" xfId="11173"/>
    <cellStyle name="Note 7 4 20 2 2" xfId="22596"/>
    <cellStyle name="Note 7 4 20 2 2 2" xfId="42664"/>
    <cellStyle name="Note 7 4 20 2 3" xfId="31356"/>
    <cellStyle name="Note 7 4 20 3" xfId="18003"/>
    <cellStyle name="Note 7 4 20 3 2" xfId="38071"/>
    <cellStyle name="Note 7 4 20 4" xfId="31355"/>
    <cellStyle name="Note 7 4 21" xfId="11174"/>
    <cellStyle name="Note 7 4 21 2" xfId="11175"/>
    <cellStyle name="Note 7 4 21 2 2" xfId="22597"/>
    <cellStyle name="Note 7 4 21 2 2 2" xfId="42665"/>
    <cellStyle name="Note 7 4 21 2 3" xfId="31358"/>
    <cellStyle name="Note 7 4 21 3" xfId="17875"/>
    <cellStyle name="Note 7 4 21 3 2" xfId="37943"/>
    <cellStyle name="Note 7 4 21 4" xfId="31357"/>
    <cellStyle name="Note 7 4 22" xfId="11176"/>
    <cellStyle name="Note 7 4 22 2" xfId="11177"/>
    <cellStyle name="Note 7 4 22 2 2" xfId="22598"/>
    <cellStyle name="Note 7 4 22 2 2 2" xfId="42666"/>
    <cellStyle name="Note 7 4 22 2 3" xfId="31360"/>
    <cellStyle name="Note 7 4 22 3" xfId="16353"/>
    <cellStyle name="Note 7 4 22 3 2" xfId="36421"/>
    <cellStyle name="Note 7 4 22 4" xfId="31359"/>
    <cellStyle name="Note 7 4 23" xfId="11178"/>
    <cellStyle name="Note 7 4 23 2" xfId="11179"/>
    <cellStyle name="Note 7 4 23 2 2" xfId="22599"/>
    <cellStyle name="Note 7 4 23 2 2 2" xfId="42667"/>
    <cellStyle name="Note 7 4 23 2 3" xfId="31362"/>
    <cellStyle name="Note 7 4 23 3" xfId="18288"/>
    <cellStyle name="Note 7 4 23 3 2" xfId="38356"/>
    <cellStyle name="Note 7 4 23 4" xfId="31361"/>
    <cellStyle name="Note 7 4 24" xfId="11180"/>
    <cellStyle name="Note 7 4 24 2" xfId="11181"/>
    <cellStyle name="Note 7 4 24 2 2" xfId="22600"/>
    <cellStyle name="Note 7 4 24 2 2 2" xfId="42668"/>
    <cellStyle name="Note 7 4 24 2 3" xfId="31364"/>
    <cellStyle name="Note 7 4 24 3" xfId="18463"/>
    <cellStyle name="Note 7 4 24 3 2" xfId="38531"/>
    <cellStyle name="Note 7 4 24 4" xfId="31363"/>
    <cellStyle name="Note 7 4 25" xfId="11182"/>
    <cellStyle name="Note 7 4 25 2" xfId="11183"/>
    <cellStyle name="Note 7 4 25 2 2" xfId="22601"/>
    <cellStyle name="Note 7 4 25 2 2 2" xfId="42669"/>
    <cellStyle name="Note 7 4 25 2 3" xfId="31366"/>
    <cellStyle name="Note 7 4 25 3" xfId="18339"/>
    <cellStyle name="Note 7 4 25 3 2" xfId="38407"/>
    <cellStyle name="Note 7 4 25 4" xfId="31365"/>
    <cellStyle name="Note 7 4 26" xfId="11184"/>
    <cellStyle name="Note 7 4 26 2" xfId="11185"/>
    <cellStyle name="Note 7 4 26 2 2" xfId="22602"/>
    <cellStyle name="Note 7 4 26 2 2 2" xfId="42670"/>
    <cellStyle name="Note 7 4 26 2 3" xfId="31368"/>
    <cellStyle name="Note 7 4 26 3" xfId="18485"/>
    <cellStyle name="Note 7 4 26 3 2" xfId="38553"/>
    <cellStyle name="Note 7 4 26 4" xfId="31367"/>
    <cellStyle name="Note 7 4 27" xfId="11186"/>
    <cellStyle name="Note 7 4 27 2" xfId="11187"/>
    <cellStyle name="Note 7 4 27 2 2" xfId="22603"/>
    <cellStyle name="Note 7 4 27 2 2 2" xfId="42671"/>
    <cellStyle name="Note 7 4 27 2 3" xfId="31370"/>
    <cellStyle name="Note 7 4 27 3" xfId="18598"/>
    <cellStyle name="Note 7 4 27 3 2" xfId="38666"/>
    <cellStyle name="Note 7 4 27 4" xfId="31369"/>
    <cellStyle name="Note 7 4 28" xfId="11188"/>
    <cellStyle name="Note 7 4 28 2" xfId="22560"/>
    <cellStyle name="Note 7 4 28 2 2" xfId="42628"/>
    <cellStyle name="Note 7 4 28 3" xfId="31371"/>
    <cellStyle name="Note 7 4 29" xfId="13929"/>
    <cellStyle name="Note 7 4 29 2" xfId="33997"/>
    <cellStyle name="Note 7 4 3" xfId="11189"/>
    <cellStyle name="Note 7 4 3 2" xfId="11190"/>
    <cellStyle name="Note 7 4 3 2 2" xfId="22604"/>
    <cellStyle name="Note 7 4 3 2 2 2" xfId="42672"/>
    <cellStyle name="Note 7 4 3 2 3" xfId="31373"/>
    <cellStyle name="Note 7 4 3 3" xfId="14386"/>
    <cellStyle name="Note 7 4 3 3 2" xfId="34454"/>
    <cellStyle name="Note 7 4 3 4" xfId="31372"/>
    <cellStyle name="Note 7 4 30" xfId="31284"/>
    <cellStyle name="Note 7 4 4" xfId="11191"/>
    <cellStyle name="Note 7 4 4 2" xfId="11192"/>
    <cellStyle name="Note 7 4 4 2 2" xfId="22605"/>
    <cellStyle name="Note 7 4 4 2 2 2" xfId="42673"/>
    <cellStyle name="Note 7 4 4 2 3" xfId="31375"/>
    <cellStyle name="Note 7 4 4 3" xfId="14205"/>
    <cellStyle name="Note 7 4 4 3 2" xfId="34273"/>
    <cellStyle name="Note 7 4 4 4" xfId="31374"/>
    <cellStyle name="Note 7 4 5" xfId="11193"/>
    <cellStyle name="Note 7 4 5 2" xfId="11194"/>
    <cellStyle name="Note 7 4 5 2 2" xfId="22606"/>
    <cellStyle name="Note 7 4 5 2 2 2" xfId="42674"/>
    <cellStyle name="Note 7 4 5 2 3" xfId="31377"/>
    <cellStyle name="Note 7 4 5 3" xfId="14209"/>
    <cellStyle name="Note 7 4 5 3 2" xfId="34277"/>
    <cellStyle name="Note 7 4 5 4" xfId="31376"/>
    <cellStyle name="Note 7 4 6" xfId="11195"/>
    <cellStyle name="Note 7 4 6 2" xfId="11196"/>
    <cellStyle name="Note 7 4 6 2 2" xfId="22607"/>
    <cellStyle name="Note 7 4 6 2 2 2" xfId="42675"/>
    <cellStyle name="Note 7 4 6 2 3" xfId="31379"/>
    <cellStyle name="Note 7 4 6 3" xfId="14982"/>
    <cellStyle name="Note 7 4 6 3 2" xfId="35050"/>
    <cellStyle name="Note 7 4 6 4" xfId="31378"/>
    <cellStyle name="Note 7 4 7" xfId="11197"/>
    <cellStyle name="Note 7 4 7 2" xfId="11198"/>
    <cellStyle name="Note 7 4 7 2 2" xfId="22608"/>
    <cellStyle name="Note 7 4 7 2 2 2" xfId="42676"/>
    <cellStyle name="Note 7 4 7 2 3" xfId="31381"/>
    <cellStyle name="Note 7 4 7 3" xfId="14608"/>
    <cellStyle name="Note 7 4 7 3 2" xfId="34676"/>
    <cellStyle name="Note 7 4 7 4" xfId="31380"/>
    <cellStyle name="Note 7 4 8" xfId="11199"/>
    <cellStyle name="Note 7 4 8 2" xfId="11200"/>
    <cellStyle name="Note 7 4 8 2 2" xfId="22609"/>
    <cellStyle name="Note 7 4 8 2 2 2" xfId="42677"/>
    <cellStyle name="Note 7 4 8 2 3" xfId="31383"/>
    <cellStyle name="Note 7 4 8 3" xfId="15156"/>
    <cellStyle name="Note 7 4 8 3 2" xfId="35224"/>
    <cellStyle name="Note 7 4 8 4" xfId="31382"/>
    <cellStyle name="Note 7 4 9" xfId="11201"/>
    <cellStyle name="Note 7 4 9 2" xfId="11202"/>
    <cellStyle name="Note 7 4 9 2 2" xfId="22610"/>
    <cellStyle name="Note 7 4 9 2 2 2" xfId="42678"/>
    <cellStyle name="Note 7 4 9 2 3" xfId="31385"/>
    <cellStyle name="Note 7 4 9 3" xfId="15335"/>
    <cellStyle name="Note 7 4 9 3 2" xfId="35403"/>
    <cellStyle name="Note 7 4 9 4" xfId="31384"/>
    <cellStyle name="Note 7 5" xfId="11203"/>
    <cellStyle name="Note 7 5 10" xfId="11204"/>
    <cellStyle name="Note 7 5 10 2" xfId="11205"/>
    <cellStyle name="Note 7 5 10 2 2" xfId="22612"/>
    <cellStyle name="Note 7 5 10 2 2 2" xfId="42680"/>
    <cellStyle name="Note 7 5 10 2 3" xfId="31388"/>
    <cellStyle name="Note 7 5 10 3" xfId="16975"/>
    <cellStyle name="Note 7 5 10 3 2" xfId="37043"/>
    <cellStyle name="Note 7 5 10 4" xfId="31387"/>
    <cellStyle name="Note 7 5 11" xfId="11206"/>
    <cellStyle name="Note 7 5 11 2" xfId="11207"/>
    <cellStyle name="Note 7 5 11 2 2" xfId="22613"/>
    <cellStyle name="Note 7 5 11 2 2 2" xfId="42681"/>
    <cellStyle name="Note 7 5 11 2 3" xfId="31390"/>
    <cellStyle name="Note 7 5 11 3" xfId="17120"/>
    <cellStyle name="Note 7 5 11 3 2" xfId="37188"/>
    <cellStyle name="Note 7 5 11 4" xfId="31389"/>
    <cellStyle name="Note 7 5 12" xfId="11208"/>
    <cellStyle name="Note 7 5 12 2" xfId="11209"/>
    <cellStyle name="Note 7 5 12 2 2" xfId="22614"/>
    <cellStyle name="Note 7 5 12 2 2 2" xfId="42682"/>
    <cellStyle name="Note 7 5 12 2 3" xfId="31392"/>
    <cellStyle name="Note 7 5 12 3" xfId="17292"/>
    <cellStyle name="Note 7 5 12 3 2" xfId="37360"/>
    <cellStyle name="Note 7 5 12 4" xfId="31391"/>
    <cellStyle name="Note 7 5 13" xfId="11210"/>
    <cellStyle name="Note 7 5 13 2" xfId="11211"/>
    <cellStyle name="Note 7 5 13 2 2" xfId="22615"/>
    <cellStyle name="Note 7 5 13 2 2 2" xfId="42683"/>
    <cellStyle name="Note 7 5 13 2 3" xfId="31394"/>
    <cellStyle name="Note 7 5 13 3" xfId="17456"/>
    <cellStyle name="Note 7 5 13 3 2" xfId="37524"/>
    <cellStyle name="Note 7 5 13 4" xfId="31393"/>
    <cellStyle name="Note 7 5 14" xfId="11212"/>
    <cellStyle name="Note 7 5 14 2" xfId="11213"/>
    <cellStyle name="Note 7 5 14 2 2" xfId="22616"/>
    <cellStyle name="Note 7 5 14 2 2 2" xfId="42684"/>
    <cellStyle name="Note 7 5 14 2 3" xfId="31396"/>
    <cellStyle name="Note 7 5 14 3" xfId="17582"/>
    <cellStyle name="Note 7 5 14 3 2" xfId="37650"/>
    <cellStyle name="Note 7 5 14 4" xfId="31395"/>
    <cellStyle name="Note 7 5 15" xfId="11214"/>
    <cellStyle name="Note 7 5 15 2" xfId="11215"/>
    <cellStyle name="Note 7 5 15 2 2" xfId="22617"/>
    <cellStyle name="Note 7 5 15 2 2 2" xfId="42685"/>
    <cellStyle name="Note 7 5 15 2 3" xfId="31398"/>
    <cellStyle name="Note 7 5 15 3" xfId="15495"/>
    <cellStyle name="Note 7 5 15 3 2" xfId="35563"/>
    <cellStyle name="Note 7 5 15 4" xfId="31397"/>
    <cellStyle name="Note 7 5 16" xfId="11216"/>
    <cellStyle name="Note 7 5 16 2" xfId="11217"/>
    <cellStyle name="Note 7 5 16 2 2" xfId="22618"/>
    <cellStyle name="Note 7 5 16 2 2 2" xfId="42686"/>
    <cellStyle name="Note 7 5 16 2 3" xfId="31400"/>
    <cellStyle name="Note 7 5 16 3" xfId="17832"/>
    <cellStyle name="Note 7 5 16 3 2" xfId="37900"/>
    <cellStyle name="Note 7 5 16 4" xfId="31399"/>
    <cellStyle name="Note 7 5 17" xfId="11218"/>
    <cellStyle name="Note 7 5 17 2" xfId="11219"/>
    <cellStyle name="Note 7 5 17 2 2" xfId="22619"/>
    <cellStyle name="Note 7 5 17 2 2 2" xfId="42687"/>
    <cellStyle name="Note 7 5 17 2 3" xfId="31402"/>
    <cellStyle name="Note 7 5 17 3" xfId="17970"/>
    <cellStyle name="Note 7 5 17 3 2" xfId="38038"/>
    <cellStyle name="Note 7 5 17 4" xfId="31401"/>
    <cellStyle name="Note 7 5 18" xfId="11220"/>
    <cellStyle name="Note 7 5 18 2" xfId="11221"/>
    <cellStyle name="Note 7 5 18 2 2" xfId="22620"/>
    <cellStyle name="Note 7 5 18 2 2 2" xfId="42688"/>
    <cellStyle name="Note 7 5 18 2 3" xfId="31404"/>
    <cellStyle name="Note 7 5 18 3" xfId="18109"/>
    <cellStyle name="Note 7 5 18 3 2" xfId="38177"/>
    <cellStyle name="Note 7 5 18 4" xfId="31403"/>
    <cellStyle name="Note 7 5 19" xfId="11222"/>
    <cellStyle name="Note 7 5 19 2" xfId="11223"/>
    <cellStyle name="Note 7 5 19 2 2" xfId="22621"/>
    <cellStyle name="Note 7 5 19 2 2 2" xfId="42689"/>
    <cellStyle name="Note 7 5 19 2 3" xfId="31406"/>
    <cellStyle name="Note 7 5 19 3" xfId="18227"/>
    <cellStyle name="Note 7 5 19 3 2" xfId="38295"/>
    <cellStyle name="Note 7 5 19 4" xfId="31405"/>
    <cellStyle name="Note 7 5 2" xfId="11224"/>
    <cellStyle name="Note 7 5 2 2" xfId="11225"/>
    <cellStyle name="Note 7 5 2 2 2" xfId="22622"/>
    <cellStyle name="Note 7 5 2 2 2 2" xfId="42690"/>
    <cellStyle name="Note 7 5 2 2 3" xfId="31408"/>
    <cellStyle name="Note 7 5 2 3" xfId="14695"/>
    <cellStyle name="Note 7 5 2 3 2" xfId="34763"/>
    <cellStyle name="Note 7 5 2 4" xfId="31407"/>
    <cellStyle name="Note 7 5 20" xfId="11226"/>
    <cellStyle name="Note 7 5 20 2" xfId="11227"/>
    <cellStyle name="Note 7 5 20 2 2" xfId="22623"/>
    <cellStyle name="Note 7 5 20 2 2 2" xfId="42691"/>
    <cellStyle name="Note 7 5 20 2 3" xfId="31410"/>
    <cellStyle name="Note 7 5 20 3" xfId="15866"/>
    <cellStyle name="Note 7 5 20 3 2" xfId="35934"/>
    <cellStyle name="Note 7 5 20 4" xfId="31409"/>
    <cellStyle name="Note 7 5 21" xfId="11228"/>
    <cellStyle name="Note 7 5 21 2" xfId="11229"/>
    <cellStyle name="Note 7 5 21 2 2" xfId="22624"/>
    <cellStyle name="Note 7 5 21 2 2 2" xfId="42692"/>
    <cellStyle name="Note 7 5 21 2 3" xfId="31412"/>
    <cellStyle name="Note 7 5 21 3" xfId="18432"/>
    <cellStyle name="Note 7 5 21 3 2" xfId="38500"/>
    <cellStyle name="Note 7 5 21 4" xfId="31411"/>
    <cellStyle name="Note 7 5 22" xfId="11230"/>
    <cellStyle name="Note 7 5 22 2" xfId="11231"/>
    <cellStyle name="Note 7 5 22 2 2" xfId="22625"/>
    <cellStyle name="Note 7 5 22 2 2 2" xfId="42693"/>
    <cellStyle name="Note 7 5 22 2 3" xfId="31414"/>
    <cellStyle name="Note 7 5 22 3" xfId="18565"/>
    <cellStyle name="Note 7 5 22 3 2" xfId="38633"/>
    <cellStyle name="Note 7 5 22 4" xfId="31413"/>
    <cellStyle name="Note 7 5 23" xfId="11232"/>
    <cellStyle name="Note 7 5 23 2" xfId="11233"/>
    <cellStyle name="Note 7 5 23 2 2" xfId="22626"/>
    <cellStyle name="Note 7 5 23 2 2 2" xfId="42694"/>
    <cellStyle name="Note 7 5 23 2 3" xfId="31416"/>
    <cellStyle name="Note 7 5 23 3" xfId="18676"/>
    <cellStyle name="Note 7 5 23 3 2" xfId="38744"/>
    <cellStyle name="Note 7 5 23 4" xfId="31415"/>
    <cellStyle name="Note 7 5 24" xfId="11234"/>
    <cellStyle name="Note 7 5 24 2" xfId="11235"/>
    <cellStyle name="Note 7 5 24 2 2" xfId="22627"/>
    <cellStyle name="Note 7 5 24 2 2 2" xfId="42695"/>
    <cellStyle name="Note 7 5 24 2 3" xfId="31418"/>
    <cellStyle name="Note 7 5 24 3" xfId="18776"/>
    <cellStyle name="Note 7 5 24 3 2" xfId="38844"/>
    <cellStyle name="Note 7 5 24 4" xfId="31417"/>
    <cellStyle name="Note 7 5 25" xfId="11236"/>
    <cellStyle name="Note 7 5 25 2" xfId="11237"/>
    <cellStyle name="Note 7 5 25 2 2" xfId="22628"/>
    <cellStyle name="Note 7 5 25 2 2 2" xfId="42696"/>
    <cellStyle name="Note 7 5 25 2 3" xfId="31420"/>
    <cellStyle name="Note 7 5 25 3" xfId="18876"/>
    <cellStyle name="Note 7 5 25 3 2" xfId="38944"/>
    <cellStyle name="Note 7 5 25 4" xfId="31419"/>
    <cellStyle name="Note 7 5 26" xfId="11238"/>
    <cellStyle name="Note 7 5 26 2" xfId="22611"/>
    <cellStyle name="Note 7 5 26 2 2" xfId="42679"/>
    <cellStyle name="Note 7 5 26 3" xfId="31421"/>
    <cellStyle name="Note 7 5 27" xfId="14021"/>
    <cellStyle name="Note 7 5 27 2" xfId="34089"/>
    <cellStyle name="Note 7 5 28" xfId="31386"/>
    <cellStyle name="Note 7 5 3" xfId="11239"/>
    <cellStyle name="Note 7 5 3 2" xfId="11240"/>
    <cellStyle name="Note 7 5 3 2 2" xfId="22629"/>
    <cellStyle name="Note 7 5 3 2 2 2" xfId="42697"/>
    <cellStyle name="Note 7 5 3 2 3" xfId="31423"/>
    <cellStyle name="Note 7 5 3 3" xfId="14819"/>
    <cellStyle name="Note 7 5 3 3 2" xfId="34887"/>
    <cellStyle name="Note 7 5 3 4" xfId="31422"/>
    <cellStyle name="Note 7 5 4" xfId="11241"/>
    <cellStyle name="Note 7 5 4 2" xfId="11242"/>
    <cellStyle name="Note 7 5 4 2 2" xfId="22630"/>
    <cellStyle name="Note 7 5 4 2 2 2" xfId="42698"/>
    <cellStyle name="Note 7 5 4 2 3" xfId="31425"/>
    <cellStyle name="Note 7 5 4 3" xfId="14944"/>
    <cellStyle name="Note 7 5 4 3 2" xfId="35012"/>
    <cellStyle name="Note 7 5 4 4" xfId="31424"/>
    <cellStyle name="Note 7 5 5" xfId="11243"/>
    <cellStyle name="Note 7 5 5 2" xfId="11244"/>
    <cellStyle name="Note 7 5 5 2 2" xfId="22631"/>
    <cellStyle name="Note 7 5 5 2 2 2" xfId="42699"/>
    <cellStyle name="Note 7 5 5 2 3" xfId="31427"/>
    <cellStyle name="Note 7 5 5 3" xfId="15113"/>
    <cellStyle name="Note 7 5 5 3 2" xfId="35181"/>
    <cellStyle name="Note 7 5 5 4" xfId="31426"/>
    <cellStyle name="Note 7 5 6" xfId="11245"/>
    <cellStyle name="Note 7 5 6 2" xfId="11246"/>
    <cellStyle name="Note 7 5 6 2 2" xfId="22632"/>
    <cellStyle name="Note 7 5 6 2 2 2" xfId="42700"/>
    <cellStyle name="Note 7 5 6 2 3" xfId="31429"/>
    <cellStyle name="Note 7 5 6 3" xfId="14348"/>
    <cellStyle name="Note 7 5 6 3 2" xfId="34416"/>
    <cellStyle name="Note 7 5 6 4" xfId="31428"/>
    <cellStyle name="Note 7 5 7" xfId="11247"/>
    <cellStyle name="Note 7 5 7 2" xfId="11248"/>
    <cellStyle name="Note 7 5 7 2 2" xfId="22633"/>
    <cellStyle name="Note 7 5 7 2 2 2" xfId="42701"/>
    <cellStyle name="Note 7 5 7 2 3" xfId="31431"/>
    <cellStyle name="Note 7 5 7 3" xfId="15245"/>
    <cellStyle name="Note 7 5 7 3 2" xfId="35313"/>
    <cellStyle name="Note 7 5 7 4" xfId="31430"/>
    <cellStyle name="Note 7 5 8" xfId="11249"/>
    <cellStyle name="Note 7 5 8 2" xfId="11250"/>
    <cellStyle name="Note 7 5 8 2 2" xfId="22634"/>
    <cellStyle name="Note 7 5 8 2 2 2" xfId="42702"/>
    <cellStyle name="Note 7 5 8 2 3" xfId="31433"/>
    <cellStyle name="Note 7 5 8 3" xfId="16610"/>
    <cellStyle name="Note 7 5 8 3 2" xfId="36678"/>
    <cellStyle name="Note 7 5 8 4" xfId="31432"/>
    <cellStyle name="Note 7 5 9" xfId="11251"/>
    <cellStyle name="Note 7 5 9 2" xfId="11252"/>
    <cellStyle name="Note 7 5 9 2 2" xfId="22635"/>
    <cellStyle name="Note 7 5 9 2 2 2" xfId="42703"/>
    <cellStyle name="Note 7 5 9 2 3" xfId="31435"/>
    <cellStyle name="Note 7 5 9 3" xfId="16814"/>
    <cellStyle name="Note 7 5 9 3 2" xfId="36882"/>
    <cellStyle name="Note 7 5 9 4" xfId="31434"/>
    <cellStyle name="Note 7 6" xfId="11253"/>
    <cellStyle name="Note 7 6 2" xfId="11254"/>
    <cellStyle name="Note 7 6 2 2" xfId="22636"/>
    <cellStyle name="Note 7 6 2 2 2" xfId="42704"/>
    <cellStyle name="Note 7 6 2 3" xfId="31437"/>
    <cellStyle name="Note 7 6 3" xfId="14600"/>
    <cellStyle name="Note 7 6 3 2" xfId="34668"/>
    <cellStyle name="Note 7 6 4" xfId="31436"/>
    <cellStyle name="Note 7 7" xfId="11255"/>
    <cellStyle name="Note 7 7 2" xfId="11256"/>
    <cellStyle name="Note 7 7 2 2" xfId="22637"/>
    <cellStyle name="Note 7 7 2 2 2" xfId="42705"/>
    <cellStyle name="Note 7 7 2 3" xfId="31439"/>
    <cellStyle name="Note 7 7 3" xfId="14410"/>
    <cellStyle name="Note 7 7 3 2" xfId="34478"/>
    <cellStyle name="Note 7 7 4" xfId="31438"/>
    <cellStyle name="Note 7 8" xfId="11257"/>
    <cellStyle name="Note 7 8 2" xfId="11258"/>
    <cellStyle name="Note 7 8 2 2" xfId="22638"/>
    <cellStyle name="Note 7 8 2 2 2" xfId="42706"/>
    <cellStyle name="Note 7 8 2 3" xfId="31441"/>
    <cellStyle name="Note 7 8 3" xfId="14469"/>
    <cellStyle name="Note 7 8 3 2" xfId="34537"/>
    <cellStyle name="Note 7 8 4" xfId="31440"/>
    <cellStyle name="Note 7 9" xfId="11259"/>
    <cellStyle name="Note 7 9 2" xfId="11260"/>
    <cellStyle name="Note 7 9 2 2" xfId="22639"/>
    <cellStyle name="Note 7 9 2 2 2" xfId="42707"/>
    <cellStyle name="Note 7 9 2 3" xfId="31443"/>
    <cellStyle name="Note 7 9 3" xfId="14979"/>
    <cellStyle name="Note 7 9 3 2" xfId="35047"/>
    <cellStyle name="Note 7 9 4" xfId="31442"/>
    <cellStyle name="Note 7_2011-2012" xfId="11261"/>
    <cellStyle name="Note 8" xfId="11262"/>
    <cellStyle name="Note 8 10" xfId="11263"/>
    <cellStyle name="Note 8 10 2" xfId="11264"/>
    <cellStyle name="Note 8 10 2 2" xfId="22641"/>
    <cellStyle name="Note 8 10 2 2 2" xfId="42709"/>
    <cellStyle name="Note 8 10 2 3" xfId="31446"/>
    <cellStyle name="Note 8 10 3" xfId="16479"/>
    <cellStyle name="Note 8 10 3 2" xfId="36547"/>
    <cellStyle name="Note 8 10 4" xfId="31445"/>
    <cellStyle name="Note 8 11" xfId="11265"/>
    <cellStyle name="Note 8 11 2" xfId="11266"/>
    <cellStyle name="Note 8 11 2 2" xfId="22642"/>
    <cellStyle name="Note 8 11 2 2 2" xfId="42710"/>
    <cellStyle name="Note 8 11 2 3" xfId="31448"/>
    <cellStyle name="Note 8 11 3" xfId="16672"/>
    <cellStyle name="Note 8 11 3 2" xfId="36740"/>
    <cellStyle name="Note 8 11 4" xfId="31447"/>
    <cellStyle name="Note 8 12" xfId="11267"/>
    <cellStyle name="Note 8 12 2" xfId="11268"/>
    <cellStyle name="Note 8 12 2 2" xfId="22643"/>
    <cellStyle name="Note 8 12 2 2 2" xfId="42711"/>
    <cellStyle name="Note 8 12 2 3" xfId="31450"/>
    <cellStyle name="Note 8 12 3" xfId="16851"/>
    <cellStyle name="Note 8 12 3 2" xfId="36919"/>
    <cellStyle name="Note 8 12 4" xfId="31449"/>
    <cellStyle name="Note 8 13" xfId="11269"/>
    <cellStyle name="Note 8 13 2" xfId="11270"/>
    <cellStyle name="Note 8 13 2 2" xfId="22644"/>
    <cellStyle name="Note 8 13 2 2 2" xfId="42712"/>
    <cellStyle name="Note 8 13 2 3" xfId="31452"/>
    <cellStyle name="Note 8 13 3" xfId="15702"/>
    <cellStyle name="Note 8 13 3 2" xfId="35770"/>
    <cellStyle name="Note 8 13 4" xfId="31451"/>
    <cellStyle name="Note 8 14" xfId="11271"/>
    <cellStyle name="Note 8 14 2" xfId="11272"/>
    <cellStyle name="Note 8 14 2 2" xfId="22645"/>
    <cellStyle name="Note 8 14 2 2 2" xfId="42713"/>
    <cellStyle name="Note 8 14 2 3" xfId="31454"/>
    <cellStyle name="Note 8 14 3" xfId="17156"/>
    <cellStyle name="Note 8 14 3 2" xfId="37224"/>
    <cellStyle name="Note 8 14 4" xfId="31453"/>
    <cellStyle name="Note 8 15" xfId="11273"/>
    <cellStyle name="Note 8 15 2" xfId="11274"/>
    <cellStyle name="Note 8 15 2 2" xfId="22646"/>
    <cellStyle name="Note 8 15 2 2 2" xfId="42714"/>
    <cellStyle name="Note 8 15 2 3" xfId="31456"/>
    <cellStyle name="Note 8 15 3" xfId="17332"/>
    <cellStyle name="Note 8 15 3 2" xfId="37400"/>
    <cellStyle name="Note 8 15 4" xfId="31455"/>
    <cellStyle name="Note 8 16" xfId="11275"/>
    <cellStyle name="Note 8 16 2" xfId="11276"/>
    <cellStyle name="Note 8 16 2 2" xfId="22647"/>
    <cellStyle name="Note 8 16 2 2 2" xfId="42715"/>
    <cellStyle name="Note 8 16 2 3" xfId="31458"/>
    <cellStyle name="Note 8 16 3" xfId="16213"/>
    <cellStyle name="Note 8 16 3 2" xfId="36281"/>
    <cellStyle name="Note 8 16 4" xfId="31457"/>
    <cellStyle name="Note 8 17" xfId="11277"/>
    <cellStyle name="Note 8 17 2" xfId="11278"/>
    <cellStyle name="Note 8 17 2 2" xfId="22648"/>
    <cellStyle name="Note 8 17 2 2 2" xfId="42716"/>
    <cellStyle name="Note 8 17 2 3" xfId="31460"/>
    <cellStyle name="Note 8 17 3" xfId="17147"/>
    <cellStyle name="Note 8 17 3 2" xfId="37215"/>
    <cellStyle name="Note 8 17 4" xfId="31459"/>
    <cellStyle name="Note 8 18" xfId="11279"/>
    <cellStyle name="Note 8 18 2" xfId="11280"/>
    <cellStyle name="Note 8 18 2 2" xfId="22649"/>
    <cellStyle name="Note 8 18 2 2 2" xfId="42717"/>
    <cellStyle name="Note 8 18 2 3" xfId="31462"/>
    <cellStyle name="Note 8 18 3" xfId="17721"/>
    <cellStyle name="Note 8 18 3 2" xfId="37789"/>
    <cellStyle name="Note 8 18 4" xfId="31461"/>
    <cellStyle name="Note 8 19" xfId="11281"/>
    <cellStyle name="Note 8 19 2" xfId="11282"/>
    <cellStyle name="Note 8 19 2 2" xfId="22650"/>
    <cellStyle name="Note 8 19 2 2 2" xfId="42718"/>
    <cellStyle name="Note 8 19 2 3" xfId="31464"/>
    <cellStyle name="Note 8 19 3" xfId="15593"/>
    <cellStyle name="Note 8 19 3 2" xfId="35661"/>
    <cellStyle name="Note 8 19 4" xfId="31463"/>
    <cellStyle name="Note 8 2" xfId="11283"/>
    <cellStyle name="Note 8 2 10" xfId="11284"/>
    <cellStyle name="Note 8 2 10 2" xfId="11285"/>
    <cellStyle name="Note 8 2 10 2 2" xfId="22652"/>
    <cellStyle name="Note 8 2 10 2 2 2" xfId="42720"/>
    <cellStyle name="Note 8 2 10 2 3" xfId="31467"/>
    <cellStyle name="Note 8 2 10 3" xfId="16979"/>
    <cellStyle name="Note 8 2 10 3 2" xfId="37047"/>
    <cellStyle name="Note 8 2 10 4" xfId="31466"/>
    <cellStyle name="Note 8 2 11" xfId="11286"/>
    <cellStyle name="Note 8 2 11 2" xfId="11287"/>
    <cellStyle name="Note 8 2 11 2 2" xfId="22653"/>
    <cellStyle name="Note 8 2 11 2 2 2" xfId="42721"/>
    <cellStyle name="Note 8 2 11 2 3" xfId="31469"/>
    <cellStyle name="Note 8 2 11 3" xfId="17124"/>
    <cellStyle name="Note 8 2 11 3 2" xfId="37192"/>
    <cellStyle name="Note 8 2 11 4" xfId="31468"/>
    <cellStyle name="Note 8 2 12" xfId="11288"/>
    <cellStyle name="Note 8 2 12 2" xfId="11289"/>
    <cellStyle name="Note 8 2 12 2 2" xfId="22654"/>
    <cellStyle name="Note 8 2 12 2 2 2" xfId="42722"/>
    <cellStyle name="Note 8 2 12 2 3" xfId="31471"/>
    <cellStyle name="Note 8 2 12 3" xfId="17296"/>
    <cellStyle name="Note 8 2 12 3 2" xfId="37364"/>
    <cellStyle name="Note 8 2 12 4" xfId="31470"/>
    <cellStyle name="Note 8 2 13" xfId="11290"/>
    <cellStyle name="Note 8 2 13 2" xfId="11291"/>
    <cellStyle name="Note 8 2 13 2 2" xfId="22655"/>
    <cellStyle name="Note 8 2 13 2 2 2" xfId="42723"/>
    <cellStyle name="Note 8 2 13 2 3" xfId="31473"/>
    <cellStyle name="Note 8 2 13 3" xfId="17460"/>
    <cellStyle name="Note 8 2 13 3 2" xfId="37528"/>
    <cellStyle name="Note 8 2 13 4" xfId="31472"/>
    <cellStyle name="Note 8 2 14" xfId="11292"/>
    <cellStyle name="Note 8 2 14 2" xfId="11293"/>
    <cellStyle name="Note 8 2 14 2 2" xfId="22656"/>
    <cellStyle name="Note 8 2 14 2 2 2" xfId="42724"/>
    <cellStyle name="Note 8 2 14 2 3" xfId="31475"/>
    <cellStyle name="Note 8 2 14 3" xfId="17586"/>
    <cellStyle name="Note 8 2 14 3 2" xfId="37654"/>
    <cellStyle name="Note 8 2 14 4" xfId="31474"/>
    <cellStyle name="Note 8 2 15" xfId="11294"/>
    <cellStyle name="Note 8 2 15 2" xfId="11295"/>
    <cellStyle name="Note 8 2 15 2 2" xfId="22657"/>
    <cellStyle name="Note 8 2 15 2 2 2" xfId="42725"/>
    <cellStyle name="Note 8 2 15 2 3" xfId="31477"/>
    <cellStyle name="Note 8 2 15 3" xfId="16152"/>
    <cellStyle name="Note 8 2 15 3 2" xfId="36220"/>
    <cellStyle name="Note 8 2 15 4" xfId="31476"/>
    <cellStyle name="Note 8 2 16" xfId="11296"/>
    <cellStyle name="Note 8 2 16 2" xfId="11297"/>
    <cellStyle name="Note 8 2 16 2 2" xfId="22658"/>
    <cellStyle name="Note 8 2 16 2 2 2" xfId="42726"/>
    <cellStyle name="Note 8 2 16 2 3" xfId="31479"/>
    <cellStyle name="Note 8 2 16 3" xfId="17836"/>
    <cellStyle name="Note 8 2 16 3 2" xfId="37904"/>
    <cellStyle name="Note 8 2 16 4" xfId="31478"/>
    <cellStyle name="Note 8 2 17" xfId="11298"/>
    <cellStyle name="Note 8 2 17 2" xfId="11299"/>
    <cellStyle name="Note 8 2 17 2 2" xfId="22659"/>
    <cellStyle name="Note 8 2 17 2 2 2" xfId="42727"/>
    <cellStyle name="Note 8 2 17 2 3" xfId="31481"/>
    <cellStyle name="Note 8 2 17 3" xfId="17974"/>
    <cellStyle name="Note 8 2 17 3 2" xfId="38042"/>
    <cellStyle name="Note 8 2 17 4" xfId="31480"/>
    <cellStyle name="Note 8 2 18" xfId="11300"/>
    <cellStyle name="Note 8 2 18 2" xfId="11301"/>
    <cellStyle name="Note 8 2 18 2 2" xfId="22660"/>
    <cellStyle name="Note 8 2 18 2 2 2" xfId="42728"/>
    <cellStyle name="Note 8 2 18 2 3" xfId="31483"/>
    <cellStyle name="Note 8 2 18 3" xfId="18113"/>
    <cellStyle name="Note 8 2 18 3 2" xfId="38181"/>
    <cellStyle name="Note 8 2 18 4" xfId="31482"/>
    <cellStyle name="Note 8 2 19" xfId="11302"/>
    <cellStyle name="Note 8 2 19 2" xfId="11303"/>
    <cellStyle name="Note 8 2 19 2 2" xfId="22661"/>
    <cellStyle name="Note 8 2 19 2 2 2" xfId="42729"/>
    <cellStyle name="Note 8 2 19 2 3" xfId="31485"/>
    <cellStyle name="Note 8 2 19 3" xfId="18231"/>
    <cellStyle name="Note 8 2 19 3 2" xfId="38299"/>
    <cellStyle name="Note 8 2 19 4" xfId="31484"/>
    <cellStyle name="Note 8 2 2" xfId="11304"/>
    <cellStyle name="Note 8 2 2 2" xfId="11305"/>
    <cellStyle name="Note 8 2 2 2 2" xfId="22662"/>
    <cellStyle name="Note 8 2 2 2 2 2" xfId="42730"/>
    <cellStyle name="Note 8 2 2 2 3" xfId="31487"/>
    <cellStyle name="Note 8 2 2 3" xfId="14699"/>
    <cellStyle name="Note 8 2 2 3 2" xfId="34767"/>
    <cellStyle name="Note 8 2 2 4" xfId="31486"/>
    <cellStyle name="Note 8 2 20" xfId="11306"/>
    <cellStyle name="Note 8 2 20 2" xfId="11307"/>
    <cellStyle name="Note 8 2 20 2 2" xfId="22663"/>
    <cellStyle name="Note 8 2 20 2 2 2" xfId="42731"/>
    <cellStyle name="Note 8 2 20 2 3" xfId="31489"/>
    <cellStyle name="Note 8 2 20 3" xfId="18144"/>
    <cellStyle name="Note 8 2 20 3 2" xfId="38212"/>
    <cellStyle name="Note 8 2 20 4" xfId="31488"/>
    <cellStyle name="Note 8 2 21" xfId="11308"/>
    <cellStyle name="Note 8 2 21 2" xfId="11309"/>
    <cellStyle name="Note 8 2 21 2 2" xfId="22664"/>
    <cellStyle name="Note 8 2 21 2 2 2" xfId="42732"/>
    <cellStyle name="Note 8 2 21 2 3" xfId="31491"/>
    <cellStyle name="Note 8 2 21 3" xfId="18436"/>
    <cellStyle name="Note 8 2 21 3 2" xfId="38504"/>
    <cellStyle name="Note 8 2 21 4" xfId="31490"/>
    <cellStyle name="Note 8 2 22" xfId="11310"/>
    <cellStyle name="Note 8 2 22 2" xfId="11311"/>
    <cellStyle name="Note 8 2 22 2 2" xfId="22665"/>
    <cellStyle name="Note 8 2 22 2 2 2" xfId="42733"/>
    <cellStyle name="Note 8 2 22 2 3" xfId="31493"/>
    <cellStyle name="Note 8 2 22 3" xfId="18569"/>
    <cellStyle name="Note 8 2 22 3 2" xfId="38637"/>
    <cellStyle name="Note 8 2 22 4" xfId="31492"/>
    <cellStyle name="Note 8 2 23" xfId="11312"/>
    <cellStyle name="Note 8 2 23 2" xfId="11313"/>
    <cellStyle name="Note 8 2 23 2 2" xfId="22666"/>
    <cellStyle name="Note 8 2 23 2 2 2" xfId="42734"/>
    <cellStyle name="Note 8 2 23 2 3" xfId="31495"/>
    <cellStyle name="Note 8 2 23 3" xfId="18680"/>
    <cellStyle name="Note 8 2 23 3 2" xfId="38748"/>
    <cellStyle name="Note 8 2 23 4" xfId="31494"/>
    <cellStyle name="Note 8 2 24" xfId="11314"/>
    <cellStyle name="Note 8 2 24 2" xfId="11315"/>
    <cellStyle name="Note 8 2 24 2 2" xfId="22667"/>
    <cellStyle name="Note 8 2 24 2 2 2" xfId="42735"/>
    <cellStyle name="Note 8 2 24 2 3" xfId="31497"/>
    <cellStyle name="Note 8 2 24 3" xfId="18780"/>
    <cellStyle name="Note 8 2 24 3 2" xfId="38848"/>
    <cellStyle name="Note 8 2 24 4" xfId="31496"/>
    <cellStyle name="Note 8 2 25" xfId="11316"/>
    <cellStyle name="Note 8 2 25 2" xfId="11317"/>
    <cellStyle name="Note 8 2 25 2 2" xfId="22668"/>
    <cellStyle name="Note 8 2 25 2 2 2" xfId="42736"/>
    <cellStyle name="Note 8 2 25 2 3" xfId="31499"/>
    <cellStyle name="Note 8 2 25 3" xfId="18880"/>
    <cellStyle name="Note 8 2 25 3 2" xfId="38948"/>
    <cellStyle name="Note 8 2 25 4" xfId="31498"/>
    <cellStyle name="Note 8 2 26" xfId="11318"/>
    <cellStyle name="Note 8 2 26 2" xfId="22651"/>
    <cellStyle name="Note 8 2 26 2 2" xfId="42719"/>
    <cellStyle name="Note 8 2 26 3" xfId="31500"/>
    <cellStyle name="Note 8 2 27" xfId="14101"/>
    <cellStyle name="Note 8 2 27 2" xfId="34169"/>
    <cellStyle name="Note 8 2 28" xfId="31465"/>
    <cellStyle name="Note 8 2 3" xfId="11319"/>
    <cellStyle name="Note 8 2 3 2" xfId="11320"/>
    <cellStyle name="Note 8 2 3 2 2" xfId="22669"/>
    <cellStyle name="Note 8 2 3 2 2 2" xfId="42737"/>
    <cellStyle name="Note 8 2 3 2 3" xfId="31502"/>
    <cellStyle name="Note 8 2 3 3" xfId="14823"/>
    <cellStyle name="Note 8 2 3 3 2" xfId="34891"/>
    <cellStyle name="Note 8 2 3 4" xfId="31501"/>
    <cellStyle name="Note 8 2 4" xfId="11321"/>
    <cellStyle name="Note 8 2 4 2" xfId="11322"/>
    <cellStyle name="Note 8 2 4 2 2" xfId="22670"/>
    <cellStyle name="Note 8 2 4 2 2 2" xfId="42738"/>
    <cellStyle name="Note 8 2 4 2 3" xfId="31504"/>
    <cellStyle name="Note 8 2 4 3" xfId="14948"/>
    <cellStyle name="Note 8 2 4 3 2" xfId="35016"/>
    <cellStyle name="Note 8 2 4 4" xfId="31503"/>
    <cellStyle name="Note 8 2 5" xfId="11323"/>
    <cellStyle name="Note 8 2 5 2" xfId="11324"/>
    <cellStyle name="Note 8 2 5 2 2" xfId="22671"/>
    <cellStyle name="Note 8 2 5 2 2 2" xfId="42739"/>
    <cellStyle name="Note 8 2 5 2 3" xfId="31506"/>
    <cellStyle name="Note 8 2 5 3" xfId="15117"/>
    <cellStyle name="Note 8 2 5 3 2" xfId="35185"/>
    <cellStyle name="Note 8 2 5 4" xfId="31505"/>
    <cellStyle name="Note 8 2 6" xfId="11325"/>
    <cellStyle name="Note 8 2 6 2" xfId="11326"/>
    <cellStyle name="Note 8 2 6 2 2" xfId="22672"/>
    <cellStyle name="Note 8 2 6 2 2 2" xfId="42740"/>
    <cellStyle name="Note 8 2 6 2 3" xfId="31508"/>
    <cellStyle name="Note 8 2 6 3" xfId="14024"/>
    <cellStyle name="Note 8 2 6 3 2" xfId="34092"/>
    <cellStyle name="Note 8 2 6 4" xfId="31507"/>
    <cellStyle name="Note 8 2 7" xfId="11327"/>
    <cellStyle name="Note 8 2 7 2" xfId="11328"/>
    <cellStyle name="Note 8 2 7 2 2" xfId="22673"/>
    <cellStyle name="Note 8 2 7 2 2 2" xfId="42741"/>
    <cellStyle name="Note 8 2 7 2 3" xfId="31510"/>
    <cellStyle name="Note 8 2 7 3" xfId="15249"/>
    <cellStyle name="Note 8 2 7 3 2" xfId="35317"/>
    <cellStyle name="Note 8 2 7 4" xfId="31509"/>
    <cellStyle name="Note 8 2 8" xfId="11329"/>
    <cellStyle name="Note 8 2 8 2" xfId="11330"/>
    <cellStyle name="Note 8 2 8 2 2" xfId="22674"/>
    <cellStyle name="Note 8 2 8 2 2 2" xfId="42742"/>
    <cellStyle name="Note 8 2 8 2 3" xfId="31512"/>
    <cellStyle name="Note 8 2 8 3" xfId="16614"/>
    <cellStyle name="Note 8 2 8 3 2" xfId="36682"/>
    <cellStyle name="Note 8 2 8 4" xfId="31511"/>
    <cellStyle name="Note 8 2 9" xfId="11331"/>
    <cellStyle name="Note 8 2 9 2" xfId="11332"/>
    <cellStyle name="Note 8 2 9 2 2" xfId="22675"/>
    <cellStyle name="Note 8 2 9 2 2 2" xfId="42743"/>
    <cellStyle name="Note 8 2 9 2 3" xfId="31514"/>
    <cellStyle name="Note 8 2 9 3" xfId="16818"/>
    <cellStyle name="Note 8 2 9 3 2" xfId="36886"/>
    <cellStyle name="Note 8 2 9 4" xfId="31513"/>
    <cellStyle name="Note 8 20" xfId="11333"/>
    <cellStyle name="Note 8 20 2" xfId="11334"/>
    <cellStyle name="Note 8 20 2 2" xfId="22676"/>
    <cellStyle name="Note 8 20 2 2 2" xfId="42744"/>
    <cellStyle name="Note 8 20 2 3" xfId="31516"/>
    <cellStyle name="Note 8 20 3" xfId="18004"/>
    <cellStyle name="Note 8 20 3 2" xfId="38072"/>
    <cellStyle name="Note 8 20 4" xfId="31515"/>
    <cellStyle name="Note 8 21" xfId="11335"/>
    <cellStyle name="Note 8 21 2" xfId="11336"/>
    <cellStyle name="Note 8 21 2 2" xfId="22677"/>
    <cellStyle name="Note 8 21 2 2 2" xfId="42745"/>
    <cellStyle name="Note 8 21 2 3" xfId="31518"/>
    <cellStyle name="Note 8 21 3" xfId="15829"/>
    <cellStyle name="Note 8 21 3 2" xfId="35897"/>
    <cellStyle name="Note 8 21 4" xfId="31517"/>
    <cellStyle name="Note 8 22" xfId="11337"/>
    <cellStyle name="Note 8 22 2" xfId="11338"/>
    <cellStyle name="Note 8 22 2 2" xfId="22678"/>
    <cellStyle name="Note 8 22 2 2 2" xfId="42746"/>
    <cellStyle name="Note 8 22 2 3" xfId="31520"/>
    <cellStyle name="Note 8 22 3" xfId="16343"/>
    <cellStyle name="Note 8 22 3 2" xfId="36411"/>
    <cellStyle name="Note 8 22 4" xfId="31519"/>
    <cellStyle name="Note 8 23" xfId="11339"/>
    <cellStyle name="Note 8 23 2" xfId="11340"/>
    <cellStyle name="Note 8 23 2 2" xfId="22679"/>
    <cellStyle name="Note 8 23 2 2 2" xfId="42747"/>
    <cellStyle name="Note 8 23 2 3" xfId="31522"/>
    <cellStyle name="Note 8 23 3" xfId="15985"/>
    <cellStyle name="Note 8 23 3 2" xfId="36053"/>
    <cellStyle name="Note 8 23 4" xfId="31521"/>
    <cellStyle name="Note 8 24" xfId="11341"/>
    <cellStyle name="Note 8 24 2" xfId="11342"/>
    <cellStyle name="Note 8 24 2 2" xfId="22680"/>
    <cellStyle name="Note 8 24 2 2 2" xfId="42748"/>
    <cellStyle name="Note 8 24 2 3" xfId="31524"/>
    <cellStyle name="Note 8 24 3" xfId="18464"/>
    <cellStyle name="Note 8 24 3 2" xfId="38532"/>
    <cellStyle name="Note 8 24 4" xfId="31523"/>
    <cellStyle name="Note 8 25" xfId="11343"/>
    <cellStyle name="Note 8 25 2" xfId="11344"/>
    <cellStyle name="Note 8 25 2 2" xfId="22681"/>
    <cellStyle name="Note 8 25 2 2 2" xfId="42749"/>
    <cellStyle name="Note 8 25 2 3" xfId="31526"/>
    <cellStyle name="Note 8 25 3" xfId="16433"/>
    <cellStyle name="Note 8 25 3 2" xfId="36501"/>
    <cellStyle name="Note 8 25 4" xfId="31525"/>
    <cellStyle name="Note 8 26" xfId="11345"/>
    <cellStyle name="Note 8 26 2" xfId="11346"/>
    <cellStyle name="Note 8 26 2 2" xfId="22682"/>
    <cellStyle name="Note 8 26 2 2 2" xfId="42750"/>
    <cellStyle name="Note 8 26 2 3" xfId="31528"/>
    <cellStyle name="Note 8 26 3" xfId="15543"/>
    <cellStyle name="Note 8 26 3 2" xfId="35611"/>
    <cellStyle name="Note 8 26 4" xfId="31527"/>
    <cellStyle name="Note 8 27" xfId="11347"/>
    <cellStyle name="Note 8 27 2" xfId="11348"/>
    <cellStyle name="Note 8 27 2 2" xfId="22683"/>
    <cellStyle name="Note 8 27 2 2 2" xfId="42751"/>
    <cellStyle name="Note 8 27 2 3" xfId="31530"/>
    <cellStyle name="Note 8 27 3" xfId="17792"/>
    <cellStyle name="Note 8 27 3 2" xfId="37860"/>
    <cellStyle name="Note 8 27 4" xfId="31529"/>
    <cellStyle name="Note 8 28" xfId="11349"/>
    <cellStyle name="Note 8 28 2" xfId="22640"/>
    <cellStyle name="Note 8 28 2 2" xfId="42708"/>
    <cellStyle name="Note 8 28 3" xfId="31531"/>
    <cellStyle name="Note 8 29" xfId="13930"/>
    <cellStyle name="Note 8 29 2" xfId="33998"/>
    <cellStyle name="Note 8 3" xfId="11350"/>
    <cellStyle name="Note 8 3 2" xfId="11351"/>
    <cellStyle name="Note 8 3 2 2" xfId="22684"/>
    <cellStyle name="Note 8 3 2 2 2" xfId="42752"/>
    <cellStyle name="Note 8 3 2 3" xfId="31533"/>
    <cellStyle name="Note 8 3 3" xfId="14484"/>
    <cellStyle name="Note 8 3 3 2" xfId="34552"/>
    <cellStyle name="Note 8 3 4" xfId="31532"/>
    <cellStyle name="Note 8 30" xfId="31444"/>
    <cellStyle name="Note 8 4" xfId="11352"/>
    <cellStyle name="Note 8 4 2" xfId="11353"/>
    <cellStyle name="Note 8 4 2 2" xfId="22685"/>
    <cellStyle name="Note 8 4 2 2 2" xfId="42753"/>
    <cellStyle name="Note 8 4 2 3" xfId="31535"/>
    <cellStyle name="Note 8 4 3" xfId="14315"/>
    <cellStyle name="Note 8 4 3 2" xfId="34383"/>
    <cellStyle name="Note 8 4 4" xfId="31534"/>
    <cellStyle name="Note 8 5" xfId="11354"/>
    <cellStyle name="Note 8 5 2" xfId="11355"/>
    <cellStyle name="Note 8 5 2 2" xfId="22686"/>
    <cellStyle name="Note 8 5 2 2 2" xfId="42754"/>
    <cellStyle name="Note 8 5 2 3" xfId="31537"/>
    <cellStyle name="Note 8 5 3" xfId="14138"/>
    <cellStyle name="Note 8 5 3 2" xfId="34206"/>
    <cellStyle name="Note 8 5 4" xfId="31536"/>
    <cellStyle name="Note 8 6" xfId="11356"/>
    <cellStyle name="Note 8 6 2" xfId="11357"/>
    <cellStyle name="Note 8 6 2 2" xfId="22687"/>
    <cellStyle name="Note 8 6 2 2 2" xfId="42755"/>
    <cellStyle name="Note 8 6 2 3" xfId="31539"/>
    <cellStyle name="Note 8 6 3" xfId="14983"/>
    <cellStyle name="Note 8 6 3 2" xfId="35051"/>
    <cellStyle name="Note 8 6 4" xfId="31538"/>
    <cellStyle name="Note 8 7" xfId="11358"/>
    <cellStyle name="Note 8 7 2" xfId="11359"/>
    <cellStyle name="Note 8 7 2 2" xfId="22688"/>
    <cellStyle name="Note 8 7 2 2 2" xfId="42756"/>
    <cellStyle name="Note 8 7 2 3" xfId="31541"/>
    <cellStyle name="Note 8 7 3" xfId="14400"/>
    <cellStyle name="Note 8 7 3 2" xfId="34468"/>
    <cellStyle name="Note 8 7 4" xfId="31540"/>
    <cellStyle name="Note 8 8" xfId="11360"/>
    <cellStyle name="Note 8 8 2" xfId="11361"/>
    <cellStyle name="Note 8 8 2 2" xfId="22689"/>
    <cellStyle name="Note 8 8 2 2 2" xfId="42757"/>
    <cellStyle name="Note 8 8 2 3" xfId="31543"/>
    <cellStyle name="Note 8 8 3" xfId="15157"/>
    <cellStyle name="Note 8 8 3 2" xfId="35225"/>
    <cellStyle name="Note 8 8 4" xfId="31542"/>
    <cellStyle name="Note 8 9" xfId="11362"/>
    <cellStyle name="Note 8 9 2" xfId="11363"/>
    <cellStyle name="Note 8 9 2 2" xfId="22690"/>
    <cellStyle name="Note 8 9 2 2 2" xfId="42758"/>
    <cellStyle name="Note 8 9 2 3" xfId="31545"/>
    <cellStyle name="Note 8 9 3" xfId="15336"/>
    <cellStyle name="Note 8 9 3 2" xfId="35404"/>
    <cellStyle name="Note 8 9 4" xfId="31544"/>
    <cellStyle name="Output" xfId="13" builtinId="21" customBuiltin="1"/>
    <cellStyle name="Output 2" xfId="11364"/>
    <cellStyle name="Output 2 10" xfId="11365"/>
    <cellStyle name="Output 2 10 2" xfId="11366"/>
    <cellStyle name="Output 2 10 2 2" xfId="22692"/>
    <cellStyle name="Output 2 10 2 2 2" xfId="42760"/>
    <cellStyle name="Output 2 10 2 3" xfId="31548"/>
    <cellStyle name="Output 2 10 3" xfId="14984"/>
    <cellStyle name="Output 2 10 3 2" xfId="35052"/>
    <cellStyle name="Output 2 10 4" xfId="31547"/>
    <cellStyle name="Output 2 11" xfId="11367"/>
    <cellStyle name="Output 2 11 2" xfId="11368"/>
    <cellStyle name="Output 2 11 2 2" xfId="22693"/>
    <cellStyle name="Output 2 11 2 2 2" xfId="42761"/>
    <cellStyle name="Output 2 11 2 3" xfId="31550"/>
    <cellStyle name="Output 2 11 3" xfId="14354"/>
    <cellStyle name="Output 2 11 3 2" xfId="34422"/>
    <cellStyle name="Output 2 11 4" xfId="31549"/>
    <cellStyle name="Output 2 12" xfId="11369"/>
    <cellStyle name="Output 2 12 2" xfId="11370"/>
    <cellStyle name="Output 2 12 2 2" xfId="22694"/>
    <cellStyle name="Output 2 12 2 2 2" xfId="42762"/>
    <cellStyle name="Output 2 12 2 3" xfId="31552"/>
    <cellStyle name="Output 2 12 3" xfId="15158"/>
    <cellStyle name="Output 2 12 3 2" xfId="35226"/>
    <cellStyle name="Output 2 12 4" xfId="31551"/>
    <cellStyle name="Output 2 13" xfId="11371"/>
    <cellStyle name="Output 2 13 2" xfId="11372"/>
    <cellStyle name="Output 2 13 2 2" xfId="22695"/>
    <cellStyle name="Output 2 13 2 2 2" xfId="42763"/>
    <cellStyle name="Output 2 13 2 3" xfId="31554"/>
    <cellStyle name="Output 2 13 3" xfId="15337"/>
    <cellStyle name="Output 2 13 3 2" xfId="35405"/>
    <cellStyle name="Output 2 13 4" xfId="31553"/>
    <cellStyle name="Output 2 14" xfId="11373"/>
    <cellStyle name="Output 2 14 2" xfId="11374"/>
    <cellStyle name="Output 2 14 2 2" xfId="22696"/>
    <cellStyle name="Output 2 14 2 2 2" xfId="42764"/>
    <cellStyle name="Output 2 14 2 3" xfId="31556"/>
    <cellStyle name="Output 2 14 3" xfId="16480"/>
    <cellStyle name="Output 2 14 3 2" xfId="36548"/>
    <cellStyle name="Output 2 14 4" xfId="31555"/>
    <cellStyle name="Output 2 15" xfId="11375"/>
    <cellStyle name="Output 2 15 2" xfId="11376"/>
    <cellStyle name="Output 2 15 2 2" xfId="22697"/>
    <cellStyle name="Output 2 15 2 2 2" xfId="42765"/>
    <cellStyle name="Output 2 15 2 3" xfId="31558"/>
    <cellStyle name="Output 2 15 3" xfId="16673"/>
    <cellStyle name="Output 2 15 3 2" xfId="36741"/>
    <cellStyle name="Output 2 15 4" xfId="31557"/>
    <cellStyle name="Output 2 16" xfId="11377"/>
    <cellStyle name="Output 2 16 2" xfId="11378"/>
    <cellStyle name="Output 2 16 2 2" xfId="22698"/>
    <cellStyle name="Output 2 16 2 2 2" xfId="42766"/>
    <cellStyle name="Output 2 16 2 3" xfId="31560"/>
    <cellStyle name="Output 2 16 3" xfId="16852"/>
    <cellStyle name="Output 2 16 3 2" xfId="36920"/>
    <cellStyle name="Output 2 16 4" xfId="31559"/>
    <cellStyle name="Output 2 17" xfId="11379"/>
    <cellStyle name="Output 2 17 2" xfId="11380"/>
    <cellStyle name="Output 2 17 2 2" xfId="22699"/>
    <cellStyle name="Output 2 17 2 2 2" xfId="42767"/>
    <cellStyle name="Output 2 17 2 3" xfId="31562"/>
    <cellStyle name="Output 2 17 3" xfId="15701"/>
    <cellStyle name="Output 2 17 3 2" xfId="35769"/>
    <cellStyle name="Output 2 17 4" xfId="31561"/>
    <cellStyle name="Output 2 18" xfId="11381"/>
    <cellStyle name="Output 2 18 2" xfId="11382"/>
    <cellStyle name="Output 2 18 2 2" xfId="22700"/>
    <cellStyle name="Output 2 18 2 2 2" xfId="42768"/>
    <cellStyle name="Output 2 18 2 3" xfId="31564"/>
    <cellStyle name="Output 2 18 3" xfId="17157"/>
    <cellStyle name="Output 2 18 3 2" xfId="37225"/>
    <cellStyle name="Output 2 18 4" xfId="31563"/>
    <cellStyle name="Output 2 19" xfId="11383"/>
    <cellStyle name="Output 2 19 2" xfId="11384"/>
    <cellStyle name="Output 2 19 2 2" xfId="22701"/>
    <cellStyle name="Output 2 19 2 2 2" xfId="42769"/>
    <cellStyle name="Output 2 19 2 3" xfId="31566"/>
    <cellStyle name="Output 2 19 3" xfId="17333"/>
    <cellStyle name="Output 2 19 3 2" xfId="37401"/>
    <cellStyle name="Output 2 19 4" xfId="31565"/>
    <cellStyle name="Output 2 2" xfId="11385"/>
    <cellStyle name="Output 2 2 10" xfId="11386"/>
    <cellStyle name="Output 2 2 10 2" xfId="11387"/>
    <cellStyle name="Output 2 2 10 2 2" xfId="22703"/>
    <cellStyle name="Output 2 2 10 2 2 2" xfId="42771"/>
    <cellStyle name="Output 2 2 10 2 3" xfId="31569"/>
    <cellStyle name="Output 2 2 10 3" xfId="16481"/>
    <cellStyle name="Output 2 2 10 3 2" xfId="36549"/>
    <cellStyle name="Output 2 2 10 4" xfId="31568"/>
    <cellStyle name="Output 2 2 11" xfId="11388"/>
    <cellStyle name="Output 2 2 11 2" xfId="11389"/>
    <cellStyle name="Output 2 2 11 2 2" xfId="22704"/>
    <cellStyle name="Output 2 2 11 2 2 2" xfId="42772"/>
    <cellStyle name="Output 2 2 11 2 3" xfId="31571"/>
    <cellStyle name="Output 2 2 11 3" xfId="16674"/>
    <cellStyle name="Output 2 2 11 3 2" xfId="36742"/>
    <cellStyle name="Output 2 2 11 4" xfId="31570"/>
    <cellStyle name="Output 2 2 12" xfId="11390"/>
    <cellStyle name="Output 2 2 12 2" xfId="11391"/>
    <cellStyle name="Output 2 2 12 2 2" xfId="22705"/>
    <cellStyle name="Output 2 2 12 2 2 2" xfId="42773"/>
    <cellStyle name="Output 2 2 12 2 3" xfId="31573"/>
    <cellStyle name="Output 2 2 12 3" xfId="16853"/>
    <cellStyle name="Output 2 2 12 3 2" xfId="36921"/>
    <cellStyle name="Output 2 2 12 4" xfId="31572"/>
    <cellStyle name="Output 2 2 13" xfId="11392"/>
    <cellStyle name="Output 2 2 13 2" xfId="11393"/>
    <cellStyle name="Output 2 2 13 2 2" xfId="22706"/>
    <cellStyle name="Output 2 2 13 2 2 2" xfId="42774"/>
    <cellStyle name="Output 2 2 13 2 3" xfId="31575"/>
    <cellStyle name="Output 2 2 13 3" xfId="15700"/>
    <cellStyle name="Output 2 2 13 3 2" xfId="35768"/>
    <cellStyle name="Output 2 2 13 4" xfId="31574"/>
    <cellStyle name="Output 2 2 14" xfId="11394"/>
    <cellStyle name="Output 2 2 14 2" xfId="11395"/>
    <cellStyle name="Output 2 2 14 2 2" xfId="22707"/>
    <cellStyle name="Output 2 2 14 2 2 2" xfId="42775"/>
    <cellStyle name="Output 2 2 14 2 3" xfId="31577"/>
    <cellStyle name="Output 2 2 14 3" xfId="17158"/>
    <cellStyle name="Output 2 2 14 3 2" xfId="37226"/>
    <cellStyle name="Output 2 2 14 4" xfId="31576"/>
    <cellStyle name="Output 2 2 15" xfId="11396"/>
    <cellStyle name="Output 2 2 15 2" xfId="11397"/>
    <cellStyle name="Output 2 2 15 2 2" xfId="22708"/>
    <cellStyle name="Output 2 2 15 2 2 2" xfId="42776"/>
    <cellStyle name="Output 2 2 15 2 3" xfId="31579"/>
    <cellStyle name="Output 2 2 15 3" xfId="17334"/>
    <cellStyle name="Output 2 2 15 3 2" xfId="37402"/>
    <cellStyle name="Output 2 2 15 4" xfId="31578"/>
    <cellStyle name="Output 2 2 16" xfId="11398"/>
    <cellStyle name="Output 2 2 16 2" xfId="11399"/>
    <cellStyle name="Output 2 2 16 2 2" xfId="22709"/>
    <cellStyle name="Output 2 2 16 2 2 2" xfId="42777"/>
    <cellStyle name="Output 2 2 16 2 3" xfId="31581"/>
    <cellStyle name="Output 2 2 16 3" xfId="16215"/>
    <cellStyle name="Output 2 2 16 3 2" xfId="36283"/>
    <cellStyle name="Output 2 2 16 4" xfId="31580"/>
    <cellStyle name="Output 2 2 17" xfId="11400"/>
    <cellStyle name="Output 2 2 17 2" xfId="11401"/>
    <cellStyle name="Output 2 2 17 2 2" xfId="22710"/>
    <cellStyle name="Output 2 2 17 2 2 2" xfId="42778"/>
    <cellStyle name="Output 2 2 17 2 3" xfId="31583"/>
    <cellStyle name="Output 2 2 17 3" xfId="17610"/>
    <cellStyle name="Output 2 2 17 3 2" xfId="37678"/>
    <cellStyle name="Output 2 2 17 4" xfId="31582"/>
    <cellStyle name="Output 2 2 18" xfId="11402"/>
    <cellStyle name="Output 2 2 18 2" xfId="11403"/>
    <cellStyle name="Output 2 2 18 2 2" xfId="22711"/>
    <cellStyle name="Output 2 2 18 2 2 2" xfId="42779"/>
    <cellStyle name="Output 2 2 18 2 3" xfId="31585"/>
    <cellStyle name="Output 2 2 18 3" xfId="17723"/>
    <cellStyle name="Output 2 2 18 3 2" xfId="37791"/>
    <cellStyle name="Output 2 2 18 4" xfId="31584"/>
    <cellStyle name="Output 2 2 19" xfId="11404"/>
    <cellStyle name="Output 2 2 19 2" xfId="11405"/>
    <cellStyle name="Output 2 2 19 2 2" xfId="22712"/>
    <cellStyle name="Output 2 2 19 2 2 2" xfId="42780"/>
    <cellStyle name="Output 2 2 19 2 3" xfId="31587"/>
    <cellStyle name="Output 2 2 19 3" xfId="15959"/>
    <cellStyle name="Output 2 2 19 3 2" xfId="36027"/>
    <cellStyle name="Output 2 2 19 4" xfId="31586"/>
    <cellStyle name="Output 2 2 2" xfId="11406"/>
    <cellStyle name="Output 2 2 2 10" xfId="11407"/>
    <cellStyle name="Output 2 2 2 10 2" xfId="11408"/>
    <cellStyle name="Output 2 2 2 10 2 2" xfId="22714"/>
    <cellStyle name="Output 2 2 2 10 2 2 2" xfId="42782"/>
    <cellStyle name="Output 2 2 2 10 2 3" xfId="31590"/>
    <cellStyle name="Output 2 2 2 10 3" xfId="16981"/>
    <cellStyle name="Output 2 2 2 10 3 2" xfId="37049"/>
    <cellStyle name="Output 2 2 2 10 4" xfId="31589"/>
    <cellStyle name="Output 2 2 2 11" xfId="11409"/>
    <cellStyle name="Output 2 2 2 11 2" xfId="11410"/>
    <cellStyle name="Output 2 2 2 11 2 2" xfId="22715"/>
    <cellStyle name="Output 2 2 2 11 2 2 2" xfId="42783"/>
    <cellStyle name="Output 2 2 2 11 2 3" xfId="31592"/>
    <cellStyle name="Output 2 2 2 11 3" xfId="17126"/>
    <cellStyle name="Output 2 2 2 11 3 2" xfId="37194"/>
    <cellStyle name="Output 2 2 2 11 4" xfId="31591"/>
    <cellStyle name="Output 2 2 2 12" xfId="11411"/>
    <cellStyle name="Output 2 2 2 12 2" xfId="11412"/>
    <cellStyle name="Output 2 2 2 12 2 2" xfId="22716"/>
    <cellStyle name="Output 2 2 2 12 2 2 2" xfId="42784"/>
    <cellStyle name="Output 2 2 2 12 2 3" xfId="31594"/>
    <cellStyle name="Output 2 2 2 12 3" xfId="17298"/>
    <cellStyle name="Output 2 2 2 12 3 2" xfId="37366"/>
    <cellStyle name="Output 2 2 2 12 4" xfId="31593"/>
    <cellStyle name="Output 2 2 2 13" xfId="11413"/>
    <cellStyle name="Output 2 2 2 13 2" xfId="11414"/>
    <cellStyle name="Output 2 2 2 13 2 2" xfId="22717"/>
    <cellStyle name="Output 2 2 2 13 2 2 2" xfId="42785"/>
    <cellStyle name="Output 2 2 2 13 2 3" xfId="31596"/>
    <cellStyle name="Output 2 2 2 13 3" xfId="17462"/>
    <cellStyle name="Output 2 2 2 13 3 2" xfId="37530"/>
    <cellStyle name="Output 2 2 2 13 4" xfId="31595"/>
    <cellStyle name="Output 2 2 2 14" xfId="11415"/>
    <cellStyle name="Output 2 2 2 14 2" xfId="11416"/>
    <cellStyle name="Output 2 2 2 14 2 2" xfId="22718"/>
    <cellStyle name="Output 2 2 2 14 2 2 2" xfId="42786"/>
    <cellStyle name="Output 2 2 2 14 2 3" xfId="31598"/>
    <cellStyle name="Output 2 2 2 14 3" xfId="17588"/>
    <cellStyle name="Output 2 2 2 14 3 2" xfId="37656"/>
    <cellStyle name="Output 2 2 2 14 4" xfId="31597"/>
    <cellStyle name="Output 2 2 2 15" xfId="11417"/>
    <cellStyle name="Output 2 2 2 15 2" xfId="11418"/>
    <cellStyle name="Output 2 2 2 15 2 2" xfId="22719"/>
    <cellStyle name="Output 2 2 2 15 2 2 2" xfId="42787"/>
    <cellStyle name="Output 2 2 2 15 2 3" xfId="31600"/>
    <cellStyle name="Output 2 2 2 15 3" xfId="15502"/>
    <cellStyle name="Output 2 2 2 15 3 2" xfId="35570"/>
    <cellStyle name="Output 2 2 2 15 4" xfId="31599"/>
    <cellStyle name="Output 2 2 2 16" xfId="11419"/>
    <cellStyle name="Output 2 2 2 16 2" xfId="11420"/>
    <cellStyle name="Output 2 2 2 16 2 2" xfId="22720"/>
    <cellStyle name="Output 2 2 2 16 2 2 2" xfId="42788"/>
    <cellStyle name="Output 2 2 2 16 2 3" xfId="31602"/>
    <cellStyle name="Output 2 2 2 16 3" xfId="17838"/>
    <cellStyle name="Output 2 2 2 16 3 2" xfId="37906"/>
    <cellStyle name="Output 2 2 2 16 4" xfId="31601"/>
    <cellStyle name="Output 2 2 2 17" xfId="11421"/>
    <cellStyle name="Output 2 2 2 17 2" xfId="11422"/>
    <cellStyle name="Output 2 2 2 17 2 2" xfId="22721"/>
    <cellStyle name="Output 2 2 2 17 2 2 2" xfId="42789"/>
    <cellStyle name="Output 2 2 2 17 2 3" xfId="31604"/>
    <cellStyle name="Output 2 2 2 17 3" xfId="17976"/>
    <cellStyle name="Output 2 2 2 17 3 2" xfId="38044"/>
    <cellStyle name="Output 2 2 2 17 4" xfId="31603"/>
    <cellStyle name="Output 2 2 2 18" xfId="11423"/>
    <cellStyle name="Output 2 2 2 18 2" xfId="11424"/>
    <cellStyle name="Output 2 2 2 18 2 2" xfId="22722"/>
    <cellStyle name="Output 2 2 2 18 2 2 2" xfId="42790"/>
    <cellStyle name="Output 2 2 2 18 2 3" xfId="31606"/>
    <cellStyle name="Output 2 2 2 18 3" xfId="18115"/>
    <cellStyle name="Output 2 2 2 18 3 2" xfId="38183"/>
    <cellStyle name="Output 2 2 2 18 4" xfId="31605"/>
    <cellStyle name="Output 2 2 2 19" xfId="11425"/>
    <cellStyle name="Output 2 2 2 19 2" xfId="11426"/>
    <cellStyle name="Output 2 2 2 19 2 2" xfId="22723"/>
    <cellStyle name="Output 2 2 2 19 2 2 2" xfId="42791"/>
    <cellStyle name="Output 2 2 2 19 2 3" xfId="31608"/>
    <cellStyle name="Output 2 2 2 19 3" xfId="18233"/>
    <cellStyle name="Output 2 2 2 19 3 2" xfId="38301"/>
    <cellStyle name="Output 2 2 2 19 4" xfId="31607"/>
    <cellStyle name="Output 2 2 2 2" xfId="11427"/>
    <cellStyle name="Output 2 2 2 2 2" xfId="11428"/>
    <cellStyle name="Output 2 2 2 2 2 2" xfId="22724"/>
    <cellStyle name="Output 2 2 2 2 2 2 2" xfId="42792"/>
    <cellStyle name="Output 2 2 2 2 2 3" xfId="31610"/>
    <cellStyle name="Output 2 2 2 2 3" xfId="14701"/>
    <cellStyle name="Output 2 2 2 2 3 2" xfId="34769"/>
    <cellStyle name="Output 2 2 2 2 4" xfId="31609"/>
    <cellStyle name="Output 2 2 2 20" xfId="11429"/>
    <cellStyle name="Output 2 2 2 20 2" xfId="11430"/>
    <cellStyle name="Output 2 2 2 20 2 2" xfId="22725"/>
    <cellStyle name="Output 2 2 2 20 2 2 2" xfId="42793"/>
    <cellStyle name="Output 2 2 2 20 2 3" xfId="31612"/>
    <cellStyle name="Output 2 2 2 20 3" xfId="15743"/>
    <cellStyle name="Output 2 2 2 20 3 2" xfId="35811"/>
    <cellStyle name="Output 2 2 2 20 4" xfId="31611"/>
    <cellStyle name="Output 2 2 2 21" xfId="11431"/>
    <cellStyle name="Output 2 2 2 21 2" xfId="11432"/>
    <cellStyle name="Output 2 2 2 21 2 2" xfId="22726"/>
    <cellStyle name="Output 2 2 2 21 2 2 2" xfId="42794"/>
    <cellStyle name="Output 2 2 2 21 2 3" xfId="31614"/>
    <cellStyle name="Output 2 2 2 21 3" xfId="18438"/>
    <cellStyle name="Output 2 2 2 21 3 2" xfId="38506"/>
    <cellStyle name="Output 2 2 2 21 4" xfId="31613"/>
    <cellStyle name="Output 2 2 2 22" xfId="11433"/>
    <cellStyle name="Output 2 2 2 22 2" xfId="11434"/>
    <cellStyle name="Output 2 2 2 22 2 2" xfId="22727"/>
    <cellStyle name="Output 2 2 2 22 2 2 2" xfId="42795"/>
    <cellStyle name="Output 2 2 2 22 2 3" xfId="31616"/>
    <cellStyle name="Output 2 2 2 22 3" xfId="18571"/>
    <cellStyle name="Output 2 2 2 22 3 2" xfId="38639"/>
    <cellStyle name="Output 2 2 2 22 4" xfId="31615"/>
    <cellStyle name="Output 2 2 2 23" xfId="11435"/>
    <cellStyle name="Output 2 2 2 23 2" xfId="11436"/>
    <cellStyle name="Output 2 2 2 23 2 2" xfId="22728"/>
    <cellStyle name="Output 2 2 2 23 2 2 2" xfId="42796"/>
    <cellStyle name="Output 2 2 2 23 2 3" xfId="31618"/>
    <cellStyle name="Output 2 2 2 23 3" xfId="18682"/>
    <cellStyle name="Output 2 2 2 23 3 2" xfId="38750"/>
    <cellStyle name="Output 2 2 2 23 4" xfId="31617"/>
    <cellStyle name="Output 2 2 2 24" xfId="11437"/>
    <cellStyle name="Output 2 2 2 24 2" xfId="11438"/>
    <cellStyle name="Output 2 2 2 24 2 2" xfId="22729"/>
    <cellStyle name="Output 2 2 2 24 2 2 2" xfId="42797"/>
    <cellStyle name="Output 2 2 2 24 2 3" xfId="31620"/>
    <cellStyle name="Output 2 2 2 24 3" xfId="18782"/>
    <cellStyle name="Output 2 2 2 24 3 2" xfId="38850"/>
    <cellStyle name="Output 2 2 2 24 4" xfId="31619"/>
    <cellStyle name="Output 2 2 2 25" xfId="11439"/>
    <cellStyle name="Output 2 2 2 25 2" xfId="11440"/>
    <cellStyle name="Output 2 2 2 25 2 2" xfId="22730"/>
    <cellStyle name="Output 2 2 2 25 2 2 2" xfId="42798"/>
    <cellStyle name="Output 2 2 2 25 2 3" xfId="31622"/>
    <cellStyle name="Output 2 2 2 25 3" xfId="18882"/>
    <cellStyle name="Output 2 2 2 25 3 2" xfId="38950"/>
    <cellStyle name="Output 2 2 2 25 4" xfId="31621"/>
    <cellStyle name="Output 2 2 2 26" xfId="11441"/>
    <cellStyle name="Output 2 2 2 26 2" xfId="22713"/>
    <cellStyle name="Output 2 2 2 26 2 2" xfId="42781"/>
    <cellStyle name="Output 2 2 2 26 3" xfId="31623"/>
    <cellStyle name="Output 2 2 2 27" xfId="14572"/>
    <cellStyle name="Output 2 2 2 27 2" xfId="34640"/>
    <cellStyle name="Output 2 2 2 28" xfId="31588"/>
    <cellStyle name="Output 2 2 2 3" xfId="11442"/>
    <cellStyle name="Output 2 2 2 3 2" xfId="11443"/>
    <cellStyle name="Output 2 2 2 3 2 2" xfId="22731"/>
    <cellStyle name="Output 2 2 2 3 2 2 2" xfId="42799"/>
    <cellStyle name="Output 2 2 2 3 2 3" xfId="31625"/>
    <cellStyle name="Output 2 2 2 3 3" xfId="14825"/>
    <cellStyle name="Output 2 2 2 3 3 2" xfId="34893"/>
    <cellStyle name="Output 2 2 2 3 4" xfId="31624"/>
    <cellStyle name="Output 2 2 2 4" xfId="11444"/>
    <cellStyle name="Output 2 2 2 4 2" xfId="11445"/>
    <cellStyle name="Output 2 2 2 4 2 2" xfId="22732"/>
    <cellStyle name="Output 2 2 2 4 2 2 2" xfId="42800"/>
    <cellStyle name="Output 2 2 2 4 2 3" xfId="31627"/>
    <cellStyle name="Output 2 2 2 4 3" xfId="14950"/>
    <cellStyle name="Output 2 2 2 4 3 2" xfId="35018"/>
    <cellStyle name="Output 2 2 2 4 4" xfId="31626"/>
    <cellStyle name="Output 2 2 2 5" xfId="11446"/>
    <cellStyle name="Output 2 2 2 5 2" xfId="11447"/>
    <cellStyle name="Output 2 2 2 5 2 2" xfId="22733"/>
    <cellStyle name="Output 2 2 2 5 2 2 2" xfId="42801"/>
    <cellStyle name="Output 2 2 2 5 2 3" xfId="31629"/>
    <cellStyle name="Output 2 2 2 5 3" xfId="15119"/>
    <cellStyle name="Output 2 2 2 5 3 2" xfId="35187"/>
    <cellStyle name="Output 2 2 2 5 4" xfId="31628"/>
    <cellStyle name="Output 2 2 2 6" xfId="11448"/>
    <cellStyle name="Output 2 2 2 6 2" xfId="11449"/>
    <cellStyle name="Output 2 2 2 6 2 2" xfId="22734"/>
    <cellStyle name="Output 2 2 2 6 2 2 2" xfId="42802"/>
    <cellStyle name="Output 2 2 2 6 2 3" xfId="31631"/>
    <cellStyle name="Output 2 2 2 6 3" xfId="14151"/>
    <cellStyle name="Output 2 2 2 6 3 2" xfId="34219"/>
    <cellStyle name="Output 2 2 2 6 4" xfId="31630"/>
    <cellStyle name="Output 2 2 2 7" xfId="11450"/>
    <cellStyle name="Output 2 2 2 7 2" xfId="11451"/>
    <cellStyle name="Output 2 2 2 7 2 2" xfId="22735"/>
    <cellStyle name="Output 2 2 2 7 2 2 2" xfId="42803"/>
    <cellStyle name="Output 2 2 2 7 2 3" xfId="31633"/>
    <cellStyle name="Output 2 2 2 7 3" xfId="15251"/>
    <cellStyle name="Output 2 2 2 7 3 2" xfId="35319"/>
    <cellStyle name="Output 2 2 2 7 4" xfId="31632"/>
    <cellStyle name="Output 2 2 2 8" xfId="11452"/>
    <cellStyle name="Output 2 2 2 8 2" xfId="11453"/>
    <cellStyle name="Output 2 2 2 8 2 2" xfId="22736"/>
    <cellStyle name="Output 2 2 2 8 2 2 2" xfId="42804"/>
    <cellStyle name="Output 2 2 2 8 2 3" xfId="31635"/>
    <cellStyle name="Output 2 2 2 8 3" xfId="16616"/>
    <cellStyle name="Output 2 2 2 8 3 2" xfId="36684"/>
    <cellStyle name="Output 2 2 2 8 4" xfId="31634"/>
    <cellStyle name="Output 2 2 2 9" xfId="11454"/>
    <cellStyle name="Output 2 2 2 9 2" xfId="11455"/>
    <cellStyle name="Output 2 2 2 9 2 2" xfId="22737"/>
    <cellStyle name="Output 2 2 2 9 2 2 2" xfId="42805"/>
    <cellStyle name="Output 2 2 2 9 2 3" xfId="31637"/>
    <cellStyle name="Output 2 2 2 9 3" xfId="16820"/>
    <cellStyle name="Output 2 2 2 9 3 2" xfId="36888"/>
    <cellStyle name="Output 2 2 2 9 4" xfId="31636"/>
    <cellStyle name="Output 2 2 20" xfId="11456"/>
    <cellStyle name="Output 2 2 20 2" xfId="11457"/>
    <cellStyle name="Output 2 2 20 2 2" xfId="22738"/>
    <cellStyle name="Output 2 2 20 2 2 2" xfId="42806"/>
    <cellStyle name="Output 2 2 20 2 3" xfId="31639"/>
    <cellStyle name="Output 2 2 20 3" xfId="18006"/>
    <cellStyle name="Output 2 2 20 3 2" xfId="38074"/>
    <cellStyle name="Output 2 2 20 4" xfId="31638"/>
    <cellStyle name="Output 2 2 21" xfId="11458"/>
    <cellStyle name="Output 2 2 21 2" xfId="11459"/>
    <cellStyle name="Output 2 2 21 2 2" xfId="22739"/>
    <cellStyle name="Output 2 2 21 2 2 2" xfId="42807"/>
    <cellStyle name="Output 2 2 21 2 3" xfId="31641"/>
    <cellStyle name="Output 2 2 21 3" xfId="16502"/>
    <cellStyle name="Output 2 2 21 3 2" xfId="36570"/>
    <cellStyle name="Output 2 2 21 4" xfId="31640"/>
    <cellStyle name="Output 2 2 22" xfId="11460"/>
    <cellStyle name="Output 2 2 22 2" xfId="11461"/>
    <cellStyle name="Output 2 2 22 2 2" xfId="22740"/>
    <cellStyle name="Output 2 2 22 2 2 2" xfId="42808"/>
    <cellStyle name="Output 2 2 22 2 3" xfId="31643"/>
    <cellStyle name="Output 2 2 22 3" xfId="17508"/>
    <cellStyle name="Output 2 2 22 3 2" xfId="37576"/>
    <cellStyle name="Output 2 2 22 4" xfId="31642"/>
    <cellStyle name="Output 2 2 23" xfId="11462"/>
    <cellStyle name="Output 2 2 23 2" xfId="11463"/>
    <cellStyle name="Output 2 2 23 2 2" xfId="22741"/>
    <cellStyle name="Output 2 2 23 2 2 2" xfId="42809"/>
    <cellStyle name="Output 2 2 23 2 3" xfId="31645"/>
    <cellStyle name="Output 2 2 23 3" xfId="15658"/>
    <cellStyle name="Output 2 2 23 3 2" xfId="35726"/>
    <cellStyle name="Output 2 2 23 4" xfId="31644"/>
    <cellStyle name="Output 2 2 24" xfId="11464"/>
    <cellStyle name="Output 2 2 24 2" xfId="11465"/>
    <cellStyle name="Output 2 2 24 2 2" xfId="22742"/>
    <cellStyle name="Output 2 2 24 2 2 2" xfId="42810"/>
    <cellStyle name="Output 2 2 24 2 3" xfId="31647"/>
    <cellStyle name="Output 2 2 24 3" xfId="18466"/>
    <cellStyle name="Output 2 2 24 3 2" xfId="38534"/>
    <cellStyle name="Output 2 2 24 4" xfId="31646"/>
    <cellStyle name="Output 2 2 25" xfId="11466"/>
    <cellStyle name="Output 2 2 25 2" xfId="11467"/>
    <cellStyle name="Output 2 2 25 2 2" xfId="22743"/>
    <cellStyle name="Output 2 2 25 2 2 2" xfId="42811"/>
    <cellStyle name="Output 2 2 25 2 3" xfId="31649"/>
    <cellStyle name="Output 2 2 25 3" xfId="15681"/>
    <cellStyle name="Output 2 2 25 3 2" xfId="35749"/>
    <cellStyle name="Output 2 2 25 4" xfId="31648"/>
    <cellStyle name="Output 2 2 26" xfId="11468"/>
    <cellStyle name="Output 2 2 26 2" xfId="11469"/>
    <cellStyle name="Output 2 2 26 2 2" xfId="22744"/>
    <cellStyle name="Output 2 2 26 2 2 2" xfId="42812"/>
    <cellStyle name="Output 2 2 26 2 3" xfId="31651"/>
    <cellStyle name="Output 2 2 26 3" xfId="18021"/>
    <cellStyle name="Output 2 2 26 3 2" xfId="38089"/>
    <cellStyle name="Output 2 2 26 4" xfId="31650"/>
    <cellStyle name="Output 2 2 27" xfId="11470"/>
    <cellStyle name="Output 2 2 27 2" xfId="11471"/>
    <cellStyle name="Output 2 2 27 2 2" xfId="22745"/>
    <cellStyle name="Output 2 2 27 2 2 2" xfId="42813"/>
    <cellStyle name="Output 2 2 27 2 3" xfId="31653"/>
    <cellStyle name="Output 2 2 27 3" xfId="16072"/>
    <cellStyle name="Output 2 2 27 3 2" xfId="36140"/>
    <cellStyle name="Output 2 2 27 4" xfId="31652"/>
    <cellStyle name="Output 2 2 28" xfId="11472"/>
    <cellStyle name="Output 2 2 28 2" xfId="22702"/>
    <cellStyle name="Output 2 2 28 2 2" xfId="42770"/>
    <cellStyle name="Output 2 2 28 3" xfId="31654"/>
    <cellStyle name="Output 2 2 29" xfId="13932"/>
    <cellStyle name="Output 2 2 29 2" xfId="34000"/>
    <cellStyle name="Output 2 2 3" xfId="11473"/>
    <cellStyle name="Output 2 2 3 2" xfId="11474"/>
    <cellStyle name="Output 2 2 3 2 2" xfId="22746"/>
    <cellStyle name="Output 2 2 3 2 2 2" xfId="42814"/>
    <cellStyle name="Output 2 2 3 2 3" xfId="31656"/>
    <cellStyle name="Output 2 2 3 3" xfId="14278"/>
    <cellStyle name="Output 2 2 3 3 2" xfId="34346"/>
    <cellStyle name="Output 2 2 3 4" xfId="31655"/>
    <cellStyle name="Output 2 2 30" xfId="31567"/>
    <cellStyle name="Output 2 2 4" xfId="11475"/>
    <cellStyle name="Output 2 2 4 2" xfId="11476"/>
    <cellStyle name="Output 2 2 4 2 2" xfId="22747"/>
    <cellStyle name="Output 2 2 4 2 2 2" xfId="42815"/>
    <cellStyle name="Output 2 2 4 2 3" xfId="31658"/>
    <cellStyle name="Output 2 2 4 3" xfId="13995"/>
    <cellStyle name="Output 2 2 4 3 2" xfId="34063"/>
    <cellStyle name="Output 2 2 4 4" xfId="31657"/>
    <cellStyle name="Output 2 2 5" xfId="11477"/>
    <cellStyle name="Output 2 2 5 2" xfId="11478"/>
    <cellStyle name="Output 2 2 5 2 2" xfId="22748"/>
    <cellStyle name="Output 2 2 5 2 2 2" xfId="42816"/>
    <cellStyle name="Output 2 2 5 2 3" xfId="31660"/>
    <cellStyle name="Output 2 2 5 3" xfId="14253"/>
    <cellStyle name="Output 2 2 5 3 2" xfId="34321"/>
    <cellStyle name="Output 2 2 5 4" xfId="31659"/>
    <cellStyle name="Output 2 2 6" xfId="11479"/>
    <cellStyle name="Output 2 2 6 2" xfId="11480"/>
    <cellStyle name="Output 2 2 6 2 2" xfId="22749"/>
    <cellStyle name="Output 2 2 6 2 2 2" xfId="42817"/>
    <cellStyle name="Output 2 2 6 2 3" xfId="31662"/>
    <cellStyle name="Output 2 2 6 3" xfId="14985"/>
    <cellStyle name="Output 2 2 6 3 2" xfId="35053"/>
    <cellStyle name="Output 2 2 6 4" xfId="31661"/>
    <cellStyle name="Output 2 2 7" xfId="11481"/>
    <cellStyle name="Output 2 2 7 2" xfId="11482"/>
    <cellStyle name="Output 2 2 7 2 2" xfId="22750"/>
    <cellStyle name="Output 2 2 7 2 2 2" xfId="42818"/>
    <cellStyle name="Output 2 2 7 2 3" xfId="31664"/>
    <cellStyle name="Output 2 2 7 3" xfId="14249"/>
    <cellStyle name="Output 2 2 7 3 2" xfId="34317"/>
    <cellStyle name="Output 2 2 7 4" xfId="31663"/>
    <cellStyle name="Output 2 2 8" xfId="11483"/>
    <cellStyle name="Output 2 2 8 2" xfId="11484"/>
    <cellStyle name="Output 2 2 8 2 2" xfId="22751"/>
    <cellStyle name="Output 2 2 8 2 2 2" xfId="42819"/>
    <cellStyle name="Output 2 2 8 2 3" xfId="31666"/>
    <cellStyle name="Output 2 2 8 3" xfId="15159"/>
    <cellStyle name="Output 2 2 8 3 2" xfId="35227"/>
    <cellStyle name="Output 2 2 8 4" xfId="31665"/>
    <cellStyle name="Output 2 2 9" xfId="11485"/>
    <cellStyle name="Output 2 2 9 2" xfId="11486"/>
    <cellStyle name="Output 2 2 9 2 2" xfId="22752"/>
    <cellStyle name="Output 2 2 9 2 2 2" xfId="42820"/>
    <cellStyle name="Output 2 2 9 2 3" xfId="31668"/>
    <cellStyle name="Output 2 2 9 3" xfId="15338"/>
    <cellStyle name="Output 2 2 9 3 2" xfId="35406"/>
    <cellStyle name="Output 2 2 9 4" xfId="31667"/>
    <cellStyle name="Output 2 20" xfId="11487"/>
    <cellStyle name="Output 2 20 2" xfId="11488"/>
    <cellStyle name="Output 2 20 2 2" xfId="22753"/>
    <cellStyle name="Output 2 20 2 2 2" xfId="42821"/>
    <cellStyle name="Output 2 20 2 3" xfId="31670"/>
    <cellStyle name="Output 2 20 3" xfId="16214"/>
    <cellStyle name="Output 2 20 3 2" xfId="36282"/>
    <cellStyle name="Output 2 20 4" xfId="31669"/>
    <cellStyle name="Output 2 21" xfId="11489"/>
    <cellStyle name="Output 2 21 2" xfId="11490"/>
    <cellStyle name="Output 2 21 2 2" xfId="22754"/>
    <cellStyle name="Output 2 21 2 2 2" xfId="42822"/>
    <cellStyle name="Output 2 21 2 3" xfId="31672"/>
    <cellStyle name="Output 2 21 3" xfId="17609"/>
    <cellStyle name="Output 2 21 3 2" xfId="37677"/>
    <cellStyle name="Output 2 21 4" xfId="31671"/>
    <cellStyle name="Output 2 22" xfId="11491"/>
    <cellStyle name="Output 2 22 2" xfId="11492"/>
    <cellStyle name="Output 2 22 2 2" xfId="22755"/>
    <cellStyle name="Output 2 22 2 2 2" xfId="42823"/>
    <cellStyle name="Output 2 22 2 3" xfId="31674"/>
    <cellStyle name="Output 2 22 3" xfId="17722"/>
    <cellStyle name="Output 2 22 3 2" xfId="37790"/>
    <cellStyle name="Output 2 22 4" xfId="31673"/>
    <cellStyle name="Output 2 23" xfId="11493"/>
    <cellStyle name="Output 2 23 2" xfId="11494"/>
    <cellStyle name="Output 2 23 2 2" xfId="22756"/>
    <cellStyle name="Output 2 23 2 2 2" xfId="42824"/>
    <cellStyle name="Output 2 23 2 3" xfId="31676"/>
    <cellStyle name="Output 2 23 3" xfId="15864"/>
    <cellStyle name="Output 2 23 3 2" xfId="35932"/>
    <cellStyle name="Output 2 23 4" xfId="31675"/>
    <cellStyle name="Output 2 24" xfId="11495"/>
    <cellStyle name="Output 2 24 2" xfId="11496"/>
    <cellStyle name="Output 2 24 2 2" xfId="22757"/>
    <cellStyle name="Output 2 24 2 2 2" xfId="42825"/>
    <cellStyle name="Output 2 24 2 3" xfId="31678"/>
    <cellStyle name="Output 2 24 3" xfId="18005"/>
    <cellStyle name="Output 2 24 3 2" xfId="38073"/>
    <cellStyle name="Output 2 24 4" xfId="31677"/>
    <cellStyle name="Output 2 25" xfId="11497"/>
    <cellStyle name="Output 2 25 2" xfId="11498"/>
    <cellStyle name="Output 2 25 2 2" xfId="22758"/>
    <cellStyle name="Output 2 25 2 2 2" xfId="42826"/>
    <cellStyle name="Output 2 25 2 3" xfId="31680"/>
    <cellStyle name="Output 2 25 3" xfId="17359"/>
    <cellStyle name="Output 2 25 3 2" xfId="37427"/>
    <cellStyle name="Output 2 25 4" xfId="31679"/>
    <cellStyle name="Output 2 26" xfId="11499"/>
    <cellStyle name="Output 2 26 2" xfId="11500"/>
    <cellStyle name="Output 2 26 2 2" xfId="22759"/>
    <cellStyle name="Output 2 26 2 2 2" xfId="42827"/>
    <cellStyle name="Output 2 26 2 3" xfId="31682"/>
    <cellStyle name="Output 2 26 3" xfId="17202"/>
    <cellStyle name="Output 2 26 3 2" xfId="37270"/>
    <cellStyle name="Output 2 26 4" xfId="31681"/>
    <cellStyle name="Output 2 27" xfId="11501"/>
    <cellStyle name="Output 2 27 2" xfId="11502"/>
    <cellStyle name="Output 2 27 2 2" xfId="22760"/>
    <cellStyle name="Output 2 27 2 2 2" xfId="42828"/>
    <cellStyle name="Output 2 27 2 3" xfId="31684"/>
    <cellStyle name="Output 2 27 3" xfId="15860"/>
    <cellStyle name="Output 2 27 3 2" xfId="35928"/>
    <cellStyle name="Output 2 27 4" xfId="31683"/>
    <cellStyle name="Output 2 28" xfId="11503"/>
    <cellStyle name="Output 2 28 2" xfId="11504"/>
    <cellStyle name="Output 2 28 2 2" xfId="22761"/>
    <cellStyle name="Output 2 28 2 2 2" xfId="42829"/>
    <cellStyle name="Output 2 28 2 3" xfId="31686"/>
    <cellStyle name="Output 2 28 3" xfId="18465"/>
    <cellStyle name="Output 2 28 3 2" xfId="38533"/>
    <cellStyle name="Output 2 28 4" xfId="31685"/>
    <cellStyle name="Output 2 29" xfId="11505"/>
    <cellStyle name="Output 2 29 2" xfId="11506"/>
    <cellStyle name="Output 2 29 2 2" xfId="22762"/>
    <cellStyle name="Output 2 29 2 2 2" xfId="42830"/>
    <cellStyle name="Output 2 29 2 3" xfId="31688"/>
    <cellStyle name="Output 2 29 3" xfId="17857"/>
    <cellStyle name="Output 2 29 3 2" xfId="37925"/>
    <cellStyle name="Output 2 29 4" xfId="31687"/>
    <cellStyle name="Output 2 3" xfId="11507"/>
    <cellStyle name="Output 2 3 10" xfId="11508"/>
    <cellStyle name="Output 2 3 10 2" xfId="11509"/>
    <cellStyle name="Output 2 3 10 2 2" xfId="22764"/>
    <cellStyle name="Output 2 3 10 2 2 2" xfId="42832"/>
    <cellStyle name="Output 2 3 10 2 3" xfId="31691"/>
    <cellStyle name="Output 2 3 10 3" xfId="16482"/>
    <cellStyle name="Output 2 3 10 3 2" xfId="36550"/>
    <cellStyle name="Output 2 3 10 4" xfId="31690"/>
    <cellStyle name="Output 2 3 11" xfId="11510"/>
    <cellStyle name="Output 2 3 11 2" xfId="11511"/>
    <cellStyle name="Output 2 3 11 2 2" xfId="22765"/>
    <cellStyle name="Output 2 3 11 2 2 2" xfId="42833"/>
    <cellStyle name="Output 2 3 11 2 3" xfId="31693"/>
    <cellStyle name="Output 2 3 11 3" xfId="16675"/>
    <cellStyle name="Output 2 3 11 3 2" xfId="36743"/>
    <cellStyle name="Output 2 3 11 4" xfId="31692"/>
    <cellStyle name="Output 2 3 12" xfId="11512"/>
    <cellStyle name="Output 2 3 12 2" xfId="11513"/>
    <cellStyle name="Output 2 3 12 2 2" xfId="22766"/>
    <cellStyle name="Output 2 3 12 2 2 2" xfId="42834"/>
    <cellStyle name="Output 2 3 12 2 3" xfId="31695"/>
    <cellStyle name="Output 2 3 12 3" xfId="16854"/>
    <cellStyle name="Output 2 3 12 3 2" xfId="36922"/>
    <cellStyle name="Output 2 3 12 4" xfId="31694"/>
    <cellStyle name="Output 2 3 13" xfId="11514"/>
    <cellStyle name="Output 2 3 13 2" xfId="11515"/>
    <cellStyle name="Output 2 3 13 2 2" xfId="22767"/>
    <cellStyle name="Output 2 3 13 2 2 2" xfId="42835"/>
    <cellStyle name="Output 2 3 13 2 3" xfId="31697"/>
    <cellStyle name="Output 2 3 13 3" xfId="16714"/>
    <cellStyle name="Output 2 3 13 3 2" xfId="36782"/>
    <cellStyle name="Output 2 3 13 4" xfId="31696"/>
    <cellStyle name="Output 2 3 14" xfId="11516"/>
    <cellStyle name="Output 2 3 14 2" xfId="11517"/>
    <cellStyle name="Output 2 3 14 2 2" xfId="22768"/>
    <cellStyle name="Output 2 3 14 2 2 2" xfId="42836"/>
    <cellStyle name="Output 2 3 14 2 3" xfId="31699"/>
    <cellStyle name="Output 2 3 14 3" xfId="17159"/>
    <cellStyle name="Output 2 3 14 3 2" xfId="37227"/>
    <cellStyle name="Output 2 3 14 4" xfId="31698"/>
    <cellStyle name="Output 2 3 15" xfId="11518"/>
    <cellStyle name="Output 2 3 15 2" xfId="11519"/>
    <cellStyle name="Output 2 3 15 2 2" xfId="22769"/>
    <cellStyle name="Output 2 3 15 2 2 2" xfId="42837"/>
    <cellStyle name="Output 2 3 15 2 3" xfId="31701"/>
    <cellStyle name="Output 2 3 15 3" xfId="17335"/>
    <cellStyle name="Output 2 3 15 3 2" xfId="37403"/>
    <cellStyle name="Output 2 3 15 4" xfId="31700"/>
    <cellStyle name="Output 2 3 16" xfId="11520"/>
    <cellStyle name="Output 2 3 16 2" xfId="11521"/>
    <cellStyle name="Output 2 3 16 2 2" xfId="22770"/>
    <cellStyle name="Output 2 3 16 2 2 2" xfId="42838"/>
    <cellStyle name="Output 2 3 16 2 3" xfId="31703"/>
    <cellStyle name="Output 2 3 16 3" xfId="17191"/>
    <cellStyle name="Output 2 3 16 3 2" xfId="37259"/>
    <cellStyle name="Output 2 3 16 4" xfId="31702"/>
    <cellStyle name="Output 2 3 17" xfId="11522"/>
    <cellStyle name="Output 2 3 17 2" xfId="11523"/>
    <cellStyle name="Output 2 3 17 2 2" xfId="22771"/>
    <cellStyle name="Output 2 3 17 2 2 2" xfId="42839"/>
    <cellStyle name="Output 2 3 17 2 3" xfId="31705"/>
    <cellStyle name="Output 2 3 17 3" xfId="16035"/>
    <cellStyle name="Output 2 3 17 3 2" xfId="36103"/>
    <cellStyle name="Output 2 3 17 4" xfId="31704"/>
    <cellStyle name="Output 2 3 18" xfId="11524"/>
    <cellStyle name="Output 2 3 18 2" xfId="11525"/>
    <cellStyle name="Output 2 3 18 2 2" xfId="22772"/>
    <cellStyle name="Output 2 3 18 2 2 2" xfId="42840"/>
    <cellStyle name="Output 2 3 18 2 3" xfId="31707"/>
    <cellStyle name="Output 2 3 18 3" xfId="17724"/>
    <cellStyle name="Output 2 3 18 3 2" xfId="37792"/>
    <cellStyle name="Output 2 3 18 4" xfId="31706"/>
    <cellStyle name="Output 2 3 19" xfId="11526"/>
    <cellStyle name="Output 2 3 19 2" xfId="11527"/>
    <cellStyle name="Output 2 3 19 2 2" xfId="22773"/>
    <cellStyle name="Output 2 3 19 2 2 2" xfId="42841"/>
    <cellStyle name="Output 2 3 19 2 3" xfId="31709"/>
    <cellStyle name="Output 2 3 19 3" xfId="17177"/>
    <cellStyle name="Output 2 3 19 3 2" xfId="37245"/>
    <cellStyle name="Output 2 3 19 4" xfId="31708"/>
    <cellStyle name="Output 2 3 2" xfId="11528"/>
    <cellStyle name="Output 2 3 2 10" xfId="11529"/>
    <cellStyle name="Output 2 3 2 10 2" xfId="11530"/>
    <cellStyle name="Output 2 3 2 10 2 2" xfId="22775"/>
    <cellStyle name="Output 2 3 2 10 2 2 2" xfId="42843"/>
    <cellStyle name="Output 2 3 2 10 2 3" xfId="31712"/>
    <cellStyle name="Output 2 3 2 10 3" xfId="16982"/>
    <cellStyle name="Output 2 3 2 10 3 2" xfId="37050"/>
    <cellStyle name="Output 2 3 2 10 4" xfId="31711"/>
    <cellStyle name="Output 2 3 2 11" xfId="11531"/>
    <cellStyle name="Output 2 3 2 11 2" xfId="11532"/>
    <cellStyle name="Output 2 3 2 11 2 2" xfId="22776"/>
    <cellStyle name="Output 2 3 2 11 2 2 2" xfId="42844"/>
    <cellStyle name="Output 2 3 2 11 2 3" xfId="31714"/>
    <cellStyle name="Output 2 3 2 11 3" xfId="17127"/>
    <cellStyle name="Output 2 3 2 11 3 2" xfId="37195"/>
    <cellStyle name="Output 2 3 2 11 4" xfId="31713"/>
    <cellStyle name="Output 2 3 2 12" xfId="11533"/>
    <cellStyle name="Output 2 3 2 12 2" xfId="11534"/>
    <cellStyle name="Output 2 3 2 12 2 2" xfId="22777"/>
    <cellStyle name="Output 2 3 2 12 2 2 2" xfId="42845"/>
    <cellStyle name="Output 2 3 2 12 2 3" xfId="31716"/>
    <cellStyle name="Output 2 3 2 12 3" xfId="17299"/>
    <cellStyle name="Output 2 3 2 12 3 2" xfId="37367"/>
    <cellStyle name="Output 2 3 2 12 4" xfId="31715"/>
    <cellStyle name="Output 2 3 2 13" xfId="11535"/>
    <cellStyle name="Output 2 3 2 13 2" xfId="11536"/>
    <cellStyle name="Output 2 3 2 13 2 2" xfId="22778"/>
    <cellStyle name="Output 2 3 2 13 2 2 2" xfId="42846"/>
    <cellStyle name="Output 2 3 2 13 2 3" xfId="31718"/>
    <cellStyle name="Output 2 3 2 13 3" xfId="17463"/>
    <cellStyle name="Output 2 3 2 13 3 2" xfId="37531"/>
    <cellStyle name="Output 2 3 2 13 4" xfId="31717"/>
    <cellStyle name="Output 2 3 2 14" xfId="11537"/>
    <cellStyle name="Output 2 3 2 14 2" xfId="11538"/>
    <cellStyle name="Output 2 3 2 14 2 2" xfId="22779"/>
    <cellStyle name="Output 2 3 2 14 2 2 2" xfId="42847"/>
    <cellStyle name="Output 2 3 2 14 2 3" xfId="31720"/>
    <cellStyle name="Output 2 3 2 14 3" xfId="17589"/>
    <cellStyle name="Output 2 3 2 14 3 2" xfId="37657"/>
    <cellStyle name="Output 2 3 2 14 4" xfId="31719"/>
    <cellStyle name="Output 2 3 2 15" xfId="11539"/>
    <cellStyle name="Output 2 3 2 15 2" xfId="11540"/>
    <cellStyle name="Output 2 3 2 15 2 2" xfId="22780"/>
    <cellStyle name="Output 2 3 2 15 2 2 2" xfId="42848"/>
    <cellStyle name="Output 2 3 2 15 2 3" xfId="31722"/>
    <cellStyle name="Output 2 3 2 15 3" xfId="17640"/>
    <cellStyle name="Output 2 3 2 15 3 2" xfId="37708"/>
    <cellStyle name="Output 2 3 2 15 4" xfId="31721"/>
    <cellStyle name="Output 2 3 2 16" xfId="11541"/>
    <cellStyle name="Output 2 3 2 16 2" xfId="11542"/>
    <cellStyle name="Output 2 3 2 16 2 2" xfId="22781"/>
    <cellStyle name="Output 2 3 2 16 2 2 2" xfId="42849"/>
    <cellStyle name="Output 2 3 2 16 2 3" xfId="31724"/>
    <cellStyle name="Output 2 3 2 16 3" xfId="17839"/>
    <cellStyle name="Output 2 3 2 16 3 2" xfId="37907"/>
    <cellStyle name="Output 2 3 2 16 4" xfId="31723"/>
    <cellStyle name="Output 2 3 2 17" xfId="11543"/>
    <cellStyle name="Output 2 3 2 17 2" xfId="11544"/>
    <cellStyle name="Output 2 3 2 17 2 2" xfId="22782"/>
    <cellStyle name="Output 2 3 2 17 2 2 2" xfId="42850"/>
    <cellStyle name="Output 2 3 2 17 2 3" xfId="31726"/>
    <cellStyle name="Output 2 3 2 17 3" xfId="17977"/>
    <cellStyle name="Output 2 3 2 17 3 2" xfId="38045"/>
    <cellStyle name="Output 2 3 2 17 4" xfId="31725"/>
    <cellStyle name="Output 2 3 2 18" xfId="11545"/>
    <cellStyle name="Output 2 3 2 18 2" xfId="11546"/>
    <cellStyle name="Output 2 3 2 18 2 2" xfId="22783"/>
    <cellStyle name="Output 2 3 2 18 2 2 2" xfId="42851"/>
    <cellStyle name="Output 2 3 2 18 2 3" xfId="31728"/>
    <cellStyle name="Output 2 3 2 18 3" xfId="18116"/>
    <cellStyle name="Output 2 3 2 18 3 2" xfId="38184"/>
    <cellStyle name="Output 2 3 2 18 4" xfId="31727"/>
    <cellStyle name="Output 2 3 2 19" xfId="11547"/>
    <cellStyle name="Output 2 3 2 19 2" xfId="11548"/>
    <cellStyle name="Output 2 3 2 19 2 2" xfId="22784"/>
    <cellStyle name="Output 2 3 2 19 2 2 2" xfId="42852"/>
    <cellStyle name="Output 2 3 2 19 2 3" xfId="31730"/>
    <cellStyle name="Output 2 3 2 19 3" xfId="18234"/>
    <cellStyle name="Output 2 3 2 19 3 2" xfId="38302"/>
    <cellStyle name="Output 2 3 2 19 4" xfId="31729"/>
    <cellStyle name="Output 2 3 2 2" xfId="11549"/>
    <cellStyle name="Output 2 3 2 2 2" xfId="11550"/>
    <cellStyle name="Output 2 3 2 2 2 2" xfId="22785"/>
    <cellStyle name="Output 2 3 2 2 2 2 2" xfId="42853"/>
    <cellStyle name="Output 2 3 2 2 2 3" xfId="31732"/>
    <cellStyle name="Output 2 3 2 2 3" xfId="14702"/>
    <cellStyle name="Output 2 3 2 2 3 2" xfId="34770"/>
    <cellStyle name="Output 2 3 2 2 4" xfId="31731"/>
    <cellStyle name="Output 2 3 2 20" xfId="11551"/>
    <cellStyle name="Output 2 3 2 20 2" xfId="11552"/>
    <cellStyle name="Output 2 3 2 20 2 2" xfId="22786"/>
    <cellStyle name="Output 2 3 2 20 2 2 2" xfId="42854"/>
    <cellStyle name="Output 2 3 2 20 2 3" xfId="31734"/>
    <cellStyle name="Output 2 3 2 20 3" xfId="17414"/>
    <cellStyle name="Output 2 3 2 20 3 2" xfId="37482"/>
    <cellStyle name="Output 2 3 2 20 4" xfId="31733"/>
    <cellStyle name="Output 2 3 2 21" xfId="11553"/>
    <cellStyle name="Output 2 3 2 21 2" xfId="11554"/>
    <cellStyle name="Output 2 3 2 21 2 2" xfId="22787"/>
    <cellStyle name="Output 2 3 2 21 2 2 2" xfId="42855"/>
    <cellStyle name="Output 2 3 2 21 2 3" xfId="31736"/>
    <cellStyle name="Output 2 3 2 21 3" xfId="18439"/>
    <cellStyle name="Output 2 3 2 21 3 2" xfId="38507"/>
    <cellStyle name="Output 2 3 2 21 4" xfId="31735"/>
    <cellStyle name="Output 2 3 2 22" xfId="11555"/>
    <cellStyle name="Output 2 3 2 22 2" xfId="11556"/>
    <cellStyle name="Output 2 3 2 22 2 2" xfId="22788"/>
    <cellStyle name="Output 2 3 2 22 2 2 2" xfId="42856"/>
    <cellStyle name="Output 2 3 2 22 2 3" xfId="31738"/>
    <cellStyle name="Output 2 3 2 22 3" xfId="18572"/>
    <cellStyle name="Output 2 3 2 22 3 2" xfId="38640"/>
    <cellStyle name="Output 2 3 2 22 4" xfId="31737"/>
    <cellStyle name="Output 2 3 2 23" xfId="11557"/>
    <cellStyle name="Output 2 3 2 23 2" xfId="11558"/>
    <cellStyle name="Output 2 3 2 23 2 2" xfId="22789"/>
    <cellStyle name="Output 2 3 2 23 2 2 2" xfId="42857"/>
    <cellStyle name="Output 2 3 2 23 2 3" xfId="31740"/>
    <cellStyle name="Output 2 3 2 23 3" xfId="18683"/>
    <cellStyle name="Output 2 3 2 23 3 2" xfId="38751"/>
    <cellStyle name="Output 2 3 2 23 4" xfId="31739"/>
    <cellStyle name="Output 2 3 2 24" xfId="11559"/>
    <cellStyle name="Output 2 3 2 24 2" xfId="11560"/>
    <cellStyle name="Output 2 3 2 24 2 2" xfId="22790"/>
    <cellStyle name="Output 2 3 2 24 2 2 2" xfId="42858"/>
    <cellStyle name="Output 2 3 2 24 2 3" xfId="31742"/>
    <cellStyle name="Output 2 3 2 24 3" xfId="18783"/>
    <cellStyle name="Output 2 3 2 24 3 2" xfId="38851"/>
    <cellStyle name="Output 2 3 2 24 4" xfId="31741"/>
    <cellStyle name="Output 2 3 2 25" xfId="11561"/>
    <cellStyle name="Output 2 3 2 25 2" xfId="11562"/>
    <cellStyle name="Output 2 3 2 25 2 2" xfId="22791"/>
    <cellStyle name="Output 2 3 2 25 2 2 2" xfId="42859"/>
    <cellStyle name="Output 2 3 2 25 2 3" xfId="31744"/>
    <cellStyle name="Output 2 3 2 25 3" xfId="18883"/>
    <cellStyle name="Output 2 3 2 25 3 2" xfId="38951"/>
    <cellStyle name="Output 2 3 2 25 4" xfId="31743"/>
    <cellStyle name="Output 2 3 2 26" xfId="11563"/>
    <cellStyle name="Output 2 3 2 26 2" xfId="22774"/>
    <cellStyle name="Output 2 3 2 26 2 2" xfId="42842"/>
    <cellStyle name="Output 2 3 2 26 3" xfId="31745"/>
    <cellStyle name="Output 2 3 2 27" xfId="14334"/>
    <cellStyle name="Output 2 3 2 27 2" xfId="34402"/>
    <cellStyle name="Output 2 3 2 28" xfId="31710"/>
    <cellStyle name="Output 2 3 2 3" xfId="11564"/>
    <cellStyle name="Output 2 3 2 3 2" xfId="11565"/>
    <cellStyle name="Output 2 3 2 3 2 2" xfId="22792"/>
    <cellStyle name="Output 2 3 2 3 2 2 2" xfId="42860"/>
    <cellStyle name="Output 2 3 2 3 2 3" xfId="31747"/>
    <cellStyle name="Output 2 3 2 3 3" xfId="14826"/>
    <cellStyle name="Output 2 3 2 3 3 2" xfId="34894"/>
    <cellStyle name="Output 2 3 2 3 4" xfId="31746"/>
    <cellStyle name="Output 2 3 2 4" xfId="11566"/>
    <cellStyle name="Output 2 3 2 4 2" xfId="11567"/>
    <cellStyle name="Output 2 3 2 4 2 2" xfId="22793"/>
    <cellStyle name="Output 2 3 2 4 2 2 2" xfId="42861"/>
    <cellStyle name="Output 2 3 2 4 2 3" xfId="31749"/>
    <cellStyle name="Output 2 3 2 4 3" xfId="14951"/>
    <cellStyle name="Output 2 3 2 4 3 2" xfId="35019"/>
    <cellStyle name="Output 2 3 2 4 4" xfId="31748"/>
    <cellStyle name="Output 2 3 2 5" xfId="11568"/>
    <cellStyle name="Output 2 3 2 5 2" xfId="11569"/>
    <cellStyle name="Output 2 3 2 5 2 2" xfId="22794"/>
    <cellStyle name="Output 2 3 2 5 2 2 2" xfId="42862"/>
    <cellStyle name="Output 2 3 2 5 2 3" xfId="31751"/>
    <cellStyle name="Output 2 3 2 5 3" xfId="15120"/>
    <cellStyle name="Output 2 3 2 5 3 2" xfId="35188"/>
    <cellStyle name="Output 2 3 2 5 4" xfId="31750"/>
    <cellStyle name="Output 2 3 2 6" xfId="11570"/>
    <cellStyle name="Output 2 3 2 6 2" xfId="11571"/>
    <cellStyle name="Output 2 3 2 6 2 2" xfId="22795"/>
    <cellStyle name="Output 2 3 2 6 2 2 2" xfId="42863"/>
    <cellStyle name="Output 2 3 2 6 2 3" xfId="31753"/>
    <cellStyle name="Output 2 3 2 6 3" xfId="14591"/>
    <cellStyle name="Output 2 3 2 6 3 2" xfId="34659"/>
    <cellStyle name="Output 2 3 2 6 4" xfId="31752"/>
    <cellStyle name="Output 2 3 2 7" xfId="11572"/>
    <cellStyle name="Output 2 3 2 7 2" xfId="11573"/>
    <cellStyle name="Output 2 3 2 7 2 2" xfId="22796"/>
    <cellStyle name="Output 2 3 2 7 2 2 2" xfId="42864"/>
    <cellStyle name="Output 2 3 2 7 2 3" xfId="31755"/>
    <cellStyle name="Output 2 3 2 7 3" xfId="15252"/>
    <cellStyle name="Output 2 3 2 7 3 2" xfId="35320"/>
    <cellStyle name="Output 2 3 2 7 4" xfId="31754"/>
    <cellStyle name="Output 2 3 2 8" xfId="11574"/>
    <cellStyle name="Output 2 3 2 8 2" xfId="11575"/>
    <cellStyle name="Output 2 3 2 8 2 2" xfId="22797"/>
    <cellStyle name="Output 2 3 2 8 2 2 2" xfId="42865"/>
    <cellStyle name="Output 2 3 2 8 2 3" xfId="31757"/>
    <cellStyle name="Output 2 3 2 8 3" xfId="16617"/>
    <cellStyle name="Output 2 3 2 8 3 2" xfId="36685"/>
    <cellStyle name="Output 2 3 2 8 4" xfId="31756"/>
    <cellStyle name="Output 2 3 2 9" xfId="11576"/>
    <cellStyle name="Output 2 3 2 9 2" xfId="11577"/>
    <cellStyle name="Output 2 3 2 9 2 2" xfId="22798"/>
    <cellStyle name="Output 2 3 2 9 2 2 2" xfId="42866"/>
    <cellStyle name="Output 2 3 2 9 2 3" xfId="31759"/>
    <cellStyle name="Output 2 3 2 9 3" xfId="16821"/>
    <cellStyle name="Output 2 3 2 9 3 2" xfId="36889"/>
    <cellStyle name="Output 2 3 2 9 4" xfId="31758"/>
    <cellStyle name="Output 2 3 20" xfId="11578"/>
    <cellStyle name="Output 2 3 20 2" xfId="11579"/>
    <cellStyle name="Output 2 3 20 2 2" xfId="22799"/>
    <cellStyle name="Output 2 3 20 2 2 2" xfId="42867"/>
    <cellStyle name="Output 2 3 20 2 3" xfId="31761"/>
    <cellStyle name="Output 2 3 20 3" xfId="18007"/>
    <cellStyle name="Output 2 3 20 3 2" xfId="38075"/>
    <cellStyle name="Output 2 3 20 4" xfId="31760"/>
    <cellStyle name="Output 2 3 21" xfId="11580"/>
    <cellStyle name="Output 2 3 21 2" xfId="11581"/>
    <cellStyle name="Output 2 3 21 2 2" xfId="22800"/>
    <cellStyle name="Output 2 3 21 2 2 2" xfId="42868"/>
    <cellStyle name="Output 2 3 21 2 3" xfId="31763"/>
    <cellStyle name="Output 2 3 21 3" xfId="17876"/>
    <cellStyle name="Output 2 3 21 3 2" xfId="37944"/>
    <cellStyle name="Output 2 3 21 4" xfId="31762"/>
    <cellStyle name="Output 2 3 22" xfId="11582"/>
    <cellStyle name="Output 2 3 22 2" xfId="11583"/>
    <cellStyle name="Output 2 3 22 2 2" xfId="22801"/>
    <cellStyle name="Output 2 3 22 2 2 2" xfId="42869"/>
    <cellStyle name="Output 2 3 22 2 3" xfId="31765"/>
    <cellStyle name="Output 2 3 22 3" xfId="15617"/>
    <cellStyle name="Output 2 3 22 3 2" xfId="35685"/>
    <cellStyle name="Output 2 3 22 4" xfId="31764"/>
    <cellStyle name="Output 2 3 23" xfId="11584"/>
    <cellStyle name="Output 2 3 23 2" xfId="11585"/>
    <cellStyle name="Output 2 3 23 2 2" xfId="22802"/>
    <cellStyle name="Output 2 3 23 2 2 2" xfId="42870"/>
    <cellStyle name="Output 2 3 23 2 3" xfId="31767"/>
    <cellStyle name="Output 2 3 23 3" xfId="16519"/>
    <cellStyle name="Output 2 3 23 3 2" xfId="36587"/>
    <cellStyle name="Output 2 3 23 4" xfId="31766"/>
    <cellStyle name="Output 2 3 24" xfId="11586"/>
    <cellStyle name="Output 2 3 24 2" xfId="11587"/>
    <cellStyle name="Output 2 3 24 2 2" xfId="22803"/>
    <cellStyle name="Output 2 3 24 2 2 2" xfId="42871"/>
    <cellStyle name="Output 2 3 24 2 3" xfId="31769"/>
    <cellStyle name="Output 2 3 24 3" xfId="18467"/>
    <cellStyle name="Output 2 3 24 3 2" xfId="38535"/>
    <cellStyle name="Output 2 3 24 4" xfId="31768"/>
    <cellStyle name="Output 2 3 25" xfId="11588"/>
    <cellStyle name="Output 2 3 25 2" xfId="11589"/>
    <cellStyle name="Output 2 3 25 2 2" xfId="22804"/>
    <cellStyle name="Output 2 3 25 2 2 2" xfId="42872"/>
    <cellStyle name="Output 2 3 25 2 3" xfId="31771"/>
    <cellStyle name="Output 2 3 25 3" xfId="18340"/>
    <cellStyle name="Output 2 3 25 3 2" xfId="38408"/>
    <cellStyle name="Output 2 3 25 4" xfId="31770"/>
    <cellStyle name="Output 2 3 26" xfId="11590"/>
    <cellStyle name="Output 2 3 26 2" xfId="11591"/>
    <cellStyle name="Output 2 3 26 2 2" xfId="22805"/>
    <cellStyle name="Output 2 3 26 2 2 2" xfId="42873"/>
    <cellStyle name="Output 2 3 26 2 3" xfId="31773"/>
    <cellStyle name="Output 2 3 26 3" xfId="18486"/>
    <cellStyle name="Output 2 3 26 3 2" xfId="38554"/>
    <cellStyle name="Output 2 3 26 4" xfId="31772"/>
    <cellStyle name="Output 2 3 27" xfId="11592"/>
    <cellStyle name="Output 2 3 27 2" xfId="11593"/>
    <cellStyle name="Output 2 3 27 2 2" xfId="22806"/>
    <cellStyle name="Output 2 3 27 2 2 2" xfId="42874"/>
    <cellStyle name="Output 2 3 27 2 3" xfId="31775"/>
    <cellStyle name="Output 2 3 27 3" xfId="18599"/>
    <cellStyle name="Output 2 3 27 3 2" xfId="38667"/>
    <cellStyle name="Output 2 3 27 4" xfId="31774"/>
    <cellStyle name="Output 2 3 28" xfId="11594"/>
    <cellStyle name="Output 2 3 28 2" xfId="22763"/>
    <cellStyle name="Output 2 3 28 2 2" xfId="42831"/>
    <cellStyle name="Output 2 3 28 3" xfId="31776"/>
    <cellStyle name="Output 2 3 29" xfId="13933"/>
    <cellStyle name="Output 2 3 29 2" xfId="34001"/>
    <cellStyle name="Output 2 3 3" xfId="11595"/>
    <cellStyle name="Output 2 3 3 2" xfId="11596"/>
    <cellStyle name="Output 2 3 3 2 2" xfId="22807"/>
    <cellStyle name="Output 2 3 3 2 2 2" xfId="42875"/>
    <cellStyle name="Output 2 3 3 2 3" xfId="31778"/>
    <cellStyle name="Output 2 3 3 3" xfId="14233"/>
    <cellStyle name="Output 2 3 3 3 2" xfId="34301"/>
    <cellStyle name="Output 2 3 3 4" xfId="31777"/>
    <cellStyle name="Output 2 3 30" xfId="31689"/>
    <cellStyle name="Output 2 3 4" xfId="11597"/>
    <cellStyle name="Output 2 3 4 2" xfId="11598"/>
    <cellStyle name="Output 2 3 4 2 2" xfId="22808"/>
    <cellStyle name="Output 2 3 4 2 2 2" xfId="42876"/>
    <cellStyle name="Output 2 3 4 2 3" xfId="31780"/>
    <cellStyle name="Output 2 3 4 3" xfId="14260"/>
    <cellStyle name="Output 2 3 4 3 2" xfId="34328"/>
    <cellStyle name="Output 2 3 4 4" xfId="31779"/>
    <cellStyle name="Output 2 3 5" xfId="11599"/>
    <cellStyle name="Output 2 3 5 2" xfId="11600"/>
    <cellStyle name="Output 2 3 5 2 2" xfId="22809"/>
    <cellStyle name="Output 2 3 5 2 2 2" xfId="42877"/>
    <cellStyle name="Output 2 3 5 2 3" xfId="31782"/>
    <cellStyle name="Output 2 3 5 3" xfId="14268"/>
    <cellStyle name="Output 2 3 5 3 2" xfId="34336"/>
    <cellStyle name="Output 2 3 5 4" xfId="31781"/>
    <cellStyle name="Output 2 3 6" xfId="11601"/>
    <cellStyle name="Output 2 3 6 2" xfId="11602"/>
    <cellStyle name="Output 2 3 6 2 2" xfId="22810"/>
    <cellStyle name="Output 2 3 6 2 2 2" xfId="42878"/>
    <cellStyle name="Output 2 3 6 2 3" xfId="31784"/>
    <cellStyle name="Output 2 3 6 3" xfId="14986"/>
    <cellStyle name="Output 2 3 6 3 2" xfId="35054"/>
    <cellStyle name="Output 2 3 6 4" xfId="31783"/>
    <cellStyle name="Output 2 3 7" xfId="11603"/>
    <cellStyle name="Output 2 3 7 2" xfId="11604"/>
    <cellStyle name="Output 2 3 7 2 2" xfId="22811"/>
    <cellStyle name="Output 2 3 7 2 2 2" xfId="42879"/>
    <cellStyle name="Output 2 3 7 2 3" xfId="31786"/>
    <cellStyle name="Output 2 3 7 3" xfId="14219"/>
    <cellStyle name="Output 2 3 7 3 2" xfId="34287"/>
    <cellStyle name="Output 2 3 7 4" xfId="31785"/>
    <cellStyle name="Output 2 3 8" xfId="11605"/>
    <cellStyle name="Output 2 3 8 2" xfId="11606"/>
    <cellStyle name="Output 2 3 8 2 2" xfId="22812"/>
    <cellStyle name="Output 2 3 8 2 2 2" xfId="42880"/>
    <cellStyle name="Output 2 3 8 2 3" xfId="31788"/>
    <cellStyle name="Output 2 3 8 3" xfId="15160"/>
    <cellStyle name="Output 2 3 8 3 2" xfId="35228"/>
    <cellStyle name="Output 2 3 8 4" xfId="31787"/>
    <cellStyle name="Output 2 3 9" xfId="11607"/>
    <cellStyle name="Output 2 3 9 2" xfId="11608"/>
    <cellStyle name="Output 2 3 9 2 2" xfId="22813"/>
    <cellStyle name="Output 2 3 9 2 2 2" xfId="42881"/>
    <cellStyle name="Output 2 3 9 2 3" xfId="31790"/>
    <cellStyle name="Output 2 3 9 3" xfId="15339"/>
    <cellStyle name="Output 2 3 9 3 2" xfId="35407"/>
    <cellStyle name="Output 2 3 9 4" xfId="31789"/>
    <cellStyle name="Output 2 30" xfId="11609"/>
    <cellStyle name="Output 2 30 2" xfId="11610"/>
    <cellStyle name="Output 2 30 2 2" xfId="22814"/>
    <cellStyle name="Output 2 30 2 2 2" xfId="42882"/>
    <cellStyle name="Output 2 30 2 3" xfId="31792"/>
    <cellStyle name="Output 2 30 3" xfId="16168"/>
    <cellStyle name="Output 2 30 3 2" xfId="36236"/>
    <cellStyle name="Output 2 30 4" xfId="31791"/>
    <cellStyle name="Output 2 31" xfId="11611"/>
    <cellStyle name="Output 2 31 2" xfId="11612"/>
    <cellStyle name="Output 2 31 2 2" xfId="22815"/>
    <cellStyle name="Output 2 31 2 2 2" xfId="42883"/>
    <cellStyle name="Output 2 31 2 3" xfId="31794"/>
    <cellStyle name="Output 2 31 3" xfId="16283"/>
    <cellStyle name="Output 2 31 3 2" xfId="36351"/>
    <cellStyle name="Output 2 31 4" xfId="31793"/>
    <cellStyle name="Output 2 32" xfId="11613"/>
    <cellStyle name="Output 2 32 2" xfId="22691"/>
    <cellStyle name="Output 2 32 2 2" xfId="42759"/>
    <cellStyle name="Output 2 32 3" xfId="31795"/>
    <cellStyle name="Output 2 33" xfId="13931"/>
    <cellStyle name="Output 2 33 2" xfId="33999"/>
    <cellStyle name="Output 2 34" xfId="31546"/>
    <cellStyle name="Output 2 4" xfId="11614"/>
    <cellStyle name="Output 2 4 10" xfId="11615"/>
    <cellStyle name="Output 2 4 10 2" xfId="11616"/>
    <cellStyle name="Output 2 4 10 2 2" xfId="22817"/>
    <cellStyle name="Output 2 4 10 2 2 2" xfId="42885"/>
    <cellStyle name="Output 2 4 10 2 3" xfId="31798"/>
    <cellStyle name="Output 2 4 10 3" xfId="16483"/>
    <cellStyle name="Output 2 4 10 3 2" xfId="36551"/>
    <cellStyle name="Output 2 4 10 4" xfId="31797"/>
    <cellStyle name="Output 2 4 11" xfId="11617"/>
    <cellStyle name="Output 2 4 11 2" xfId="11618"/>
    <cellStyle name="Output 2 4 11 2 2" xfId="22818"/>
    <cellStyle name="Output 2 4 11 2 2 2" xfId="42886"/>
    <cellStyle name="Output 2 4 11 2 3" xfId="31800"/>
    <cellStyle name="Output 2 4 11 3" xfId="16676"/>
    <cellStyle name="Output 2 4 11 3 2" xfId="36744"/>
    <cellStyle name="Output 2 4 11 4" xfId="31799"/>
    <cellStyle name="Output 2 4 12" xfId="11619"/>
    <cellStyle name="Output 2 4 12 2" xfId="11620"/>
    <cellStyle name="Output 2 4 12 2 2" xfId="22819"/>
    <cellStyle name="Output 2 4 12 2 2 2" xfId="42887"/>
    <cellStyle name="Output 2 4 12 2 3" xfId="31802"/>
    <cellStyle name="Output 2 4 12 3" xfId="16855"/>
    <cellStyle name="Output 2 4 12 3 2" xfId="36923"/>
    <cellStyle name="Output 2 4 12 4" xfId="31801"/>
    <cellStyle name="Output 2 4 13" xfId="11621"/>
    <cellStyle name="Output 2 4 13 2" xfId="11622"/>
    <cellStyle name="Output 2 4 13 2 2" xfId="22820"/>
    <cellStyle name="Output 2 4 13 2 2 2" xfId="42888"/>
    <cellStyle name="Output 2 4 13 2 3" xfId="31804"/>
    <cellStyle name="Output 2 4 13 3" xfId="15929"/>
    <cellStyle name="Output 2 4 13 3 2" xfId="35997"/>
    <cellStyle name="Output 2 4 13 4" xfId="31803"/>
    <cellStyle name="Output 2 4 14" xfId="11623"/>
    <cellStyle name="Output 2 4 14 2" xfId="11624"/>
    <cellStyle name="Output 2 4 14 2 2" xfId="22821"/>
    <cellStyle name="Output 2 4 14 2 2 2" xfId="42889"/>
    <cellStyle name="Output 2 4 14 2 3" xfId="31806"/>
    <cellStyle name="Output 2 4 14 3" xfId="17160"/>
    <cellStyle name="Output 2 4 14 3 2" xfId="37228"/>
    <cellStyle name="Output 2 4 14 4" xfId="31805"/>
    <cellStyle name="Output 2 4 15" xfId="11625"/>
    <cellStyle name="Output 2 4 15 2" xfId="11626"/>
    <cellStyle name="Output 2 4 15 2 2" xfId="22822"/>
    <cellStyle name="Output 2 4 15 2 2 2" xfId="42890"/>
    <cellStyle name="Output 2 4 15 2 3" xfId="31808"/>
    <cellStyle name="Output 2 4 15 3" xfId="17336"/>
    <cellStyle name="Output 2 4 15 3 2" xfId="37404"/>
    <cellStyle name="Output 2 4 15 4" xfId="31807"/>
    <cellStyle name="Output 2 4 16" xfId="11627"/>
    <cellStyle name="Output 2 4 16 2" xfId="11628"/>
    <cellStyle name="Output 2 4 16 2 2" xfId="22823"/>
    <cellStyle name="Output 2 4 16 2 2 2" xfId="42891"/>
    <cellStyle name="Output 2 4 16 2 3" xfId="31810"/>
    <cellStyle name="Output 2 4 16 3" xfId="15500"/>
    <cellStyle name="Output 2 4 16 3 2" xfId="35568"/>
    <cellStyle name="Output 2 4 16 4" xfId="31809"/>
    <cellStyle name="Output 2 4 17" xfId="11629"/>
    <cellStyle name="Output 2 4 17 2" xfId="11630"/>
    <cellStyle name="Output 2 4 17 2 2" xfId="22824"/>
    <cellStyle name="Output 2 4 17 2 2 2" xfId="42892"/>
    <cellStyle name="Output 2 4 17 2 3" xfId="31812"/>
    <cellStyle name="Output 2 4 17 3" xfId="17611"/>
    <cellStyle name="Output 2 4 17 3 2" xfId="37679"/>
    <cellStyle name="Output 2 4 17 4" xfId="31811"/>
    <cellStyle name="Output 2 4 18" xfId="11631"/>
    <cellStyle name="Output 2 4 18 2" xfId="11632"/>
    <cellStyle name="Output 2 4 18 2 2" xfId="22825"/>
    <cellStyle name="Output 2 4 18 2 2 2" xfId="42893"/>
    <cellStyle name="Output 2 4 18 2 3" xfId="31814"/>
    <cellStyle name="Output 2 4 18 3" xfId="17725"/>
    <cellStyle name="Output 2 4 18 3 2" xfId="37793"/>
    <cellStyle name="Output 2 4 18 4" xfId="31813"/>
    <cellStyle name="Output 2 4 19" xfId="11633"/>
    <cellStyle name="Output 2 4 19 2" xfId="11634"/>
    <cellStyle name="Output 2 4 19 2 2" xfId="22826"/>
    <cellStyle name="Output 2 4 19 2 2 2" xfId="42894"/>
    <cellStyle name="Output 2 4 19 2 3" xfId="31816"/>
    <cellStyle name="Output 2 4 19 3" xfId="15936"/>
    <cellStyle name="Output 2 4 19 3 2" xfId="36004"/>
    <cellStyle name="Output 2 4 19 4" xfId="31815"/>
    <cellStyle name="Output 2 4 2" xfId="11635"/>
    <cellStyle name="Output 2 4 2 10" xfId="11636"/>
    <cellStyle name="Output 2 4 2 10 2" xfId="11637"/>
    <cellStyle name="Output 2 4 2 10 2 2" xfId="22828"/>
    <cellStyle name="Output 2 4 2 10 2 2 2" xfId="42896"/>
    <cellStyle name="Output 2 4 2 10 2 3" xfId="31819"/>
    <cellStyle name="Output 2 4 2 10 3" xfId="16983"/>
    <cellStyle name="Output 2 4 2 10 3 2" xfId="37051"/>
    <cellStyle name="Output 2 4 2 10 4" xfId="31818"/>
    <cellStyle name="Output 2 4 2 11" xfId="11638"/>
    <cellStyle name="Output 2 4 2 11 2" xfId="11639"/>
    <cellStyle name="Output 2 4 2 11 2 2" xfId="22829"/>
    <cellStyle name="Output 2 4 2 11 2 2 2" xfId="42897"/>
    <cellStyle name="Output 2 4 2 11 2 3" xfId="31821"/>
    <cellStyle name="Output 2 4 2 11 3" xfId="17128"/>
    <cellStyle name="Output 2 4 2 11 3 2" xfId="37196"/>
    <cellStyle name="Output 2 4 2 11 4" xfId="31820"/>
    <cellStyle name="Output 2 4 2 12" xfId="11640"/>
    <cellStyle name="Output 2 4 2 12 2" xfId="11641"/>
    <cellStyle name="Output 2 4 2 12 2 2" xfId="22830"/>
    <cellStyle name="Output 2 4 2 12 2 2 2" xfId="42898"/>
    <cellStyle name="Output 2 4 2 12 2 3" xfId="31823"/>
    <cellStyle name="Output 2 4 2 12 3" xfId="17300"/>
    <cellStyle name="Output 2 4 2 12 3 2" xfId="37368"/>
    <cellStyle name="Output 2 4 2 12 4" xfId="31822"/>
    <cellStyle name="Output 2 4 2 13" xfId="11642"/>
    <cellStyle name="Output 2 4 2 13 2" xfId="11643"/>
    <cellStyle name="Output 2 4 2 13 2 2" xfId="22831"/>
    <cellStyle name="Output 2 4 2 13 2 2 2" xfId="42899"/>
    <cellStyle name="Output 2 4 2 13 2 3" xfId="31825"/>
    <cellStyle name="Output 2 4 2 13 3" xfId="17464"/>
    <cellStyle name="Output 2 4 2 13 3 2" xfId="37532"/>
    <cellStyle name="Output 2 4 2 13 4" xfId="31824"/>
    <cellStyle name="Output 2 4 2 14" xfId="11644"/>
    <cellStyle name="Output 2 4 2 14 2" xfId="11645"/>
    <cellStyle name="Output 2 4 2 14 2 2" xfId="22832"/>
    <cellStyle name="Output 2 4 2 14 2 2 2" xfId="42900"/>
    <cellStyle name="Output 2 4 2 14 2 3" xfId="31827"/>
    <cellStyle name="Output 2 4 2 14 3" xfId="17590"/>
    <cellStyle name="Output 2 4 2 14 3 2" xfId="37658"/>
    <cellStyle name="Output 2 4 2 14 4" xfId="31826"/>
    <cellStyle name="Output 2 4 2 15" xfId="11646"/>
    <cellStyle name="Output 2 4 2 15 2" xfId="11647"/>
    <cellStyle name="Output 2 4 2 15 2 2" xfId="22833"/>
    <cellStyle name="Output 2 4 2 15 2 2 2" xfId="42901"/>
    <cellStyle name="Output 2 4 2 15 2 3" xfId="31829"/>
    <cellStyle name="Output 2 4 2 15 3" xfId="15539"/>
    <cellStyle name="Output 2 4 2 15 3 2" xfId="35607"/>
    <cellStyle name="Output 2 4 2 15 4" xfId="31828"/>
    <cellStyle name="Output 2 4 2 16" xfId="11648"/>
    <cellStyle name="Output 2 4 2 16 2" xfId="11649"/>
    <cellStyle name="Output 2 4 2 16 2 2" xfId="22834"/>
    <cellStyle name="Output 2 4 2 16 2 2 2" xfId="42902"/>
    <cellStyle name="Output 2 4 2 16 2 3" xfId="31831"/>
    <cellStyle name="Output 2 4 2 16 3" xfId="17840"/>
    <cellStyle name="Output 2 4 2 16 3 2" xfId="37908"/>
    <cellStyle name="Output 2 4 2 16 4" xfId="31830"/>
    <cellStyle name="Output 2 4 2 17" xfId="11650"/>
    <cellStyle name="Output 2 4 2 17 2" xfId="11651"/>
    <cellStyle name="Output 2 4 2 17 2 2" xfId="22835"/>
    <cellStyle name="Output 2 4 2 17 2 2 2" xfId="42903"/>
    <cellStyle name="Output 2 4 2 17 2 3" xfId="31833"/>
    <cellStyle name="Output 2 4 2 17 3" xfId="17978"/>
    <cellStyle name="Output 2 4 2 17 3 2" xfId="38046"/>
    <cellStyle name="Output 2 4 2 17 4" xfId="31832"/>
    <cellStyle name="Output 2 4 2 18" xfId="11652"/>
    <cellStyle name="Output 2 4 2 18 2" xfId="11653"/>
    <cellStyle name="Output 2 4 2 18 2 2" xfId="22836"/>
    <cellStyle name="Output 2 4 2 18 2 2 2" xfId="42904"/>
    <cellStyle name="Output 2 4 2 18 2 3" xfId="31835"/>
    <cellStyle name="Output 2 4 2 18 3" xfId="18117"/>
    <cellStyle name="Output 2 4 2 18 3 2" xfId="38185"/>
    <cellStyle name="Output 2 4 2 18 4" xfId="31834"/>
    <cellStyle name="Output 2 4 2 19" xfId="11654"/>
    <cellStyle name="Output 2 4 2 19 2" xfId="11655"/>
    <cellStyle name="Output 2 4 2 19 2 2" xfId="22837"/>
    <cellStyle name="Output 2 4 2 19 2 2 2" xfId="42905"/>
    <cellStyle name="Output 2 4 2 19 2 3" xfId="31837"/>
    <cellStyle name="Output 2 4 2 19 3" xfId="18235"/>
    <cellStyle name="Output 2 4 2 19 3 2" xfId="38303"/>
    <cellStyle name="Output 2 4 2 19 4" xfId="31836"/>
    <cellStyle name="Output 2 4 2 2" xfId="11656"/>
    <cellStyle name="Output 2 4 2 2 2" xfId="11657"/>
    <cellStyle name="Output 2 4 2 2 2 2" xfId="22838"/>
    <cellStyle name="Output 2 4 2 2 2 2 2" xfId="42906"/>
    <cellStyle name="Output 2 4 2 2 2 3" xfId="31839"/>
    <cellStyle name="Output 2 4 2 2 3" xfId="14703"/>
    <cellStyle name="Output 2 4 2 2 3 2" xfId="34771"/>
    <cellStyle name="Output 2 4 2 2 4" xfId="31838"/>
    <cellStyle name="Output 2 4 2 20" xfId="11658"/>
    <cellStyle name="Output 2 4 2 20 2" xfId="11659"/>
    <cellStyle name="Output 2 4 2 20 2 2" xfId="22839"/>
    <cellStyle name="Output 2 4 2 20 2 2 2" xfId="42907"/>
    <cellStyle name="Output 2 4 2 20 2 3" xfId="31841"/>
    <cellStyle name="Output 2 4 2 20 3" xfId="17034"/>
    <cellStyle name="Output 2 4 2 20 3 2" xfId="37102"/>
    <cellStyle name="Output 2 4 2 20 4" xfId="31840"/>
    <cellStyle name="Output 2 4 2 21" xfId="11660"/>
    <cellStyle name="Output 2 4 2 21 2" xfId="11661"/>
    <cellStyle name="Output 2 4 2 21 2 2" xfId="22840"/>
    <cellStyle name="Output 2 4 2 21 2 2 2" xfId="42908"/>
    <cellStyle name="Output 2 4 2 21 2 3" xfId="31843"/>
    <cellStyle name="Output 2 4 2 21 3" xfId="18440"/>
    <cellStyle name="Output 2 4 2 21 3 2" xfId="38508"/>
    <cellStyle name="Output 2 4 2 21 4" xfId="31842"/>
    <cellStyle name="Output 2 4 2 22" xfId="11662"/>
    <cellStyle name="Output 2 4 2 22 2" xfId="11663"/>
    <cellStyle name="Output 2 4 2 22 2 2" xfId="22841"/>
    <cellStyle name="Output 2 4 2 22 2 2 2" xfId="42909"/>
    <cellStyle name="Output 2 4 2 22 2 3" xfId="31845"/>
    <cellStyle name="Output 2 4 2 22 3" xfId="18573"/>
    <cellStyle name="Output 2 4 2 22 3 2" xfId="38641"/>
    <cellStyle name="Output 2 4 2 22 4" xfId="31844"/>
    <cellStyle name="Output 2 4 2 23" xfId="11664"/>
    <cellStyle name="Output 2 4 2 23 2" xfId="11665"/>
    <cellStyle name="Output 2 4 2 23 2 2" xfId="22842"/>
    <cellStyle name="Output 2 4 2 23 2 2 2" xfId="42910"/>
    <cellStyle name="Output 2 4 2 23 2 3" xfId="31847"/>
    <cellStyle name="Output 2 4 2 23 3" xfId="18684"/>
    <cellStyle name="Output 2 4 2 23 3 2" xfId="38752"/>
    <cellStyle name="Output 2 4 2 23 4" xfId="31846"/>
    <cellStyle name="Output 2 4 2 24" xfId="11666"/>
    <cellStyle name="Output 2 4 2 24 2" xfId="11667"/>
    <cellStyle name="Output 2 4 2 24 2 2" xfId="22843"/>
    <cellStyle name="Output 2 4 2 24 2 2 2" xfId="42911"/>
    <cellStyle name="Output 2 4 2 24 2 3" xfId="31849"/>
    <cellStyle name="Output 2 4 2 24 3" xfId="18784"/>
    <cellStyle name="Output 2 4 2 24 3 2" xfId="38852"/>
    <cellStyle name="Output 2 4 2 24 4" xfId="31848"/>
    <cellStyle name="Output 2 4 2 25" xfId="11668"/>
    <cellStyle name="Output 2 4 2 25 2" xfId="11669"/>
    <cellStyle name="Output 2 4 2 25 2 2" xfId="22844"/>
    <cellStyle name="Output 2 4 2 25 2 2 2" xfId="42912"/>
    <cellStyle name="Output 2 4 2 25 2 3" xfId="31851"/>
    <cellStyle name="Output 2 4 2 25 3" xfId="18884"/>
    <cellStyle name="Output 2 4 2 25 3 2" xfId="38952"/>
    <cellStyle name="Output 2 4 2 25 4" xfId="31850"/>
    <cellStyle name="Output 2 4 2 26" xfId="11670"/>
    <cellStyle name="Output 2 4 2 26 2" xfId="22827"/>
    <cellStyle name="Output 2 4 2 26 2 2" xfId="42895"/>
    <cellStyle name="Output 2 4 2 26 3" xfId="31852"/>
    <cellStyle name="Output 2 4 2 27" xfId="14044"/>
    <cellStyle name="Output 2 4 2 27 2" xfId="34112"/>
    <cellStyle name="Output 2 4 2 28" xfId="31817"/>
    <cellStyle name="Output 2 4 2 3" xfId="11671"/>
    <cellStyle name="Output 2 4 2 3 2" xfId="11672"/>
    <cellStyle name="Output 2 4 2 3 2 2" xfId="22845"/>
    <cellStyle name="Output 2 4 2 3 2 2 2" xfId="42913"/>
    <cellStyle name="Output 2 4 2 3 2 3" xfId="31854"/>
    <cellStyle name="Output 2 4 2 3 3" xfId="14827"/>
    <cellStyle name="Output 2 4 2 3 3 2" xfId="34895"/>
    <cellStyle name="Output 2 4 2 3 4" xfId="31853"/>
    <cellStyle name="Output 2 4 2 4" xfId="11673"/>
    <cellStyle name="Output 2 4 2 4 2" xfId="11674"/>
    <cellStyle name="Output 2 4 2 4 2 2" xfId="22846"/>
    <cellStyle name="Output 2 4 2 4 2 2 2" xfId="42914"/>
    <cellStyle name="Output 2 4 2 4 2 3" xfId="31856"/>
    <cellStyle name="Output 2 4 2 4 3" xfId="14952"/>
    <cellStyle name="Output 2 4 2 4 3 2" xfId="35020"/>
    <cellStyle name="Output 2 4 2 4 4" xfId="31855"/>
    <cellStyle name="Output 2 4 2 5" xfId="11675"/>
    <cellStyle name="Output 2 4 2 5 2" xfId="11676"/>
    <cellStyle name="Output 2 4 2 5 2 2" xfId="22847"/>
    <cellStyle name="Output 2 4 2 5 2 2 2" xfId="42915"/>
    <cellStyle name="Output 2 4 2 5 2 3" xfId="31858"/>
    <cellStyle name="Output 2 4 2 5 3" xfId="15121"/>
    <cellStyle name="Output 2 4 2 5 3 2" xfId="35189"/>
    <cellStyle name="Output 2 4 2 5 4" xfId="31857"/>
    <cellStyle name="Output 2 4 2 6" xfId="11677"/>
    <cellStyle name="Output 2 4 2 6 2" xfId="11678"/>
    <cellStyle name="Output 2 4 2 6 2 2" xfId="22848"/>
    <cellStyle name="Output 2 4 2 6 2 2 2" xfId="42916"/>
    <cellStyle name="Output 2 4 2 6 2 3" xfId="31860"/>
    <cellStyle name="Output 2 4 2 6 3" xfId="14061"/>
    <cellStyle name="Output 2 4 2 6 3 2" xfId="34129"/>
    <cellStyle name="Output 2 4 2 6 4" xfId="31859"/>
    <cellStyle name="Output 2 4 2 7" xfId="11679"/>
    <cellStyle name="Output 2 4 2 7 2" xfId="11680"/>
    <cellStyle name="Output 2 4 2 7 2 2" xfId="22849"/>
    <cellStyle name="Output 2 4 2 7 2 2 2" xfId="42917"/>
    <cellStyle name="Output 2 4 2 7 2 3" xfId="31862"/>
    <cellStyle name="Output 2 4 2 7 3" xfId="15253"/>
    <cellStyle name="Output 2 4 2 7 3 2" xfId="35321"/>
    <cellStyle name="Output 2 4 2 7 4" xfId="31861"/>
    <cellStyle name="Output 2 4 2 8" xfId="11681"/>
    <cellStyle name="Output 2 4 2 8 2" xfId="11682"/>
    <cellStyle name="Output 2 4 2 8 2 2" xfId="22850"/>
    <cellStyle name="Output 2 4 2 8 2 2 2" xfId="42918"/>
    <cellStyle name="Output 2 4 2 8 2 3" xfId="31864"/>
    <cellStyle name="Output 2 4 2 8 3" xfId="16618"/>
    <cellStyle name="Output 2 4 2 8 3 2" xfId="36686"/>
    <cellStyle name="Output 2 4 2 8 4" xfId="31863"/>
    <cellStyle name="Output 2 4 2 9" xfId="11683"/>
    <cellStyle name="Output 2 4 2 9 2" xfId="11684"/>
    <cellStyle name="Output 2 4 2 9 2 2" xfId="22851"/>
    <cellStyle name="Output 2 4 2 9 2 2 2" xfId="42919"/>
    <cellStyle name="Output 2 4 2 9 2 3" xfId="31866"/>
    <cellStyle name="Output 2 4 2 9 3" xfId="16822"/>
    <cellStyle name="Output 2 4 2 9 3 2" xfId="36890"/>
    <cellStyle name="Output 2 4 2 9 4" xfId="31865"/>
    <cellStyle name="Output 2 4 20" xfId="11685"/>
    <cellStyle name="Output 2 4 20 2" xfId="11686"/>
    <cellStyle name="Output 2 4 20 2 2" xfId="22852"/>
    <cellStyle name="Output 2 4 20 2 2 2" xfId="42920"/>
    <cellStyle name="Output 2 4 20 2 3" xfId="31868"/>
    <cellStyle name="Output 2 4 20 3" xfId="18008"/>
    <cellStyle name="Output 2 4 20 3 2" xfId="38076"/>
    <cellStyle name="Output 2 4 20 4" xfId="31867"/>
    <cellStyle name="Output 2 4 21" xfId="11687"/>
    <cellStyle name="Output 2 4 21 2" xfId="11688"/>
    <cellStyle name="Output 2 4 21 2 2" xfId="22853"/>
    <cellStyle name="Output 2 4 21 2 2 2" xfId="42921"/>
    <cellStyle name="Output 2 4 21 2 3" xfId="31870"/>
    <cellStyle name="Output 2 4 21 3" xfId="15891"/>
    <cellStyle name="Output 2 4 21 3 2" xfId="35959"/>
    <cellStyle name="Output 2 4 21 4" xfId="31869"/>
    <cellStyle name="Output 2 4 22" xfId="11689"/>
    <cellStyle name="Output 2 4 22 2" xfId="11690"/>
    <cellStyle name="Output 2 4 22 2 2" xfId="22854"/>
    <cellStyle name="Output 2 4 22 2 2 2" xfId="42922"/>
    <cellStyle name="Output 2 4 22 2 3" xfId="31872"/>
    <cellStyle name="Output 2 4 22 3" xfId="18260"/>
    <cellStyle name="Output 2 4 22 3 2" xfId="38328"/>
    <cellStyle name="Output 2 4 22 4" xfId="31871"/>
    <cellStyle name="Output 2 4 23" xfId="11691"/>
    <cellStyle name="Output 2 4 23 2" xfId="11692"/>
    <cellStyle name="Output 2 4 23 2 2" xfId="22855"/>
    <cellStyle name="Output 2 4 23 2 2 2" xfId="42923"/>
    <cellStyle name="Output 2 4 23 2 3" xfId="31874"/>
    <cellStyle name="Output 2 4 23 3" xfId="16424"/>
    <cellStyle name="Output 2 4 23 3 2" xfId="36492"/>
    <cellStyle name="Output 2 4 23 4" xfId="31873"/>
    <cellStyle name="Output 2 4 24" xfId="11693"/>
    <cellStyle name="Output 2 4 24 2" xfId="11694"/>
    <cellStyle name="Output 2 4 24 2 2" xfId="22856"/>
    <cellStyle name="Output 2 4 24 2 2 2" xfId="42924"/>
    <cellStyle name="Output 2 4 24 2 3" xfId="31876"/>
    <cellStyle name="Output 2 4 24 3" xfId="18468"/>
    <cellStyle name="Output 2 4 24 3 2" xfId="38536"/>
    <cellStyle name="Output 2 4 24 4" xfId="31875"/>
    <cellStyle name="Output 2 4 25" xfId="11695"/>
    <cellStyle name="Output 2 4 25 2" xfId="11696"/>
    <cellStyle name="Output 2 4 25 2 2" xfId="22857"/>
    <cellStyle name="Output 2 4 25 2 2 2" xfId="42925"/>
    <cellStyle name="Output 2 4 25 2 3" xfId="31878"/>
    <cellStyle name="Output 2 4 25 3" xfId="17509"/>
    <cellStyle name="Output 2 4 25 3 2" xfId="37577"/>
    <cellStyle name="Output 2 4 25 4" xfId="31877"/>
    <cellStyle name="Output 2 4 26" xfId="11697"/>
    <cellStyle name="Output 2 4 26 2" xfId="11698"/>
    <cellStyle name="Output 2 4 26 2 2" xfId="22858"/>
    <cellStyle name="Output 2 4 26 2 2 2" xfId="42926"/>
    <cellStyle name="Output 2 4 26 2 3" xfId="31880"/>
    <cellStyle name="Output 2 4 26 3" xfId="16226"/>
    <cellStyle name="Output 2 4 26 3 2" xfId="36294"/>
    <cellStyle name="Output 2 4 26 4" xfId="31879"/>
    <cellStyle name="Output 2 4 27" xfId="11699"/>
    <cellStyle name="Output 2 4 27 2" xfId="11700"/>
    <cellStyle name="Output 2 4 27 2 2" xfId="22859"/>
    <cellStyle name="Output 2 4 27 2 2 2" xfId="42927"/>
    <cellStyle name="Output 2 4 27 2 3" xfId="31882"/>
    <cellStyle name="Output 2 4 27 3" xfId="17176"/>
    <cellStyle name="Output 2 4 27 3 2" xfId="37244"/>
    <cellStyle name="Output 2 4 27 4" xfId="31881"/>
    <cellStyle name="Output 2 4 28" xfId="11701"/>
    <cellStyle name="Output 2 4 28 2" xfId="22816"/>
    <cellStyle name="Output 2 4 28 2 2" xfId="42884"/>
    <cellStyle name="Output 2 4 28 3" xfId="31883"/>
    <cellStyle name="Output 2 4 29" xfId="13934"/>
    <cellStyle name="Output 2 4 29 2" xfId="34002"/>
    <cellStyle name="Output 2 4 3" xfId="11702"/>
    <cellStyle name="Output 2 4 3 2" xfId="11703"/>
    <cellStyle name="Output 2 4 3 2 2" xfId="22860"/>
    <cellStyle name="Output 2 4 3 2 2 2" xfId="42928"/>
    <cellStyle name="Output 2 4 3 2 3" xfId="31885"/>
    <cellStyle name="Output 2 4 3 3" xfId="14413"/>
    <cellStyle name="Output 2 4 3 3 2" xfId="34481"/>
    <cellStyle name="Output 2 4 3 4" xfId="31884"/>
    <cellStyle name="Output 2 4 30" xfId="31796"/>
    <cellStyle name="Output 2 4 4" xfId="11704"/>
    <cellStyle name="Output 2 4 4 2" xfId="11705"/>
    <cellStyle name="Output 2 4 4 2 2" xfId="22861"/>
    <cellStyle name="Output 2 4 4 2 2 2" xfId="42929"/>
    <cellStyle name="Output 2 4 4 2 3" xfId="31887"/>
    <cellStyle name="Output 2 4 4 3" xfId="14270"/>
    <cellStyle name="Output 2 4 4 3 2" xfId="34338"/>
    <cellStyle name="Output 2 4 4 4" xfId="31886"/>
    <cellStyle name="Output 2 4 5" xfId="11706"/>
    <cellStyle name="Output 2 4 5 2" xfId="11707"/>
    <cellStyle name="Output 2 4 5 2 2" xfId="22862"/>
    <cellStyle name="Output 2 4 5 2 2 2" xfId="42930"/>
    <cellStyle name="Output 2 4 5 2 3" xfId="31889"/>
    <cellStyle name="Output 2 4 5 3" xfId="14355"/>
    <cellStyle name="Output 2 4 5 3 2" xfId="34423"/>
    <cellStyle name="Output 2 4 5 4" xfId="31888"/>
    <cellStyle name="Output 2 4 6" xfId="11708"/>
    <cellStyle name="Output 2 4 6 2" xfId="11709"/>
    <cellStyle name="Output 2 4 6 2 2" xfId="22863"/>
    <cellStyle name="Output 2 4 6 2 2 2" xfId="42931"/>
    <cellStyle name="Output 2 4 6 2 3" xfId="31891"/>
    <cellStyle name="Output 2 4 6 3" xfId="14987"/>
    <cellStyle name="Output 2 4 6 3 2" xfId="35055"/>
    <cellStyle name="Output 2 4 6 4" xfId="31890"/>
    <cellStyle name="Output 2 4 7" xfId="11710"/>
    <cellStyle name="Output 2 4 7 2" xfId="11711"/>
    <cellStyle name="Output 2 4 7 2 2" xfId="22864"/>
    <cellStyle name="Output 2 4 7 2 2 2" xfId="42932"/>
    <cellStyle name="Output 2 4 7 2 3" xfId="31893"/>
    <cellStyle name="Output 2 4 7 3" xfId="14526"/>
    <cellStyle name="Output 2 4 7 3 2" xfId="34594"/>
    <cellStyle name="Output 2 4 7 4" xfId="31892"/>
    <cellStyle name="Output 2 4 8" xfId="11712"/>
    <cellStyle name="Output 2 4 8 2" xfId="11713"/>
    <cellStyle name="Output 2 4 8 2 2" xfId="22865"/>
    <cellStyle name="Output 2 4 8 2 2 2" xfId="42933"/>
    <cellStyle name="Output 2 4 8 2 3" xfId="31895"/>
    <cellStyle name="Output 2 4 8 3" xfId="15161"/>
    <cellStyle name="Output 2 4 8 3 2" xfId="35229"/>
    <cellStyle name="Output 2 4 8 4" xfId="31894"/>
    <cellStyle name="Output 2 4 9" xfId="11714"/>
    <cellStyle name="Output 2 4 9 2" xfId="11715"/>
    <cellStyle name="Output 2 4 9 2 2" xfId="22866"/>
    <cellStyle name="Output 2 4 9 2 2 2" xfId="42934"/>
    <cellStyle name="Output 2 4 9 2 3" xfId="31897"/>
    <cellStyle name="Output 2 4 9 3" xfId="15340"/>
    <cellStyle name="Output 2 4 9 3 2" xfId="35408"/>
    <cellStyle name="Output 2 4 9 4" xfId="31896"/>
    <cellStyle name="Output 2 5" xfId="11716"/>
    <cellStyle name="Output 2 5 10" xfId="11717"/>
    <cellStyle name="Output 2 5 10 2" xfId="11718"/>
    <cellStyle name="Output 2 5 10 2 2" xfId="22868"/>
    <cellStyle name="Output 2 5 10 2 2 2" xfId="42936"/>
    <cellStyle name="Output 2 5 10 2 3" xfId="31900"/>
    <cellStyle name="Output 2 5 10 3" xfId="16484"/>
    <cellStyle name="Output 2 5 10 3 2" xfId="36552"/>
    <cellStyle name="Output 2 5 10 4" xfId="31899"/>
    <cellStyle name="Output 2 5 11" xfId="11719"/>
    <cellStyle name="Output 2 5 11 2" xfId="11720"/>
    <cellStyle name="Output 2 5 11 2 2" xfId="22869"/>
    <cellStyle name="Output 2 5 11 2 2 2" xfId="42937"/>
    <cellStyle name="Output 2 5 11 2 3" xfId="31902"/>
    <cellStyle name="Output 2 5 11 3" xfId="16677"/>
    <cellStyle name="Output 2 5 11 3 2" xfId="36745"/>
    <cellStyle name="Output 2 5 11 4" xfId="31901"/>
    <cellStyle name="Output 2 5 12" xfId="11721"/>
    <cellStyle name="Output 2 5 12 2" xfId="11722"/>
    <cellStyle name="Output 2 5 12 2 2" xfId="22870"/>
    <cellStyle name="Output 2 5 12 2 2 2" xfId="42938"/>
    <cellStyle name="Output 2 5 12 2 3" xfId="31904"/>
    <cellStyle name="Output 2 5 12 3" xfId="16856"/>
    <cellStyle name="Output 2 5 12 3 2" xfId="36924"/>
    <cellStyle name="Output 2 5 12 4" xfId="31903"/>
    <cellStyle name="Output 2 5 13" xfId="11723"/>
    <cellStyle name="Output 2 5 13 2" xfId="11724"/>
    <cellStyle name="Output 2 5 13 2 2" xfId="22871"/>
    <cellStyle name="Output 2 5 13 2 2 2" xfId="42939"/>
    <cellStyle name="Output 2 5 13 2 3" xfId="31906"/>
    <cellStyle name="Output 2 5 13 3" xfId="15699"/>
    <cellStyle name="Output 2 5 13 3 2" xfId="35767"/>
    <cellStyle name="Output 2 5 13 4" xfId="31905"/>
    <cellStyle name="Output 2 5 14" xfId="11725"/>
    <cellStyle name="Output 2 5 14 2" xfId="11726"/>
    <cellStyle name="Output 2 5 14 2 2" xfId="22872"/>
    <cellStyle name="Output 2 5 14 2 2 2" xfId="42940"/>
    <cellStyle name="Output 2 5 14 2 3" xfId="31908"/>
    <cellStyle name="Output 2 5 14 3" xfId="17161"/>
    <cellStyle name="Output 2 5 14 3 2" xfId="37229"/>
    <cellStyle name="Output 2 5 14 4" xfId="31907"/>
    <cellStyle name="Output 2 5 15" xfId="11727"/>
    <cellStyle name="Output 2 5 15 2" xfId="11728"/>
    <cellStyle name="Output 2 5 15 2 2" xfId="22873"/>
    <cellStyle name="Output 2 5 15 2 2 2" xfId="42941"/>
    <cellStyle name="Output 2 5 15 2 3" xfId="31910"/>
    <cellStyle name="Output 2 5 15 3" xfId="17337"/>
    <cellStyle name="Output 2 5 15 3 2" xfId="37405"/>
    <cellStyle name="Output 2 5 15 4" xfId="31909"/>
    <cellStyle name="Output 2 5 16" xfId="11729"/>
    <cellStyle name="Output 2 5 16 2" xfId="11730"/>
    <cellStyle name="Output 2 5 16 2 2" xfId="22874"/>
    <cellStyle name="Output 2 5 16 2 2 2" xfId="42942"/>
    <cellStyle name="Output 2 5 16 2 3" xfId="31912"/>
    <cellStyle name="Output 2 5 16 3" xfId="16077"/>
    <cellStyle name="Output 2 5 16 3 2" xfId="36145"/>
    <cellStyle name="Output 2 5 16 4" xfId="31911"/>
    <cellStyle name="Output 2 5 17" xfId="11731"/>
    <cellStyle name="Output 2 5 17 2" xfId="11732"/>
    <cellStyle name="Output 2 5 17 2 2" xfId="22875"/>
    <cellStyle name="Output 2 5 17 2 2 2" xfId="42943"/>
    <cellStyle name="Output 2 5 17 2 3" xfId="31914"/>
    <cellStyle name="Output 2 5 17 3" xfId="17612"/>
    <cellStyle name="Output 2 5 17 3 2" xfId="37680"/>
    <cellStyle name="Output 2 5 17 4" xfId="31913"/>
    <cellStyle name="Output 2 5 18" xfId="11733"/>
    <cellStyle name="Output 2 5 18 2" xfId="11734"/>
    <cellStyle name="Output 2 5 18 2 2" xfId="22876"/>
    <cellStyle name="Output 2 5 18 2 2 2" xfId="42944"/>
    <cellStyle name="Output 2 5 18 2 3" xfId="31916"/>
    <cellStyle name="Output 2 5 18 3" xfId="17726"/>
    <cellStyle name="Output 2 5 18 3 2" xfId="37794"/>
    <cellStyle name="Output 2 5 18 4" xfId="31915"/>
    <cellStyle name="Output 2 5 19" xfId="11735"/>
    <cellStyle name="Output 2 5 19 2" xfId="11736"/>
    <cellStyle name="Output 2 5 19 2 2" xfId="22877"/>
    <cellStyle name="Output 2 5 19 2 2 2" xfId="42945"/>
    <cellStyle name="Output 2 5 19 2 3" xfId="31918"/>
    <cellStyle name="Output 2 5 19 3" xfId="17641"/>
    <cellStyle name="Output 2 5 19 3 2" xfId="37709"/>
    <cellStyle name="Output 2 5 19 4" xfId="31917"/>
    <cellStyle name="Output 2 5 2" xfId="11737"/>
    <cellStyle name="Output 2 5 2 10" xfId="11738"/>
    <cellStyle name="Output 2 5 2 10 2" xfId="11739"/>
    <cellStyle name="Output 2 5 2 10 2 2" xfId="22879"/>
    <cellStyle name="Output 2 5 2 10 2 2 2" xfId="42947"/>
    <cellStyle name="Output 2 5 2 10 2 3" xfId="31921"/>
    <cellStyle name="Output 2 5 2 10 3" xfId="16984"/>
    <cellStyle name="Output 2 5 2 10 3 2" xfId="37052"/>
    <cellStyle name="Output 2 5 2 10 4" xfId="31920"/>
    <cellStyle name="Output 2 5 2 11" xfId="11740"/>
    <cellStyle name="Output 2 5 2 11 2" xfId="11741"/>
    <cellStyle name="Output 2 5 2 11 2 2" xfId="22880"/>
    <cellStyle name="Output 2 5 2 11 2 2 2" xfId="42948"/>
    <cellStyle name="Output 2 5 2 11 2 3" xfId="31923"/>
    <cellStyle name="Output 2 5 2 11 3" xfId="17129"/>
    <cellStyle name="Output 2 5 2 11 3 2" xfId="37197"/>
    <cellStyle name="Output 2 5 2 11 4" xfId="31922"/>
    <cellStyle name="Output 2 5 2 12" xfId="11742"/>
    <cellStyle name="Output 2 5 2 12 2" xfId="11743"/>
    <cellStyle name="Output 2 5 2 12 2 2" xfId="22881"/>
    <cellStyle name="Output 2 5 2 12 2 2 2" xfId="42949"/>
    <cellStyle name="Output 2 5 2 12 2 3" xfId="31925"/>
    <cellStyle name="Output 2 5 2 12 3" xfId="17301"/>
    <cellStyle name="Output 2 5 2 12 3 2" xfId="37369"/>
    <cellStyle name="Output 2 5 2 12 4" xfId="31924"/>
    <cellStyle name="Output 2 5 2 13" xfId="11744"/>
    <cellStyle name="Output 2 5 2 13 2" xfId="11745"/>
    <cellStyle name="Output 2 5 2 13 2 2" xfId="22882"/>
    <cellStyle name="Output 2 5 2 13 2 2 2" xfId="42950"/>
    <cellStyle name="Output 2 5 2 13 2 3" xfId="31927"/>
    <cellStyle name="Output 2 5 2 13 3" xfId="17465"/>
    <cellStyle name="Output 2 5 2 13 3 2" xfId="37533"/>
    <cellStyle name="Output 2 5 2 13 4" xfId="31926"/>
    <cellStyle name="Output 2 5 2 14" xfId="11746"/>
    <cellStyle name="Output 2 5 2 14 2" xfId="11747"/>
    <cellStyle name="Output 2 5 2 14 2 2" xfId="22883"/>
    <cellStyle name="Output 2 5 2 14 2 2 2" xfId="42951"/>
    <cellStyle name="Output 2 5 2 14 2 3" xfId="31929"/>
    <cellStyle name="Output 2 5 2 14 3" xfId="17591"/>
    <cellStyle name="Output 2 5 2 14 3 2" xfId="37659"/>
    <cellStyle name="Output 2 5 2 14 4" xfId="31928"/>
    <cellStyle name="Output 2 5 2 15" xfId="11748"/>
    <cellStyle name="Output 2 5 2 15 2" xfId="11749"/>
    <cellStyle name="Output 2 5 2 15 2 2" xfId="22884"/>
    <cellStyle name="Output 2 5 2 15 2 2 2" xfId="42952"/>
    <cellStyle name="Output 2 5 2 15 2 3" xfId="31931"/>
    <cellStyle name="Output 2 5 2 15 3" xfId="17689"/>
    <cellStyle name="Output 2 5 2 15 3 2" xfId="37757"/>
    <cellStyle name="Output 2 5 2 15 4" xfId="31930"/>
    <cellStyle name="Output 2 5 2 16" xfId="11750"/>
    <cellStyle name="Output 2 5 2 16 2" xfId="11751"/>
    <cellStyle name="Output 2 5 2 16 2 2" xfId="22885"/>
    <cellStyle name="Output 2 5 2 16 2 2 2" xfId="42953"/>
    <cellStyle name="Output 2 5 2 16 2 3" xfId="31933"/>
    <cellStyle name="Output 2 5 2 16 3" xfId="17841"/>
    <cellStyle name="Output 2 5 2 16 3 2" xfId="37909"/>
    <cellStyle name="Output 2 5 2 16 4" xfId="31932"/>
    <cellStyle name="Output 2 5 2 17" xfId="11752"/>
    <cellStyle name="Output 2 5 2 17 2" xfId="11753"/>
    <cellStyle name="Output 2 5 2 17 2 2" xfId="22886"/>
    <cellStyle name="Output 2 5 2 17 2 2 2" xfId="42954"/>
    <cellStyle name="Output 2 5 2 17 2 3" xfId="31935"/>
    <cellStyle name="Output 2 5 2 17 3" xfId="17979"/>
    <cellStyle name="Output 2 5 2 17 3 2" xfId="38047"/>
    <cellStyle name="Output 2 5 2 17 4" xfId="31934"/>
    <cellStyle name="Output 2 5 2 18" xfId="11754"/>
    <cellStyle name="Output 2 5 2 18 2" xfId="11755"/>
    <cellStyle name="Output 2 5 2 18 2 2" xfId="22887"/>
    <cellStyle name="Output 2 5 2 18 2 2 2" xfId="42955"/>
    <cellStyle name="Output 2 5 2 18 2 3" xfId="31937"/>
    <cellStyle name="Output 2 5 2 18 3" xfId="18118"/>
    <cellStyle name="Output 2 5 2 18 3 2" xfId="38186"/>
    <cellStyle name="Output 2 5 2 18 4" xfId="31936"/>
    <cellStyle name="Output 2 5 2 19" xfId="11756"/>
    <cellStyle name="Output 2 5 2 19 2" xfId="11757"/>
    <cellStyle name="Output 2 5 2 19 2 2" xfId="22888"/>
    <cellStyle name="Output 2 5 2 19 2 2 2" xfId="42956"/>
    <cellStyle name="Output 2 5 2 19 2 3" xfId="31939"/>
    <cellStyle name="Output 2 5 2 19 3" xfId="18236"/>
    <cellStyle name="Output 2 5 2 19 3 2" xfId="38304"/>
    <cellStyle name="Output 2 5 2 19 4" xfId="31938"/>
    <cellStyle name="Output 2 5 2 2" xfId="11758"/>
    <cellStyle name="Output 2 5 2 2 2" xfId="11759"/>
    <cellStyle name="Output 2 5 2 2 2 2" xfId="22889"/>
    <cellStyle name="Output 2 5 2 2 2 2 2" xfId="42957"/>
    <cellStyle name="Output 2 5 2 2 2 3" xfId="31941"/>
    <cellStyle name="Output 2 5 2 2 3" xfId="14704"/>
    <cellStyle name="Output 2 5 2 2 3 2" xfId="34772"/>
    <cellStyle name="Output 2 5 2 2 4" xfId="31940"/>
    <cellStyle name="Output 2 5 2 20" xfId="11760"/>
    <cellStyle name="Output 2 5 2 20 2" xfId="11761"/>
    <cellStyle name="Output 2 5 2 20 2 2" xfId="22890"/>
    <cellStyle name="Output 2 5 2 20 2 2 2" xfId="42958"/>
    <cellStyle name="Output 2 5 2 20 2 3" xfId="31943"/>
    <cellStyle name="Output 2 5 2 20 3" xfId="16492"/>
    <cellStyle name="Output 2 5 2 20 3 2" xfId="36560"/>
    <cellStyle name="Output 2 5 2 20 4" xfId="31942"/>
    <cellStyle name="Output 2 5 2 21" xfId="11762"/>
    <cellStyle name="Output 2 5 2 21 2" xfId="11763"/>
    <cellStyle name="Output 2 5 2 21 2 2" xfId="22891"/>
    <cellStyle name="Output 2 5 2 21 2 2 2" xfId="42959"/>
    <cellStyle name="Output 2 5 2 21 2 3" xfId="31945"/>
    <cellStyle name="Output 2 5 2 21 3" xfId="18441"/>
    <cellStyle name="Output 2 5 2 21 3 2" xfId="38509"/>
    <cellStyle name="Output 2 5 2 21 4" xfId="31944"/>
    <cellStyle name="Output 2 5 2 22" xfId="11764"/>
    <cellStyle name="Output 2 5 2 22 2" xfId="11765"/>
    <cellStyle name="Output 2 5 2 22 2 2" xfId="22892"/>
    <cellStyle name="Output 2 5 2 22 2 2 2" xfId="42960"/>
    <cellStyle name="Output 2 5 2 22 2 3" xfId="31947"/>
    <cellStyle name="Output 2 5 2 22 3" xfId="18574"/>
    <cellStyle name="Output 2 5 2 22 3 2" xfId="38642"/>
    <cellStyle name="Output 2 5 2 22 4" xfId="31946"/>
    <cellStyle name="Output 2 5 2 23" xfId="11766"/>
    <cellStyle name="Output 2 5 2 23 2" xfId="11767"/>
    <cellStyle name="Output 2 5 2 23 2 2" xfId="22893"/>
    <cellStyle name="Output 2 5 2 23 2 2 2" xfId="42961"/>
    <cellStyle name="Output 2 5 2 23 2 3" xfId="31949"/>
    <cellStyle name="Output 2 5 2 23 3" xfId="18685"/>
    <cellStyle name="Output 2 5 2 23 3 2" xfId="38753"/>
    <cellStyle name="Output 2 5 2 23 4" xfId="31948"/>
    <cellStyle name="Output 2 5 2 24" xfId="11768"/>
    <cellStyle name="Output 2 5 2 24 2" xfId="11769"/>
    <cellStyle name="Output 2 5 2 24 2 2" xfId="22894"/>
    <cellStyle name="Output 2 5 2 24 2 2 2" xfId="42962"/>
    <cellStyle name="Output 2 5 2 24 2 3" xfId="31951"/>
    <cellStyle name="Output 2 5 2 24 3" xfId="18785"/>
    <cellStyle name="Output 2 5 2 24 3 2" xfId="38853"/>
    <cellStyle name="Output 2 5 2 24 4" xfId="31950"/>
    <cellStyle name="Output 2 5 2 25" xfId="11770"/>
    <cellStyle name="Output 2 5 2 25 2" xfId="11771"/>
    <cellStyle name="Output 2 5 2 25 2 2" xfId="22895"/>
    <cellStyle name="Output 2 5 2 25 2 2 2" xfId="42963"/>
    <cellStyle name="Output 2 5 2 25 2 3" xfId="31953"/>
    <cellStyle name="Output 2 5 2 25 3" xfId="18885"/>
    <cellStyle name="Output 2 5 2 25 3 2" xfId="38953"/>
    <cellStyle name="Output 2 5 2 25 4" xfId="31952"/>
    <cellStyle name="Output 2 5 2 26" xfId="11772"/>
    <cellStyle name="Output 2 5 2 26 2" xfId="22878"/>
    <cellStyle name="Output 2 5 2 26 2 2" xfId="42946"/>
    <cellStyle name="Output 2 5 2 26 3" xfId="31954"/>
    <cellStyle name="Output 2 5 2 27" xfId="14426"/>
    <cellStyle name="Output 2 5 2 27 2" xfId="34494"/>
    <cellStyle name="Output 2 5 2 28" xfId="31919"/>
    <cellStyle name="Output 2 5 2 3" xfId="11773"/>
    <cellStyle name="Output 2 5 2 3 2" xfId="11774"/>
    <cellStyle name="Output 2 5 2 3 2 2" xfId="22896"/>
    <cellStyle name="Output 2 5 2 3 2 2 2" xfId="42964"/>
    <cellStyle name="Output 2 5 2 3 2 3" xfId="31956"/>
    <cellStyle name="Output 2 5 2 3 3" xfId="14828"/>
    <cellStyle name="Output 2 5 2 3 3 2" xfId="34896"/>
    <cellStyle name="Output 2 5 2 3 4" xfId="31955"/>
    <cellStyle name="Output 2 5 2 4" xfId="11775"/>
    <cellStyle name="Output 2 5 2 4 2" xfId="11776"/>
    <cellStyle name="Output 2 5 2 4 2 2" xfId="22897"/>
    <cellStyle name="Output 2 5 2 4 2 2 2" xfId="42965"/>
    <cellStyle name="Output 2 5 2 4 2 3" xfId="31958"/>
    <cellStyle name="Output 2 5 2 4 3" xfId="14953"/>
    <cellStyle name="Output 2 5 2 4 3 2" xfId="35021"/>
    <cellStyle name="Output 2 5 2 4 4" xfId="31957"/>
    <cellStyle name="Output 2 5 2 5" xfId="11777"/>
    <cellStyle name="Output 2 5 2 5 2" xfId="11778"/>
    <cellStyle name="Output 2 5 2 5 2 2" xfId="22898"/>
    <cellStyle name="Output 2 5 2 5 2 2 2" xfId="42966"/>
    <cellStyle name="Output 2 5 2 5 2 3" xfId="31960"/>
    <cellStyle name="Output 2 5 2 5 3" xfId="15122"/>
    <cellStyle name="Output 2 5 2 5 3 2" xfId="35190"/>
    <cellStyle name="Output 2 5 2 5 4" xfId="31959"/>
    <cellStyle name="Output 2 5 2 6" xfId="11779"/>
    <cellStyle name="Output 2 5 2 6 2" xfId="11780"/>
    <cellStyle name="Output 2 5 2 6 2 2" xfId="22899"/>
    <cellStyle name="Output 2 5 2 6 2 2 2" xfId="42967"/>
    <cellStyle name="Output 2 5 2 6 2 3" xfId="31962"/>
    <cellStyle name="Output 2 5 2 6 3" xfId="14483"/>
    <cellStyle name="Output 2 5 2 6 3 2" xfId="34551"/>
    <cellStyle name="Output 2 5 2 6 4" xfId="31961"/>
    <cellStyle name="Output 2 5 2 7" xfId="11781"/>
    <cellStyle name="Output 2 5 2 7 2" xfId="11782"/>
    <cellStyle name="Output 2 5 2 7 2 2" xfId="22900"/>
    <cellStyle name="Output 2 5 2 7 2 2 2" xfId="42968"/>
    <cellStyle name="Output 2 5 2 7 2 3" xfId="31964"/>
    <cellStyle name="Output 2 5 2 7 3" xfId="15254"/>
    <cellStyle name="Output 2 5 2 7 3 2" xfId="35322"/>
    <cellStyle name="Output 2 5 2 7 4" xfId="31963"/>
    <cellStyle name="Output 2 5 2 8" xfId="11783"/>
    <cellStyle name="Output 2 5 2 8 2" xfId="11784"/>
    <cellStyle name="Output 2 5 2 8 2 2" xfId="22901"/>
    <cellStyle name="Output 2 5 2 8 2 2 2" xfId="42969"/>
    <cellStyle name="Output 2 5 2 8 2 3" xfId="31966"/>
    <cellStyle name="Output 2 5 2 8 3" xfId="16619"/>
    <cellStyle name="Output 2 5 2 8 3 2" xfId="36687"/>
    <cellStyle name="Output 2 5 2 8 4" xfId="31965"/>
    <cellStyle name="Output 2 5 2 9" xfId="11785"/>
    <cellStyle name="Output 2 5 2 9 2" xfId="11786"/>
    <cellStyle name="Output 2 5 2 9 2 2" xfId="22902"/>
    <cellStyle name="Output 2 5 2 9 2 2 2" xfId="42970"/>
    <cellStyle name="Output 2 5 2 9 2 3" xfId="31968"/>
    <cellStyle name="Output 2 5 2 9 3" xfId="16823"/>
    <cellStyle name="Output 2 5 2 9 3 2" xfId="36891"/>
    <cellStyle name="Output 2 5 2 9 4" xfId="31967"/>
    <cellStyle name="Output 2 5 20" xfId="11787"/>
    <cellStyle name="Output 2 5 20 2" xfId="11788"/>
    <cellStyle name="Output 2 5 20 2 2" xfId="22903"/>
    <cellStyle name="Output 2 5 20 2 2 2" xfId="42971"/>
    <cellStyle name="Output 2 5 20 2 3" xfId="31970"/>
    <cellStyle name="Output 2 5 20 3" xfId="18009"/>
    <cellStyle name="Output 2 5 20 3 2" xfId="38077"/>
    <cellStyle name="Output 2 5 20 4" xfId="31969"/>
    <cellStyle name="Output 2 5 21" xfId="11789"/>
    <cellStyle name="Output 2 5 21 2" xfId="11790"/>
    <cellStyle name="Output 2 5 21 2 2" xfId="22904"/>
    <cellStyle name="Output 2 5 21 2 2 2" xfId="42972"/>
    <cellStyle name="Output 2 5 21 2 3" xfId="31972"/>
    <cellStyle name="Output 2 5 21 3" xfId="16411"/>
    <cellStyle name="Output 2 5 21 3 2" xfId="36479"/>
    <cellStyle name="Output 2 5 21 4" xfId="31971"/>
    <cellStyle name="Output 2 5 22" xfId="11791"/>
    <cellStyle name="Output 2 5 22 2" xfId="11792"/>
    <cellStyle name="Output 2 5 22 2 2" xfId="22905"/>
    <cellStyle name="Output 2 5 22 2 2 2" xfId="42973"/>
    <cellStyle name="Output 2 5 22 2 3" xfId="31974"/>
    <cellStyle name="Output 2 5 22 3" xfId="17353"/>
    <cellStyle name="Output 2 5 22 3 2" xfId="37421"/>
    <cellStyle name="Output 2 5 22 4" xfId="31973"/>
    <cellStyle name="Output 2 5 23" xfId="11793"/>
    <cellStyle name="Output 2 5 23 2" xfId="11794"/>
    <cellStyle name="Output 2 5 23 2 2" xfId="22906"/>
    <cellStyle name="Output 2 5 23 2 2 2" xfId="42974"/>
    <cellStyle name="Output 2 5 23 2 3" xfId="31976"/>
    <cellStyle name="Output 2 5 23 3" xfId="16183"/>
    <cellStyle name="Output 2 5 23 3 2" xfId="36251"/>
    <cellStyle name="Output 2 5 23 4" xfId="31975"/>
    <cellStyle name="Output 2 5 24" xfId="11795"/>
    <cellStyle name="Output 2 5 24 2" xfId="11796"/>
    <cellStyle name="Output 2 5 24 2 2" xfId="22907"/>
    <cellStyle name="Output 2 5 24 2 2 2" xfId="42975"/>
    <cellStyle name="Output 2 5 24 2 3" xfId="31978"/>
    <cellStyle name="Output 2 5 24 3" xfId="18469"/>
    <cellStyle name="Output 2 5 24 3 2" xfId="38537"/>
    <cellStyle name="Output 2 5 24 4" xfId="31977"/>
    <cellStyle name="Output 2 5 25" xfId="11797"/>
    <cellStyle name="Output 2 5 25 2" xfId="11798"/>
    <cellStyle name="Output 2 5 25 2 2" xfId="22908"/>
    <cellStyle name="Output 2 5 25 2 2 2" xfId="42976"/>
    <cellStyle name="Output 2 5 25 2 3" xfId="31980"/>
    <cellStyle name="Output 2 5 25 3" xfId="15556"/>
    <cellStyle name="Output 2 5 25 3 2" xfId="35624"/>
    <cellStyle name="Output 2 5 25 4" xfId="31979"/>
    <cellStyle name="Output 2 5 26" xfId="11799"/>
    <cellStyle name="Output 2 5 26 2" xfId="11800"/>
    <cellStyle name="Output 2 5 26 2 2" xfId="22909"/>
    <cellStyle name="Output 2 5 26 2 2 2" xfId="42977"/>
    <cellStyle name="Output 2 5 26 2 3" xfId="31982"/>
    <cellStyle name="Output 2 5 26 3" xfId="16175"/>
    <cellStyle name="Output 2 5 26 3 2" xfId="36243"/>
    <cellStyle name="Output 2 5 26 4" xfId="31981"/>
    <cellStyle name="Output 2 5 27" xfId="11801"/>
    <cellStyle name="Output 2 5 27 2" xfId="11802"/>
    <cellStyle name="Output 2 5 27 2 2" xfId="22910"/>
    <cellStyle name="Output 2 5 27 2 2 2" xfId="42978"/>
    <cellStyle name="Output 2 5 27 2 3" xfId="31984"/>
    <cellStyle name="Output 2 5 27 3" xfId="16408"/>
    <cellStyle name="Output 2 5 27 3 2" xfId="36476"/>
    <cellStyle name="Output 2 5 27 4" xfId="31983"/>
    <cellStyle name="Output 2 5 28" xfId="11803"/>
    <cellStyle name="Output 2 5 28 2" xfId="22867"/>
    <cellStyle name="Output 2 5 28 2 2" xfId="42935"/>
    <cellStyle name="Output 2 5 28 3" xfId="31985"/>
    <cellStyle name="Output 2 5 29" xfId="13935"/>
    <cellStyle name="Output 2 5 29 2" xfId="34003"/>
    <cellStyle name="Output 2 5 3" xfId="11804"/>
    <cellStyle name="Output 2 5 3 2" xfId="11805"/>
    <cellStyle name="Output 2 5 3 2 2" xfId="22911"/>
    <cellStyle name="Output 2 5 3 2 2 2" xfId="42979"/>
    <cellStyle name="Output 2 5 3 2 3" xfId="31987"/>
    <cellStyle name="Output 2 5 3 3" xfId="14116"/>
    <cellStyle name="Output 2 5 3 3 2" xfId="34184"/>
    <cellStyle name="Output 2 5 3 4" xfId="31986"/>
    <cellStyle name="Output 2 5 30" xfId="31898"/>
    <cellStyle name="Output 2 5 4" xfId="11806"/>
    <cellStyle name="Output 2 5 4 2" xfId="11807"/>
    <cellStyle name="Output 2 5 4 2 2" xfId="22912"/>
    <cellStyle name="Output 2 5 4 2 2 2" xfId="42980"/>
    <cellStyle name="Output 2 5 4 2 3" xfId="31989"/>
    <cellStyle name="Output 2 5 4 3" xfId="14258"/>
    <cellStyle name="Output 2 5 4 3 2" xfId="34326"/>
    <cellStyle name="Output 2 5 4 4" xfId="31988"/>
    <cellStyle name="Output 2 5 5" xfId="11808"/>
    <cellStyle name="Output 2 5 5 2" xfId="11809"/>
    <cellStyle name="Output 2 5 5 2 2" xfId="22913"/>
    <cellStyle name="Output 2 5 5 2 2 2" xfId="42981"/>
    <cellStyle name="Output 2 5 5 2 3" xfId="31991"/>
    <cellStyle name="Output 2 5 5 3" xfId="14186"/>
    <cellStyle name="Output 2 5 5 3 2" xfId="34254"/>
    <cellStyle name="Output 2 5 5 4" xfId="31990"/>
    <cellStyle name="Output 2 5 6" xfId="11810"/>
    <cellStyle name="Output 2 5 6 2" xfId="11811"/>
    <cellStyle name="Output 2 5 6 2 2" xfId="22914"/>
    <cellStyle name="Output 2 5 6 2 2 2" xfId="42982"/>
    <cellStyle name="Output 2 5 6 2 3" xfId="31993"/>
    <cellStyle name="Output 2 5 6 3" xfId="14988"/>
    <cellStyle name="Output 2 5 6 3 2" xfId="35056"/>
    <cellStyle name="Output 2 5 6 4" xfId="31992"/>
    <cellStyle name="Output 2 5 7" xfId="11812"/>
    <cellStyle name="Output 2 5 7 2" xfId="11813"/>
    <cellStyle name="Output 2 5 7 2 2" xfId="22915"/>
    <cellStyle name="Output 2 5 7 2 2 2" xfId="42983"/>
    <cellStyle name="Output 2 5 7 2 3" xfId="31995"/>
    <cellStyle name="Output 2 5 7 3" xfId="14084"/>
    <cellStyle name="Output 2 5 7 3 2" xfId="34152"/>
    <cellStyle name="Output 2 5 7 4" xfId="31994"/>
    <cellStyle name="Output 2 5 8" xfId="11814"/>
    <cellStyle name="Output 2 5 8 2" xfId="11815"/>
    <cellStyle name="Output 2 5 8 2 2" xfId="22916"/>
    <cellStyle name="Output 2 5 8 2 2 2" xfId="42984"/>
    <cellStyle name="Output 2 5 8 2 3" xfId="31997"/>
    <cellStyle name="Output 2 5 8 3" xfId="15162"/>
    <cellStyle name="Output 2 5 8 3 2" xfId="35230"/>
    <cellStyle name="Output 2 5 8 4" xfId="31996"/>
    <cellStyle name="Output 2 5 9" xfId="11816"/>
    <cellStyle name="Output 2 5 9 2" xfId="11817"/>
    <cellStyle name="Output 2 5 9 2 2" xfId="22917"/>
    <cellStyle name="Output 2 5 9 2 2 2" xfId="42985"/>
    <cellStyle name="Output 2 5 9 2 3" xfId="31999"/>
    <cellStyle name="Output 2 5 9 3" xfId="15341"/>
    <cellStyle name="Output 2 5 9 3 2" xfId="35409"/>
    <cellStyle name="Output 2 5 9 4" xfId="31998"/>
    <cellStyle name="Output 2 6" xfId="11818"/>
    <cellStyle name="Output 2 6 10" xfId="11819"/>
    <cellStyle name="Output 2 6 10 2" xfId="11820"/>
    <cellStyle name="Output 2 6 10 2 2" xfId="22919"/>
    <cellStyle name="Output 2 6 10 2 2 2" xfId="42987"/>
    <cellStyle name="Output 2 6 10 2 3" xfId="32002"/>
    <cellStyle name="Output 2 6 10 3" xfId="16980"/>
    <cellStyle name="Output 2 6 10 3 2" xfId="37048"/>
    <cellStyle name="Output 2 6 10 4" xfId="32001"/>
    <cellStyle name="Output 2 6 11" xfId="11821"/>
    <cellStyle name="Output 2 6 11 2" xfId="11822"/>
    <cellStyle name="Output 2 6 11 2 2" xfId="22920"/>
    <cellStyle name="Output 2 6 11 2 2 2" xfId="42988"/>
    <cellStyle name="Output 2 6 11 2 3" xfId="32004"/>
    <cellStyle name="Output 2 6 11 3" xfId="17125"/>
    <cellStyle name="Output 2 6 11 3 2" xfId="37193"/>
    <cellStyle name="Output 2 6 11 4" xfId="32003"/>
    <cellStyle name="Output 2 6 12" xfId="11823"/>
    <cellStyle name="Output 2 6 12 2" xfId="11824"/>
    <cellStyle name="Output 2 6 12 2 2" xfId="22921"/>
    <cellStyle name="Output 2 6 12 2 2 2" xfId="42989"/>
    <cellStyle name="Output 2 6 12 2 3" xfId="32006"/>
    <cellStyle name="Output 2 6 12 3" xfId="17297"/>
    <cellStyle name="Output 2 6 12 3 2" xfId="37365"/>
    <cellStyle name="Output 2 6 12 4" xfId="32005"/>
    <cellStyle name="Output 2 6 13" xfId="11825"/>
    <cellStyle name="Output 2 6 13 2" xfId="11826"/>
    <cellStyle name="Output 2 6 13 2 2" xfId="22922"/>
    <cellStyle name="Output 2 6 13 2 2 2" xfId="42990"/>
    <cellStyle name="Output 2 6 13 2 3" xfId="32008"/>
    <cellStyle name="Output 2 6 13 3" xfId="17461"/>
    <cellStyle name="Output 2 6 13 3 2" xfId="37529"/>
    <cellStyle name="Output 2 6 13 4" xfId="32007"/>
    <cellStyle name="Output 2 6 14" xfId="11827"/>
    <cellStyle name="Output 2 6 14 2" xfId="11828"/>
    <cellStyle name="Output 2 6 14 2 2" xfId="22923"/>
    <cellStyle name="Output 2 6 14 2 2 2" xfId="42991"/>
    <cellStyle name="Output 2 6 14 2 3" xfId="32010"/>
    <cellStyle name="Output 2 6 14 3" xfId="17587"/>
    <cellStyle name="Output 2 6 14 3 2" xfId="37655"/>
    <cellStyle name="Output 2 6 14 4" xfId="32009"/>
    <cellStyle name="Output 2 6 15" xfId="11829"/>
    <cellStyle name="Output 2 6 15 2" xfId="11830"/>
    <cellStyle name="Output 2 6 15 2 2" xfId="22924"/>
    <cellStyle name="Output 2 6 15 2 2 2" xfId="42992"/>
    <cellStyle name="Output 2 6 15 2 3" xfId="32012"/>
    <cellStyle name="Output 2 6 15 3" xfId="16151"/>
    <cellStyle name="Output 2 6 15 3 2" xfId="36219"/>
    <cellStyle name="Output 2 6 15 4" xfId="32011"/>
    <cellStyle name="Output 2 6 16" xfId="11831"/>
    <cellStyle name="Output 2 6 16 2" xfId="11832"/>
    <cellStyle name="Output 2 6 16 2 2" xfId="22925"/>
    <cellStyle name="Output 2 6 16 2 2 2" xfId="42993"/>
    <cellStyle name="Output 2 6 16 2 3" xfId="32014"/>
    <cellStyle name="Output 2 6 16 3" xfId="17837"/>
    <cellStyle name="Output 2 6 16 3 2" xfId="37905"/>
    <cellStyle name="Output 2 6 16 4" xfId="32013"/>
    <cellStyle name="Output 2 6 17" xfId="11833"/>
    <cellStyle name="Output 2 6 17 2" xfId="11834"/>
    <cellStyle name="Output 2 6 17 2 2" xfId="22926"/>
    <cellStyle name="Output 2 6 17 2 2 2" xfId="42994"/>
    <cellStyle name="Output 2 6 17 2 3" xfId="32016"/>
    <cellStyle name="Output 2 6 17 3" xfId="17975"/>
    <cellStyle name="Output 2 6 17 3 2" xfId="38043"/>
    <cellStyle name="Output 2 6 17 4" xfId="32015"/>
    <cellStyle name="Output 2 6 18" xfId="11835"/>
    <cellStyle name="Output 2 6 18 2" xfId="11836"/>
    <cellStyle name="Output 2 6 18 2 2" xfId="22927"/>
    <cellStyle name="Output 2 6 18 2 2 2" xfId="42995"/>
    <cellStyle name="Output 2 6 18 2 3" xfId="32018"/>
    <cellStyle name="Output 2 6 18 3" xfId="18114"/>
    <cellStyle name="Output 2 6 18 3 2" xfId="38182"/>
    <cellStyle name="Output 2 6 18 4" xfId="32017"/>
    <cellStyle name="Output 2 6 19" xfId="11837"/>
    <cellStyle name="Output 2 6 19 2" xfId="11838"/>
    <cellStyle name="Output 2 6 19 2 2" xfId="22928"/>
    <cellStyle name="Output 2 6 19 2 2 2" xfId="42996"/>
    <cellStyle name="Output 2 6 19 2 3" xfId="32020"/>
    <cellStyle name="Output 2 6 19 3" xfId="18232"/>
    <cellStyle name="Output 2 6 19 3 2" xfId="38300"/>
    <cellStyle name="Output 2 6 19 4" xfId="32019"/>
    <cellStyle name="Output 2 6 2" xfId="11839"/>
    <cellStyle name="Output 2 6 2 2" xfId="11840"/>
    <cellStyle name="Output 2 6 2 2 2" xfId="22929"/>
    <cellStyle name="Output 2 6 2 2 2 2" xfId="42997"/>
    <cellStyle name="Output 2 6 2 2 3" xfId="32022"/>
    <cellStyle name="Output 2 6 2 3" xfId="14700"/>
    <cellStyle name="Output 2 6 2 3 2" xfId="34768"/>
    <cellStyle name="Output 2 6 2 4" xfId="32021"/>
    <cellStyle name="Output 2 6 20" xfId="11841"/>
    <cellStyle name="Output 2 6 20 2" xfId="11842"/>
    <cellStyle name="Output 2 6 20 2 2" xfId="22930"/>
    <cellStyle name="Output 2 6 20 2 2 2" xfId="42998"/>
    <cellStyle name="Output 2 6 20 2 3" xfId="32024"/>
    <cellStyle name="Output 2 6 20 3" xfId="17013"/>
    <cellStyle name="Output 2 6 20 3 2" xfId="37081"/>
    <cellStyle name="Output 2 6 20 4" xfId="32023"/>
    <cellStyle name="Output 2 6 21" xfId="11843"/>
    <cellStyle name="Output 2 6 21 2" xfId="11844"/>
    <cellStyle name="Output 2 6 21 2 2" xfId="22931"/>
    <cellStyle name="Output 2 6 21 2 2 2" xfId="42999"/>
    <cellStyle name="Output 2 6 21 2 3" xfId="32026"/>
    <cellStyle name="Output 2 6 21 3" xfId="18437"/>
    <cellStyle name="Output 2 6 21 3 2" xfId="38505"/>
    <cellStyle name="Output 2 6 21 4" xfId="32025"/>
    <cellStyle name="Output 2 6 22" xfId="11845"/>
    <cellStyle name="Output 2 6 22 2" xfId="11846"/>
    <cellStyle name="Output 2 6 22 2 2" xfId="22932"/>
    <cellStyle name="Output 2 6 22 2 2 2" xfId="43000"/>
    <cellStyle name="Output 2 6 22 2 3" xfId="32028"/>
    <cellStyle name="Output 2 6 22 3" xfId="18570"/>
    <cellStyle name="Output 2 6 22 3 2" xfId="38638"/>
    <cellStyle name="Output 2 6 22 4" xfId="32027"/>
    <cellStyle name="Output 2 6 23" xfId="11847"/>
    <cellStyle name="Output 2 6 23 2" xfId="11848"/>
    <cellStyle name="Output 2 6 23 2 2" xfId="22933"/>
    <cellStyle name="Output 2 6 23 2 2 2" xfId="43001"/>
    <cellStyle name="Output 2 6 23 2 3" xfId="32030"/>
    <cellStyle name="Output 2 6 23 3" xfId="18681"/>
    <cellStyle name="Output 2 6 23 3 2" xfId="38749"/>
    <cellStyle name="Output 2 6 23 4" xfId="32029"/>
    <cellStyle name="Output 2 6 24" xfId="11849"/>
    <cellStyle name="Output 2 6 24 2" xfId="11850"/>
    <cellStyle name="Output 2 6 24 2 2" xfId="22934"/>
    <cellStyle name="Output 2 6 24 2 2 2" xfId="43002"/>
    <cellStyle name="Output 2 6 24 2 3" xfId="32032"/>
    <cellStyle name="Output 2 6 24 3" xfId="18781"/>
    <cellStyle name="Output 2 6 24 3 2" xfId="38849"/>
    <cellStyle name="Output 2 6 24 4" xfId="32031"/>
    <cellStyle name="Output 2 6 25" xfId="11851"/>
    <cellStyle name="Output 2 6 25 2" xfId="11852"/>
    <cellStyle name="Output 2 6 25 2 2" xfId="22935"/>
    <cellStyle name="Output 2 6 25 2 2 2" xfId="43003"/>
    <cellStyle name="Output 2 6 25 2 3" xfId="32034"/>
    <cellStyle name="Output 2 6 25 3" xfId="18881"/>
    <cellStyle name="Output 2 6 25 3 2" xfId="38949"/>
    <cellStyle name="Output 2 6 25 4" xfId="32033"/>
    <cellStyle name="Output 2 6 26" xfId="11853"/>
    <cellStyle name="Output 2 6 26 2" xfId="22918"/>
    <cellStyle name="Output 2 6 26 2 2" xfId="42986"/>
    <cellStyle name="Output 2 6 26 3" xfId="32035"/>
    <cellStyle name="Output 2 6 27" xfId="14304"/>
    <cellStyle name="Output 2 6 27 2" xfId="34372"/>
    <cellStyle name="Output 2 6 28" xfId="32000"/>
    <cellStyle name="Output 2 6 3" xfId="11854"/>
    <cellStyle name="Output 2 6 3 2" xfId="11855"/>
    <cellStyle name="Output 2 6 3 2 2" xfId="22936"/>
    <cellStyle name="Output 2 6 3 2 2 2" xfId="43004"/>
    <cellStyle name="Output 2 6 3 2 3" xfId="32037"/>
    <cellStyle name="Output 2 6 3 3" xfId="14824"/>
    <cellStyle name="Output 2 6 3 3 2" xfId="34892"/>
    <cellStyle name="Output 2 6 3 4" xfId="32036"/>
    <cellStyle name="Output 2 6 4" xfId="11856"/>
    <cellStyle name="Output 2 6 4 2" xfId="11857"/>
    <cellStyle name="Output 2 6 4 2 2" xfId="22937"/>
    <cellStyle name="Output 2 6 4 2 2 2" xfId="43005"/>
    <cellStyle name="Output 2 6 4 2 3" xfId="32039"/>
    <cellStyle name="Output 2 6 4 3" xfId="14949"/>
    <cellStyle name="Output 2 6 4 3 2" xfId="35017"/>
    <cellStyle name="Output 2 6 4 4" xfId="32038"/>
    <cellStyle name="Output 2 6 5" xfId="11858"/>
    <cellStyle name="Output 2 6 5 2" xfId="11859"/>
    <cellStyle name="Output 2 6 5 2 2" xfId="22938"/>
    <cellStyle name="Output 2 6 5 2 2 2" xfId="43006"/>
    <cellStyle name="Output 2 6 5 2 3" xfId="32041"/>
    <cellStyle name="Output 2 6 5 3" xfId="15118"/>
    <cellStyle name="Output 2 6 5 3 2" xfId="35186"/>
    <cellStyle name="Output 2 6 5 4" xfId="32040"/>
    <cellStyle name="Output 2 6 6" xfId="11860"/>
    <cellStyle name="Output 2 6 6 2" xfId="11861"/>
    <cellStyle name="Output 2 6 6 2 2" xfId="22939"/>
    <cellStyle name="Output 2 6 6 2 2 2" xfId="43007"/>
    <cellStyle name="Output 2 6 6 2 3" xfId="32043"/>
    <cellStyle name="Output 2 6 6 3" xfId="14341"/>
    <cellStyle name="Output 2 6 6 3 2" xfId="34409"/>
    <cellStyle name="Output 2 6 6 4" xfId="32042"/>
    <cellStyle name="Output 2 6 7" xfId="11862"/>
    <cellStyle name="Output 2 6 7 2" xfId="11863"/>
    <cellStyle name="Output 2 6 7 2 2" xfId="22940"/>
    <cellStyle name="Output 2 6 7 2 2 2" xfId="43008"/>
    <cellStyle name="Output 2 6 7 2 3" xfId="32045"/>
    <cellStyle name="Output 2 6 7 3" xfId="15250"/>
    <cellStyle name="Output 2 6 7 3 2" xfId="35318"/>
    <cellStyle name="Output 2 6 7 4" xfId="32044"/>
    <cellStyle name="Output 2 6 8" xfId="11864"/>
    <cellStyle name="Output 2 6 8 2" xfId="11865"/>
    <cellStyle name="Output 2 6 8 2 2" xfId="22941"/>
    <cellStyle name="Output 2 6 8 2 2 2" xfId="43009"/>
    <cellStyle name="Output 2 6 8 2 3" xfId="32047"/>
    <cellStyle name="Output 2 6 8 3" xfId="16615"/>
    <cellStyle name="Output 2 6 8 3 2" xfId="36683"/>
    <cellStyle name="Output 2 6 8 4" xfId="32046"/>
    <cellStyle name="Output 2 6 9" xfId="11866"/>
    <cellStyle name="Output 2 6 9 2" xfId="11867"/>
    <cellStyle name="Output 2 6 9 2 2" xfId="22942"/>
    <cellStyle name="Output 2 6 9 2 2 2" xfId="43010"/>
    <cellStyle name="Output 2 6 9 2 3" xfId="32049"/>
    <cellStyle name="Output 2 6 9 3" xfId="16819"/>
    <cellStyle name="Output 2 6 9 3 2" xfId="36887"/>
    <cellStyle name="Output 2 6 9 4" xfId="32048"/>
    <cellStyle name="Output 2 7" xfId="11868"/>
    <cellStyle name="Output 2 7 2" xfId="11869"/>
    <cellStyle name="Output 2 7 2 2" xfId="22943"/>
    <cellStyle name="Output 2 7 2 2 2" xfId="43011"/>
    <cellStyle name="Output 2 7 2 3" xfId="32051"/>
    <cellStyle name="Output 2 7 3" xfId="14311"/>
    <cellStyle name="Output 2 7 3 2" xfId="34379"/>
    <cellStyle name="Output 2 7 4" xfId="32050"/>
    <cellStyle name="Output 2 8" xfId="11870"/>
    <cellStyle name="Output 2 8 2" xfId="11871"/>
    <cellStyle name="Output 2 8 2 2" xfId="22944"/>
    <cellStyle name="Output 2 8 2 2 2" xfId="43012"/>
    <cellStyle name="Output 2 8 2 3" xfId="32053"/>
    <cellStyle name="Output 2 8 3" xfId="14582"/>
    <cellStyle name="Output 2 8 3 2" xfId="34650"/>
    <cellStyle name="Output 2 8 4" xfId="32052"/>
    <cellStyle name="Output 2 9" xfId="11872"/>
    <cellStyle name="Output 2 9 2" xfId="11873"/>
    <cellStyle name="Output 2 9 2 2" xfId="22945"/>
    <cellStyle name="Output 2 9 2 2 2" xfId="43013"/>
    <cellStyle name="Output 2 9 2 3" xfId="32055"/>
    <cellStyle name="Output 2 9 3" xfId="14012"/>
    <cellStyle name="Output 2 9 3 2" xfId="34080"/>
    <cellStyle name="Output 2 9 4" xfId="32054"/>
    <cellStyle name="Output 2_2011-2012" xfId="11874"/>
    <cellStyle name="Output 3" xfId="11875"/>
    <cellStyle name="Output 3 10" xfId="11876"/>
    <cellStyle name="Output 3 10 2" xfId="11877"/>
    <cellStyle name="Output 3 10 2 2" xfId="22947"/>
    <cellStyle name="Output 3 10 2 2 2" xfId="43015"/>
    <cellStyle name="Output 3 10 2 3" xfId="32058"/>
    <cellStyle name="Output 3 10 3" xfId="15163"/>
    <cellStyle name="Output 3 10 3 2" xfId="35231"/>
    <cellStyle name="Output 3 10 4" xfId="32057"/>
    <cellStyle name="Output 3 11" xfId="11878"/>
    <cellStyle name="Output 3 11 2" xfId="11879"/>
    <cellStyle name="Output 3 11 2 2" xfId="22948"/>
    <cellStyle name="Output 3 11 2 2 2" xfId="43016"/>
    <cellStyle name="Output 3 11 2 3" xfId="32060"/>
    <cellStyle name="Output 3 11 3" xfId="15342"/>
    <cellStyle name="Output 3 11 3 2" xfId="35410"/>
    <cellStyle name="Output 3 11 4" xfId="32059"/>
    <cellStyle name="Output 3 12" xfId="11880"/>
    <cellStyle name="Output 3 12 2" xfId="11881"/>
    <cellStyle name="Output 3 12 2 2" xfId="22949"/>
    <cellStyle name="Output 3 12 2 2 2" xfId="43017"/>
    <cellStyle name="Output 3 12 2 3" xfId="32062"/>
    <cellStyle name="Output 3 12 3" xfId="16485"/>
    <cellStyle name="Output 3 12 3 2" xfId="36553"/>
    <cellStyle name="Output 3 12 4" xfId="32061"/>
    <cellStyle name="Output 3 13" xfId="11882"/>
    <cellStyle name="Output 3 13 2" xfId="11883"/>
    <cellStyle name="Output 3 13 2 2" xfId="22950"/>
    <cellStyle name="Output 3 13 2 2 2" xfId="43018"/>
    <cellStyle name="Output 3 13 2 3" xfId="32064"/>
    <cellStyle name="Output 3 13 3" xfId="16678"/>
    <cellStyle name="Output 3 13 3 2" xfId="36746"/>
    <cellStyle name="Output 3 13 4" xfId="32063"/>
    <cellStyle name="Output 3 14" xfId="11884"/>
    <cellStyle name="Output 3 14 2" xfId="11885"/>
    <cellStyle name="Output 3 14 2 2" xfId="22951"/>
    <cellStyle name="Output 3 14 2 2 2" xfId="43019"/>
    <cellStyle name="Output 3 14 2 3" xfId="32066"/>
    <cellStyle name="Output 3 14 3" xfId="16857"/>
    <cellStyle name="Output 3 14 3 2" xfId="36925"/>
    <cellStyle name="Output 3 14 4" xfId="32065"/>
    <cellStyle name="Output 3 15" xfId="11886"/>
    <cellStyle name="Output 3 15 2" xfId="11887"/>
    <cellStyle name="Output 3 15 2 2" xfId="22952"/>
    <cellStyle name="Output 3 15 2 2 2" xfId="43020"/>
    <cellStyle name="Output 3 15 2 3" xfId="32068"/>
    <cellStyle name="Output 3 15 3" xfId="15698"/>
    <cellStyle name="Output 3 15 3 2" xfId="35766"/>
    <cellStyle name="Output 3 15 4" xfId="32067"/>
    <cellStyle name="Output 3 16" xfId="11888"/>
    <cellStyle name="Output 3 16 2" xfId="11889"/>
    <cellStyle name="Output 3 16 2 2" xfId="22953"/>
    <cellStyle name="Output 3 16 2 2 2" xfId="43021"/>
    <cellStyle name="Output 3 16 2 3" xfId="32070"/>
    <cellStyle name="Output 3 16 3" xfId="17162"/>
    <cellStyle name="Output 3 16 3 2" xfId="37230"/>
    <cellStyle name="Output 3 16 4" xfId="32069"/>
    <cellStyle name="Output 3 17" xfId="11890"/>
    <cellStyle name="Output 3 17 2" xfId="11891"/>
    <cellStyle name="Output 3 17 2 2" xfId="22954"/>
    <cellStyle name="Output 3 17 2 2 2" xfId="43022"/>
    <cellStyle name="Output 3 17 2 3" xfId="32072"/>
    <cellStyle name="Output 3 17 3" xfId="17338"/>
    <cellStyle name="Output 3 17 3 2" xfId="37406"/>
    <cellStyle name="Output 3 17 4" xfId="32071"/>
    <cellStyle name="Output 3 18" xfId="11892"/>
    <cellStyle name="Output 3 18 2" xfId="11893"/>
    <cellStyle name="Output 3 18 2 2" xfId="22955"/>
    <cellStyle name="Output 3 18 2 2 2" xfId="43023"/>
    <cellStyle name="Output 3 18 2 3" xfId="32074"/>
    <cellStyle name="Output 3 18 3" xfId="16216"/>
    <cellStyle name="Output 3 18 3 2" xfId="36284"/>
    <cellStyle name="Output 3 18 4" xfId="32073"/>
    <cellStyle name="Output 3 19" xfId="11894"/>
    <cellStyle name="Output 3 19 2" xfId="11895"/>
    <cellStyle name="Output 3 19 2 2" xfId="22956"/>
    <cellStyle name="Output 3 19 2 2 2" xfId="43024"/>
    <cellStyle name="Output 3 19 2 3" xfId="32076"/>
    <cellStyle name="Output 3 19 3" xfId="17613"/>
    <cellStyle name="Output 3 19 3 2" xfId="37681"/>
    <cellStyle name="Output 3 19 4" xfId="32075"/>
    <cellStyle name="Output 3 2" xfId="11896"/>
    <cellStyle name="Output 3 2 10" xfId="11897"/>
    <cellStyle name="Output 3 2 10 2" xfId="11898"/>
    <cellStyle name="Output 3 2 10 2 2" xfId="22958"/>
    <cellStyle name="Output 3 2 10 2 2 2" xfId="43026"/>
    <cellStyle name="Output 3 2 10 2 3" xfId="32079"/>
    <cellStyle name="Output 3 2 10 3" xfId="16486"/>
    <cellStyle name="Output 3 2 10 3 2" xfId="36554"/>
    <cellStyle name="Output 3 2 10 4" xfId="32078"/>
    <cellStyle name="Output 3 2 11" xfId="11899"/>
    <cellStyle name="Output 3 2 11 2" xfId="11900"/>
    <cellStyle name="Output 3 2 11 2 2" xfId="22959"/>
    <cellStyle name="Output 3 2 11 2 2 2" xfId="43027"/>
    <cellStyle name="Output 3 2 11 2 3" xfId="32081"/>
    <cellStyle name="Output 3 2 11 3" xfId="16679"/>
    <cellStyle name="Output 3 2 11 3 2" xfId="36747"/>
    <cellStyle name="Output 3 2 11 4" xfId="32080"/>
    <cellStyle name="Output 3 2 12" xfId="11901"/>
    <cellStyle name="Output 3 2 12 2" xfId="11902"/>
    <cellStyle name="Output 3 2 12 2 2" xfId="22960"/>
    <cellStyle name="Output 3 2 12 2 2 2" xfId="43028"/>
    <cellStyle name="Output 3 2 12 2 3" xfId="32083"/>
    <cellStyle name="Output 3 2 12 3" xfId="16858"/>
    <cellStyle name="Output 3 2 12 3 2" xfId="36926"/>
    <cellStyle name="Output 3 2 12 4" xfId="32082"/>
    <cellStyle name="Output 3 2 13" xfId="11903"/>
    <cellStyle name="Output 3 2 13 2" xfId="11904"/>
    <cellStyle name="Output 3 2 13 2 2" xfId="22961"/>
    <cellStyle name="Output 3 2 13 2 2 2" xfId="43029"/>
    <cellStyle name="Output 3 2 13 2 3" xfId="32085"/>
    <cellStyle name="Output 3 2 13 3" xfId="15697"/>
    <cellStyle name="Output 3 2 13 3 2" xfId="35765"/>
    <cellStyle name="Output 3 2 13 4" xfId="32084"/>
    <cellStyle name="Output 3 2 14" xfId="11905"/>
    <cellStyle name="Output 3 2 14 2" xfId="11906"/>
    <cellStyle name="Output 3 2 14 2 2" xfId="22962"/>
    <cellStyle name="Output 3 2 14 2 2 2" xfId="43030"/>
    <cellStyle name="Output 3 2 14 2 3" xfId="32087"/>
    <cellStyle name="Output 3 2 14 3" xfId="17163"/>
    <cellStyle name="Output 3 2 14 3 2" xfId="37231"/>
    <cellStyle name="Output 3 2 14 4" xfId="32086"/>
    <cellStyle name="Output 3 2 15" xfId="11907"/>
    <cellStyle name="Output 3 2 15 2" xfId="11908"/>
    <cellStyle name="Output 3 2 15 2 2" xfId="22963"/>
    <cellStyle name="Output 3 2 15 2 2 2" xfId="43031"/>
    <cellStyle name="Output 3 2 15 2 3" xfId="32089"/>
    <cellStyle name="Output 3 2 15 3" xfId="17339"/>
    <cellStyle name="Output 3 2 15 3 2" xfId="37407"/>
    <cellStyle name="Output 3 2 15 4" xfId="32088"/>
    <cellStyle name="Output 3 2 16" xfId="11909"/>
    <cellStyle name="Output 3 2 16 2" xfId="11910"/>
    <cellStyle name="Output 3 2 16 2 2" xfId="22964"/>
    <cellStyle name="Output 3 2 16 2 2 2" xfId="43032"/>
    <cellStyle name="Output 3 2 16 2 3" xfId="32091"/>
    <cellStyle name="Output 3 2 16 3" xfId="16217"/>
    <cellStyle name="Output 3 2 16 3 2" xfId="36285"/>
    <cellStyle name="Output 3 2 16 4" xfId="32090"/>
    <cellStyle name="Output 3 2 17" xfId="11911"/>
    <cellStyle name="Output 3 2 17 2" xfId="11912"/>
    <cellStyle name="Output 3 2 17 2 2" xfId="22965"/>
    <cellStyle name="Output 3 2 17 2 2 2" xfId="43033"/>
    <cellStyle name="Output 3 2 17 2 3" xfId="32093"/>
    <cellStyle name="Output 3 2 17 3" xfId="16034"/>
    <cellStyle name="Output 3 2 17 3 2" xfId="36102"/>
    <cellStyle name="Output 3 2 17 4" xfId="32092"/>
    <cellStyle name="Output 3 2 18" xfId="11913"/>
    <cellStyle name="Output 3 2 18 2" xfId="11914"/>
    <cellStyle name="Output 3 2 18 2 2" xfId="22966"/>
    <cellStyle name="Output 3 2 18 2 2 2" xfId="43034"/>
    <cellStyle name="Output 3 2 18 2 3" xfId="32095"/>
    <cellStyle name="Output 3 2 18 3" xfId="17728"/>
    <cellStyle name="Output 3 2 18 3 2" xfId="37796"/>
    <cellStyle name="Output 3 2 18 4" xfId="32094"/>
    <cellStyle name="Output 3 2 19" xfId="11915"/>
    <cellStyle name="Output 3 2 19 2" xfId="11916"/>
    <cellStyle name="Output 3 2 19 2 2" xfId="22967"/>
    <cellStyle name="Output 3 2 19 2 2 2" xfId="43035"/>
    <cellStyle name="Output 3 2 19 2 3" xfId="32097"/>
    <cellStyle name="Output 3 2 19 3" xfId="17356"/>
    <cellStyle name="Output 3 2 19 3 2" xfId="37424"/>
    <cellStyle name="Output 3 2 19 4" xfId="32096"/>
    <cellStyle name="Output 3 2 2" xfId="11917"/>
    <cellStyle name="Output 3 2 2 10" xfId="11918"/>
    <cellStyle name="Output 3 2 2 10 2" xfId="11919"/>
    <cellStyle name="Output 3 2 2 10 2 2" xfId="22969"/>
    <cellStyle name="Output 3 2 2 10 2 2 2" xfId="43037"/>
    <cellStyle name="Output 3 2 2 10 2 3" xfId="32100"/>
    <cellStyle name="Output 3 2 2 10 3" xfId="16986"/>
    <cellStyle name="Output 3 2 2 10 3 2" xfId="37054"/>
    <cellStyle name="Output 3 2 2 10 4" xfId="32099"/>
    <cellStyle name="Output 3 2 2 11" xfId="11920"/>
    <cellStyle name="Output 3 2 2 11 2" xfId="11921"/>
    <cellStyle name="Output 3 2 2 11 2 2" xfId="22970"/>
    <cellStyle name="Output 3 2 2 11 2 2 2" xfId="43038"/>
    <cellStyle name="Output 3 2 2 11 2 3" xfId="32102"/>
    <cellStyle name="Output 3 2 2 11 3" xfId="17131"/>
    <cellStyle name="Output 3 2 2 11 3 2" xfId="37199"/>
    <cellStyle name="Output 3 2 2 11 4" xfId="32101"/>
    <cellStyle name="Output 3 2 2 12" xfId="11922"/>
    <cellStyle name="Output 3 2 2 12 2" xfId="11923"/>
    <cellStyle name="Output 3 2 2 12 2 2" xfId="22971"/>
    <cellStyle name="Output 3 2 2 12 2 2 2" xfId="43039"/>
    <cellStyle name="Output 3 2 2 12 2 3" xfId="32104"/>
    <cellStyle name="Output 3 2 2 12 3" xfId="17303"/>
    <cellStyle name="Output 3 2 2 12 3 2" xfId="37371"/>
    <cellStyle name="Output 3 2 2 12 4" xfId="32103"/>
    <cellStyle name="Output 3 2 2 13" xfId="11924"/>
    <cellStyle name="Output 3 2 2 13 2" xfId="11925"/>
    <cellStyle name="Output 3 2 2 13 2 2" xfId="22972"/>
    <cellStyle name="Output 3 2 2 13 2 2 2" xfId="43040"/>
    <cellStyle name="Output 3 2 2 13 2 3" xfId="32106"/>
    <cellStyle name="Output 3 2 2 13 3" xfId="17467"/>
    <cellStyle name="Output 3 2 2 13 3 2" xfId="37535"/>
    <cellStyle name="Output 3 2 2 13 4" xfId="32105"/>
    <cellStyle name="Output 3 2 2 14" xfId="11926"/>
    <cellStyle name="Output 3 2 2 14 2" xfId="11927"/>
    <cellStyle name="Output 3 2 2 14 2 2" xfId="22973"/>
    <cellStyle name="Output 3 2 2 14 2 2 2" xfId="43041"/>
    <cellStyle name="Output 3 2 2 14 2 3" xfId="32108"/>
    <cellStyle name="Output 3 2 2 14 3" xfId="17593"/>
    <cellStyle name="Output 3 2 2 14 3 2" xfId="37661"/>
    <cellStyle name="Output 3 2 2 14 4" xfId="32107"/>
    <cellStyle name="Output 3 2 2 15" xfId="11928"/>
    <cellStyle name="Output 3 2 2 15 2" xfId="11929"/>
    <cellStyle name="Output 3 2 2 15 2 2" xfId="22974"/>
    <cellStyle name="Output 3 2 2 15 2 2 2" xfId="43042"/>
    <cellStyle name="Output 3 2 2 15 2 3" xfId="32110"/>
    <cellStyle name="Output 3 2 2 15 3" xfId="15661"/>
    <cellStyle name="Output 3 2 2 15 3 2" xfId="35729"/>
    <cellStyle name="Output 3 2 2 15 4" xfId="32109"/>
    <cellStyle name="Output 3 2 2 16" xfId="11930"/>
    <cellStyle name="Output 3 2 2 16 2" xfId="11931"/>
    <cellStyle name="Output 3 2 2 16 2 2" xfId="22975"/>
    <cellStyle name="Output 3 2 2 16 2 2 2" xfId="43043"/>
    <cellStyle name="Output 3 2 2 16 2 3" xfId="32112"/>
    <cellStyle name="Output 3 2 2 16 3" xfId="17843"/>
    <cellStyle name="Output 3 2 2 16 3 2" xfId="37911"/>
    <cellStyle name="Output 3 2 2 16 4" xfId="32111"/>
    <cellStyle name="Output 3 2 2 17" xfId="11932"/>
    <cellStyle name="Output 3 2 2 17 2" xfId="11933"/>
    <cellStyle name="Output 3 2 2 17 2 2" xfId="22976"/>
    <cellStyle name="Output 3 2 2 17 2 2 2" xfId="43044"/>
    <cellStyle name="Output 3 2 2 17 2 3" xfId="32114"/>
    <cellStyle name="Output 3 2 2 17 3" xfId="17981"/>
    <cellStyle name="Output 3 2 2 17 3 2" xfId="38049"/>
    <cellStyle name="Output 3 2 2 17 4" xfId="32113"/>
    <cellStyle name="Output 3 2 2 18" xfId="11934"/>
    <cellStyle name="Output 3 2 2 18 2" xfId="11935"/>
    <cellStyle name="Output 3 2 2 18 2 2" xfId="22977"/>
    <cellStyle name="Output 3 2 2 18 2 2 2" xfId="43045"/>
    <cellStyle name="Output 3 2 2 18 2 3" xfId="32116"/>
    <cellStyle name="Output 3 2 2 18 3" xfId="18120"/>
    <cellStyle name="Output 3 2 2 18 3 2" xfId="38188"/>
    <cellStyle name="Output 3 2 2 18 4" xfId="32115"/>
    <cellStyle name="Output 3 2 2 19" xfId="11936"/>
    <cellStyle name="Output 3 2 2 19 2" xfId="11937"/>
    <cellStyle name="Output 3 2 2 19 2 2" xfId="22978"/>
    <cellStyle name="Output 3 2 2 19 2 2 2" xfId="43046"/>
    <cellStyle name="Output 3 2 2 19 2 3" xfId="32118"/>
    <cellStyle name="Output 3 2 2 19 3" xfId="18238"/>
    <cellStyle name="Output 3 2 2 19 3 2" xfId="38306"/>
    <cellStyle name="Output 3 2 2 19 4" xfId="32117"/>
    <cellStyle name="Output 3 2 2 2" xfId="11938"/>
    <cellStyle name="Output 3 2 2 2 2" xfId="11939"/>
    <cellStyle name="Output 3 2 2 2 2 2" xfId="22979"/>
    <cellStyle name="Output 3 2 2 2 2 2 2" xfId="43047"/>
    <cellStyle name="Output 3 2 2 2 2 3" xfId="32120"/>
    <cellStyle name="Output 3 2 2 2 3" xfId="14706"/>
    <cellStyle name="Output 3 2 2 2 3 2" xfId="34774"/>
    <cellStyle name="Output 3 2 2 2 4" xfId="32119"/>
    <cellStyle name="Output 3 2 2 20" xfId="11940"/>
    <cellStyle name="Output 3 2 2 20 2" xfId="11941"/>
    <cellStyle name="Output 3 2 2 20 2 2" xfId="22980"/>
    <cellStyle name="Output 3 2 2 20 2 2 2" xfId="43048"/>
    <cellStyle name="Output 3 2 2 20 2 3" xfId="32122"/>
    <cellStyle name="Output 3 2 2 20 3" xfId="15879"/>
    <cellStyle name="Output 3 2 2 20 3 2" xfId="35947"/>
    <cellStyle name="Output 3 2 2 20 4" xfId="32121"/>
    <cellStyle name="Output 3 2 2 21" xfId="11942"/>
    <cellStyle name="Output 3 2 2 21 2" xfId="11943"/>
    <cellStyle name="Output 3 2 2 21 2 2" xfId="22981"/>
    <cellStyle name="Output 3 2 2 21 2 2 2" xfId="43049"/>
    <cellStyle name="Output 3 2 2 21 2 3" xfId="32124"/>
    <cellStyle name="Output 3 2 2 21 3" xfId="18443"/>
    <cellStyle name="Output 3 2 2 21 3 2" xfId="38511"/>
    <cellStyle name="Output 3 2 2 21 4" xfId="32123"/>
    <cellStyle name="Output 3 2 2 22" xfId="11944"/>
    <cellStyle name="Output 3 2 2 22 2" xfId="11945"/>
    <cellStyle name="Output 3 2 2 22 2 2" xfId="22982"/>
    <cellStyle name="Output 3 2 2 22 2 2 2" xfId="43050"/>
    <cellStyle name="Output 3 2 2 22 2 3" xfId="32126"/>
    <cellStyle name="Output 3 2 2 22 3" xfId="18576"/>
    <cellStyle name="Output 3 2 2 22 3 2" xfId="38644"/>
    <cellStyle name="Output 3 2 2 22 4" xfId="32125"/>
    <cellStyle name="Output 3 2 2 23" xfId="11946"/>
    <cellStyle name="Output 3 2 2 23 2" xfId="11947"/>
    <cellStyle name="Output 3 2 2 23 2 2" xfId="22983"/>
    <cellStyle name="Output 3 2 2 23 2 2 2" xfId="43051"/>
    <cellStyle name="Output 3 2 2 23 2 3" xfId="32128"/>
    <cellStyle name="Output 3 2 2 23 3" xfId="18687"/>
    <cellStyle name="Output 3 2 2 23 3 2" xfId="38755"/>
    <cellStyle name="Output 3 2 2 23 4" xfId="32127"/>
    <cellStyle name="Output 3 2 2 24" xfId="11948"/>
    <cellStyle name="Output 3 2 2 24 2" xfId="11949"/>
    <cellStyle name="Output 3 2 2 24 2 2" xfId="22984"/>
    <cellStyle name="Output 3 2 2 24 2 2 2" xfId="43052"/>
    <cellStyle name="Output 3 2 2 24 2 3" xfId="32130"/>
    <cellStyle name="Output 3 2 2 24 3" xfId="18787"/>
    <cellStyle name="Output 3 2 2 24 3 2" xfId="38855"/>
    <cellStyle name="Output 3 2 2 24 4" xfId="32129"/>
    <cellStyle name="Output 3 2 2 25" xfId="11950"/>
    <cellStyle name="Output 3 2 2 25 2" xfId="11951"/>
    <cellStyle name="Output 3 2 2 25 2 2" xfId="22985"/>
    <cellStyle name="Output 3 2 2 25 2 2 2" xfId="43053"/>
    <cellStyle name="Output 3 2 2 25 2 3" xfId="32132"/>
    <cellStyle name="Output 3 2 2 25 3" xfId="18887"/>
    <cellStyle name="Output 3 2 2 25 3 2" xfId="38955"/>
    <cellStyle name="Output 3 2 2 25 4" xfId="32131"/>
    <cellStyle name="Output 3 2 2 26" xfId="11952"/>
    <cellStyle name="Output 3 2 2 26 2" xfId="22968"/>
    <cellStyle name="Output 3 2 2 26 2 2" xfId="43036"/>
    <cellStyle name="Output 3 2 2 26 3" xfId="32133"/>
    <cellStyle name="Output 3 2 2 27" xfId="14581"/>
    <cellStyle name="Output 3 2 2 27 2" xfId="34649"/>
    <cellStyle name="Output 3 2 2 28" xfId="32098"/>
    <cellStyle name="Output 3 2 2 3" xfId="11953"/>
    <cellStyle name="Output 3 2 2 3 2" xfId="11954"/>
    <cellStyle name="Output 3 2 2 3 2 2" xfId="22986"/>
    <cellStyle name="Output 3 2 2 3 2 2 2" xfId="43054"/>
    <cellStyle name="Output 3 2 2 3 2 3" xfId="32135"/>
    <cellStyle name="Output 3 2 2 3 3" xfId="14830"/>
    <cellStyle name="Output 3 2 2 3 3 2" xfId="34898"/>
    <cellStyle name="Output 3 2 2 3 4" xfId="32134"/>
    <cellStyle name="Output 3 2 2 4" xfId="11955"/>
    <cellStyle name="Output 3 2 2 4 2" xfId="11956"/>
    <cellStyle name="Output 3 2 2 4 2 2" xfId="22987"/>
    <cellStyle name="Output 3 2 2 4 2 2 2" xfId="43055"/>
    <cellStyle name="Output 3 2 2 4 2 3" xfId="32137"/>
    <cellStyle name="Output 3 2 2 4 3" xfId="14955"/>
    <cellStyle name="Output 3 2 2 4 3 2" xfId="35023"/>
    <cellStyle name="Output 3 2 2 4 4" xfId="32136"/>
    <cellStyle name="Output 3 2 2 5" xfId="11957"/>
    <cellStyle name="Output 3 2 2 5 2" xfId="11958"/>
    <cellStyle name="Output 3 2 2 5 2 2" xfId="22988"/>
    <cellStyle name="Output 3 2 2 5 2 2 2" xfId="43056"/>
    <cellStyle name="Output 3 2 2 5 2 3" xfId="32139"/>
    <cellStyle name="Output 3 2 2 5 3" xfId="15124"/>
    <cellStyle name="Output 3 2 2 5 3 2" xfId="35192"/>
    <cellStyle name="Output 3 2 2 5 4" xfId="32138"/>
    <cellStyle name="Output 3 2 2 6" xfId="11959"/>
    <cellStyle name="Output 3 2 2 6 2" xfId="11960"/>
    <cellStyle name="Output 3 2 2 6 2 2" xfId="22989"/>
    <cellStyle name="Output 3 2 2 6 2 2 2" xfId="43057"/>
    <cellStyle name="Output 3 2 2 6 2 3" xfId="32141"/>
    <cellStyle name="Output 3 2 2 6 3" xfId="15021"/>
    <cellStyle name="Output 3 2 2 6 3 2" xfId="35089"/>
    <cellStyle name="Output 3 2 2 6 4" xfId="32140"/>
    <cellStyle name="Output 3 2 2 7" xfId="11961"/>
    <cellStyle name="Output 3 2 2 7 2" xfId="11962"/>
    <cellStyle name="Output 3 2 2 7 2 2" xfId="22990"/>
    <cellStyle name="Output 3 2 2 7 2 2 2" xfId="43058"/>
    <cellStyle name="Output 3 2 2 7 2 3" xfId="32143"/>
    <cellStyle name="Output 3 2 2 7 3" xfId="15256"/>
    <cellStyle name="Output 3 2 2 7 3 2" xfId="35324"/>
    <cellStyle name="Output 3 2 2 7 4" xfId="32142"/>
    <cellStyle name="Output 3 2 2 8" xfId="11963"/>
    <cellStyle name="Output 3 2 2 8 2" xfId="11964"/>
    <cellStyle name="Output 3 2 2 8 2 2" xfId="22991"/>
    <cellStyle name="Output 3 2 2 8 2 2 2" xfId="43059"/>
    <cellStyle name="Output 3 2 2 8 2 3" xfId="32145"/>
    <cellStyle name="Output 3 2 2 8 3" xfId="16621"/>
    <cellStyle name="Output 3 2 2 8 3 2" xfId="36689"/>
    <cellStyle name="Output 3 2 2 8 4" xfId="32144"/>
    <cellStyle name="Output 3 2 2 9" xfId="11965"/>
    <cellStyle name="Output 3 2 2 9 2" xfId="11966"/>
    <cellStyle name="Output 3 2 2 9 2 2" xfId="22992"/>
    <cellStyle name="Output 3 2 2 9 2 2 2" xfId="43060"/>
    <cellStyle name="Output 3 2 2 9 2 3" xfId="32147"/>
    <cellStyle name="Output 3 2 2 9 3" xfId="16825"/>
    <cellStyle name="Output 3 2 2 9 3 2" xfId="36893"/>
    <cellStyle name="Output 3 2 2 9 4" xfId="32146"/>
    <cellStyle name="Output 3 2 20" xfId="11967"/>
    <cellStyle name="Output 3 2 20 2" xfId="11968"/>
    <cellStyle name="Output 3 2 20 2 2" xfId="22993"/>
    <cellStyle name="Output 3 2 20 2 2 2" xfId="43061"/>
    <cellStyle name="Output 3 2 20 2 3" xfId="32149"/>
    <cellStyle name="Output 3 2 20 3" xfId="18011"/>
    <cellStyle name="Output 3 2 20 3 2" xfId="38079"/>
    <cellStyle name="Output 3 2 20 4" xfId="32148"/>
    <cellStyle name="Output 3 2 21" xfId="11969"/>
    <cellStyle name="Output 3 2 21 2" xfId="11970"/>
    <cellStyle name="Output 3 2 21 2 2" xfId="22994"/>
    <cellStyle name="Output 3 2 21 2 2 2" xfId="43062"/>
    <cellStyle name="Output 3 2 21 2 3" xfId="32151"/>
    <cellStyle name="Output 3 2 21 3" xfId="15671"/>
    <cellStyle name="Output 3 2 21 3 2" xfId="35739"/>
    <cellStyle name="Output 3 2 21 4" xfId="32150"/>
    <cellStyle name="Output 3 2 22" xfId="11971"/>
    <cellStyle name="Output 3 2 22 2" xfId="11972"/>
    <cellStyle name="Output 3 2 22 2 2" xfId="22995"/>
    <cellStyle name="Output 3 2 22 2 2 2" xfId="43063"/>
    <cellStyle name="Output 3 2 22 2 3" xfId="32153"/>
    <cellStyle name="Output 3 2 22 3" xfId="15459"/>
    <cellStyle name="Output 3 2 22 3 2" xfId="35527"/>
    <cellStyle name="Output 3 2 22 4" xfId="32152"/>
    <cellStyle name="Output 3 2 23" xfId="11973"/>
    <cellStyle name="Output 3 2 23 2" xfId="11974"/>
    <cellStyle name="Output 3 2 23 2 2" xfId="22996"/>
    <cellStyle name="Output 3 2 23 2 2 2" xfId="43064"/>
    <cellStyle name="Output 3 2 23 2 3" xfId="32155"/>
    <cellStyle name="Output 3 2 23 3" xfId="15763"/>
    <cellStyle name="Output 3 2 23 3 2" xfId="35831"/>
    <cellStyle name="Output 3 2 23 4" xfId="32154"/>
    <cellStyle name="Output 3 2 24" xfId="11975"/>
    <cellStyle name="Output 3 2 24 2" xfId="11976"/>
    <cellStyle name="Output 3 2 24 2 2" xfId="22997"/>
    <cellStyle name="Output 3 2 24 2 2 2" xfId="43065"/>
    <cellStyle name="Output 3 2 24 2 3" xfId="32157"/>
    <cellStyle name="Output 3 2 24 3" xfId="18471"/>
    <cellStyle name="Output 3 2 24 3 2" xfId="38539"/>
    <cellStyle name="Output 3 2 24 4" xfId="32156"/>
    <cellStyle name="Output 3 2 25" xfId="11977"/>
    <cellStyle name="Output 3 2 25 2" xfId="11978"/>
    <cellStyle name="Output 3 2 25 2 2" xfId="22998"/>
    <cellStyle name="Output 3 2 25 2 2 2" xfId="43066"/>
    <cellStyle name="Output 3 2 25 2 3" xfId="32159"/>
    <cellStyle name="Output 3 2 25 3" xfId="16866"/>
    <cellStyle name="Output 3 2 25 3 2" xfId="36934"/>
    <cellStyle name="Output 3 2 25 4" xfId="32158"/>
    <cellStyle name="Output 3 2 26" xfId="11979"/>
    <cellStyle name="Output 3 2 26 2" xfId="11980"/>
    <cellStyle name="Output 3 2 26 2 2" xfId="22999"/>
    <cellStyle name="Output 3 2 26 2 2 2" xfId="43067"/>
    <cellStyle name="Output 3 2 26 2 3" xfId="32161"/>
    <cellStyle name="Output 3 2 26 3" xfId="16423"/>
    <cellStyle name="Output 3 2 26 3 2" xfId="36491"/>
    <cellStyle name="Output 3 2 26 4" xfId="32160"/>
    <cellStyle name="Output 3 2 27" xfId="11981"/>
    <cellStyle name="Output 3 2 27 2" xfId="11982"/>
    <cellStyle name="Output 3 2 27 2 2" xfId="23000"/>
    <cellStyle name="Output 3 2 27 2 2 2" xfId="43068"/>
    <cellStyle name="Output 3 2 27 2 3" xfId="32163"/>
    <cellStyle name="Output 3 2 27 3" xfId="16400"/>
    <cellStyle name="Output 3 2 27 3 2" xfId="36468"/>
    <cellStyle name="Output 3 2 27 4" xfId="32162"/>
    <cellStyle name="Output 3 2 28" xfId="11983"/>
    <cellStyle name="Output 3 2 28 2" xfId="22957"/>
    <cellStyle name="Output 3 2 28 2 2" xfId="43025"/>
    <cellStyle name="Output 3 2 28 3" xfId="32164"/>
    <cellStyle name="Output 3 2 29" xfId="13937"/>
    <cellStyle name="Output 3 2 29 2" xfId="34005"/>
    <cellStyle name="Output 3 2 3" xfId="11984"/>
    <cellStyle name="Output 3 2 3 2" xfId="11985"/>
    <cellStyle name="Output 3 2 3 2 2" xfId="23001"/>
    <cellStyle name="Output 3 2 3 2 2 2" xfId="43069"/>
    <cellStyle name="Output 3 2 3 2 3" xfId="32166"/>
    <cellStyle name="Output 3 2 3 3" xfId="14040"/>
    <cellStyle name="Output 3 2 3 3 2" xfId="34108"/>
    <cellStyle name="Output 3 2 3 4" xfId="32165"/>
    <cellStyle name="Output 3 2 30" xfId="32077"/>
    <cellStyle name="Output 3 2 4" xfId="11986"/>
    <cellStyle name="Output 3 2 4 2" xfId="11987"/>
    <cellStyle name="Output 3 2 4 2 2" xfId="23002"/>
    <cellStyle name="Output 3 2 4 2 2 2" xfId="43070"/>
    <cellStyle name="Output 3 2 4 2 3" xfId="32168"/>
    <cellStyle name="Output 3 2 4 3" xfId="14169"/>
    <cellStyle name="Output 3 2 4 3 2" xfId="34237"/>
    <cellStyle name="Output 3 2 4 4" xfId="32167"/>
    <cellStyle name="Output 3 2 5" xfId="11988"/>
    <cellStyle name="Output 3 2 5 2" xfId="11989"/>
    <cellStyle name="Output 3 2 5 2 2" xfId="23003"/>
    <cellStyle name="Output 3 2 5 2 2 2" xfId="43071"/>
    <cellStyle name="Output 3 2 5 2 3" xfId="32170"/>
    <cellStyle name="Output 3 2 5 3" xfId="14070"/>
    <cellStyle name="Output 3 2 5 3 2" xfId="34138"/>
    <cellStyle name="Output 3 2 5 4" xfId="32169"/>
    <cellStyle name="Output 3 2 6" xfId="11990"/>
    <cellStyle name="Output 3 2 6 2" xfId="11991"/>
    <cellStyle name="Output 3 2 6 2 2" xfId="23004"/>
    <cellStyle name="Output 3 2 6 2 2 2" xfId="43072"/>
    <cellStyle name="Output 3 2 6 2 3" xfId="32172"/>
    <cellStyle name="Output 3 2 6 3" xfId="14990"/>
    <cellStyle name="Output 3 2 6 3 2" xfId="35058"/>
    <cellStyle name="Output 3 2 6 4" xfId="32171"/>
    <cellStyle name="Output 3 2 7" xfId="11992"/>
    <cellStyle name="Output 3 2 7 2" xfId="11993"/>
    <cellStyle name="Output 3 2 7 2 2" xfId="23005"/>
    <cellStyle name="Output 3 2 7 2 2 2" xfId="43073"/>
    <cellStyle name="Output 3 2 7 2 3" xfId="32174"/>
    <cellStyle name="Output 3 2 7 3" xfId="14203"/>
    <cellStyle name="Output 3 2 7 3 2" xfId="34271"/>
    <cellStyle name="Output 3 2 7 4" xfId="32173"/>
    <cellStyle name="Output 3 2 8" xfId="11994"/>
    <cellStyle name="Output 3 2 8 2" xfId="11995"/>
    <cellStyle name="Output 3 2 8 2 2" xfId="23006"/>
    <cellStyle name="Output 3 2 8 2 2 2" xfId="43074"/>
    <cellStyle name="Output 3 2 8 2 3" xfId="32176"/>
    <cellStyle name="Output 3 2 8 3" xfId="15164"/>
    <cellStyle name="Output 3 2 8 3 2" xfId="35232"/>
    <cellStyle name="Output 3 2 8 4" xfId="32175"/>
    <cellStyle name="Output 3 2 9" xfId="11996"/>
    <cellStyle name="Output 3 2 9 2" xfId="11997"/>
    <cellStyle name="Output 3 2 9 2 2" xfId="23007"/>
    <cellStyle name="Output 3 2 9 2 2 2" xfId="43075"/>
    <cellStyle name="Output 3 2 9 2 3" xfId="32178"/>
    <cellStyle name="Output 3 2 9 3" xfId="15343"/>
    <cellStyle name="Output 3 2 9 3 2" xfId="35411"/>
    <cellStyle name="Output 3 2 9 4" xfId="32177"/>
    <cellStyle name="Output 3 20" xfId="11998"/>
    <cellStyle name="Output 3 20 2" xfId="11999"/>
    <cellStyle name="Output 3 20 2 2" xfId="23008"/>
    <cellStyle name="Output 3 20 2 2 2" xfId="43076"/>
    <cellStyle name="Output 3 20 2 3" xfId="32180"/>
    <cellStyle name="Output 3 20 3" xfId="17727"/>
    <cellStyle name="Output 3 20 3 2" xfId="37795"/>
    <cellStyle name="Output 3 20 4" xfId="32179"/>
    <cellStyle name="Output 3 21" xfId="12000"/>
    <cellStyle name="Output 3 21 2" xfId="12001"/>
    <cellStyle name="Output 3 21 2 2" xfId="23009"/>
    <cellStyle name="Output 3 21 2 2 2" xfId="43077"/>
    <cellStyle name="Output 3 21 2 3" xfId="32182"/>
    <cellStyle name="Output 3 21 3" xfId="15893"/>
    <cellStyle name="Output 3 21 3 2" xfId="35961"/>
    <cellStyle name="Output 3 21 4" xfId="32181"/>
    <cellStyle name="Output 3 22" xfId="12002"/>
    <cellStyle name="Output 3 22 2" xfId="12003"/>
    <cellStyle name="Output 3 22 2 2" xfId="23010"/>
    <cellStyle name="Output 3 22 2 2 2" xfId="43078"/>
    <cellStyle name="Output 3 22 2 3" xfId="32184"/>
    <cellStyle name="Output 3 22 3" xfId="18010"/>
    <cellStyle name="Output 3 22 3 2" xfId="38078"/>
    <cellStyle name="Output 3 22 4" xfId="32183"/>
    <cellStyle name="Output 3 23" xfId="12004"/>
    <cellStyle name="Output 3 23 2" xfId="12005"/>
    <cellStyle name="Output 3 23 2 2" xfId="23011"/>
    <cellStyle name="Output 3 23 2 2 2" xfId="43079"/>
    <cellStyle name="Output 3 23 2 3" xfId="32186"/>
    <cellStyle name="Output 3 23 3" xfId="15668"/>
    <cellStyle name="Output 3 23 3 2" xfId="35736"/>
    <cellStyle name="Output 3 23 4" xfId="32185"/>
    <cellStyle name="Output 3 24" xfId="12006"/>
    <cellStyle name="Output 3 24 2" xfId="12007"/>
    <cellStyle name="Output 3 24 2 2" xfId="23012"/>
    <cellStyle name="Output 3 24 2 2 2" xfId="43080"/>
    <cellStyle name="Output 3 24 2 3" xfId="32188"/>
    <cellStyle name="Output 3 24 3" xfId="15629"/>
    <cellStyle name="Output 3 24 3 2" xfId="35697"/>
    <cellStyle name="Output 3 24 4" xfId="32187"/>
    <cellStyle name="Output 3 25" xfId="12008"/>
    <cellStyle name="Output 3 25 2" xfId="12009"/>
    <cellStyle name="Output 3 25 2 2" xfId="23013"/>
    <cellStyle name="Output 3 25 2 2 2" xfId="43081"/>
    <cellStyle name="Output 3 25 2 3" xfId="32190"/>
    <cellStyle name="Output 3 25 3" xfId="15884"/>
    <cellStyle name="Output 3 25 3 2" xfId="35952"/>
    <cellStyle name="Output 3 25 4" xfId="32189"/>
    <cellStyle name="Output 3 26" xfId="12010"/>
    <cellStyle name="Output 3 26 2" xfId="12011"/>
    <cellStyle name="Output 3 26 2 2" xfId="23014"/>
    <cellStyle name="Output 3 26 2 2 2" xfId="43082"/>
    <cellStyle name="Output 3 26 2 3" xfId="32192"/>
    <cellStyle name="Output 3 26 3" xfId="18470"/>
    <cellStyle name="Output 3 26 3 2" xfId="38538"/>
    <cellStyle name="Output 3 26 4" xfId="32191"/>
    <cellStyle name="Output 3 27" xfId="12012"/>
    <cellStyle name="Output 3 27 2" xfId="12013"/>
    <cellStyle name="Output 3 27 2 2" xfId="23015"/>
    <cellStyle name="Output 3 27 2 2 2" xfId="43083"/>
    <cellStyle name="Output 3 27 2 3" xfId="32194"/>
    <cellStyle name="Output 3 27 3" xfId="16868"/>
    <cellStyle name="Output 3 27 3 2" xfId="36936"/>
    <cellStyle name="Output 3 27 4" xfId="32193"/>
    <cellStyle name="Output 3 28" xfId="12014"/>
    <cellStyle name="Output 3 28 2" xfId="12015"/>
    <cellStyle name="Output 3 28 2 2" xfId="23016"/>
    <cellStyle name="Output 3 28 2 2 2" xfId="43084"/>
    <cellStyle name="Output 3 28 2 3" xfId="32196"/>
    <cellStyle name="Output 3 28 3" xfId="18256"/>
    <cellStyle name="Output 3 28 3 2" xfId="38324"/>
    <cellStyle name="Output 3 28 4" xfId="32195"/>
    <cellStyle name="Output 3 29" xfId="12016"/>
    <cellStyle name="Output 3 29 2" xfId="12017"/>
    <cellStyle name="Output 3 29 2 2" xfId="23017"/>
    <cellStyle name="Output 3 29 2 2 2" xfId="43085"/>
    <cellStyle name="Output 3 29 2 3" xfId="32198"/>
    <cellStyle name="Output 3 29 3" xfId="17607"/>
    <cellStyle name="Output 3 29 3 2" xfId="37675"/>
    <cellStyle name="Output 3 29 4" xfId="32197"/>
    <cellStyle name="Output 3 3" xfId="12018"/>
    <cellStyle name="Output 3 3 10" xfId="12019"/>
    <cellStyle name="Output 3 3 10 2" xfId="12020"/>
    <cellStyle name="Output 3 3 10 2 2" xfId="23019"/>
    <cellStyle name="Output 3 3 10 2 2 2" xfId="43087"/>
    <cellStyle name="Output 3 3 10 2 3" xfId="32201"/>
    <cellStyle name="Output 3 3 10 3" xfId="16487"/>
    <cellStyle name="Output 3 3 10 3 2" xfId="36555"/>
    <cellStyle name="Output 3 3 10 4" xfId="32200"/>
    <cellStyle name="Output 3 3 11" xfId="12021"/>
    <cellStyle name="Output 3 3 11 2" xfId="12022"/>
    <cellStyle name="Output 3 3 11 2 2" xfId="23020"/>
    <cellStyle name="Output 3 3 11 2 2 2" xfId="43088"/>
    <cellStyle name="Output 3 3 11 2 3" xfId="32203"/>
    <cellStyle name="Output 3 3 11 3" xfId="16680"/>
    <cellStyle name="Output 3 3 11 3 2" xfId="36748"/>
    <cellStyle name="Output 3 3 11 4" xfId="32202"/>
    <cellStyle name="Output 3 3 12" xfId="12023"/>
    <cellStyle name="Output 3 3 12 2" xfId="12024"/>
    <cellStyle name="Output 3 3 12 2 2" xfId="23021"/>
    <cellStyle name="Output 3 3 12 2 2 2" xfId="43089"/>
    <cellStyle name="Output 3 3 12 2 3" xfId="32205"/>
    <cellStyle name="Output 3 3 12 3" xfId="16859"/>
    <cellStyle name="Output 3 3 12 3 2" xfId="36927"/>
    <cellStyle name="Output 3 3 12 4" xfId="32204"/>
    <cellStyle name="Output 3 3 13" xfId="12025"/>
    <cellStyle name="Output 3 3 13 2" xfId="12026"/>
    <cellStyle name="Output 3 3 13 2 2" xfId="23022"/>
    <cellStyle name="Output 3 3 13 2 2 2" xfId="43090"/>
    <cellStyle name="Output 3 3 13 2 3" xfId="32207"/>
    <cellStyle name="Output 3 3 13 3" xfId="15696"/>
    <cellStyle name="Output 3 3 13 3 2" xfId="35764"/>
    <cellStyle name="Output 3 3 13 4" xfId="32206"/>
    <cellStyle name="Output 3 3 14" xfId="12027"/>
    <cellStyle name="Output 3 3 14 2" xfId="12028"/>
    <cellStyle name="Output 3 3 14 2 2" xfId="23023"/>
    <cellStyle name="Output 3 3 14 2 2 2" xfId="43091"/>
    <cellStyle name="Output 3 3 14 2 3" xfId="32209"/>
    <cellStyle name="Output 3 3 14 3" xfId="17164"/>
    <cellStyle name="Output 3 3 14 3 2" xfId="37232"/>
    <cellStyle name="Output 3 3 14 4" xfId="32208"/>
    <cellStyle name="Output 3 3 15" xfId="12029"/>
    <cellStyle name="Output 3 3 15 2" xfId="12030"/>
    <cellStyle name="Output 3 3 15 2 2" xfId="23024"/>
    <cellStyle name="Output 3 3 15 2 2 2" xfId="43092"/>
    <cellStyle name="Output 3 3 15 2 3" xfId="32211"/>
    <cellStyle name="Output 3 3 15 3" xfId="17340"/>
    <cellStyle name="Output 3 3 15 3 2" xfId="37408"/>
    <cellStyle name="Output 3 3 15 4" xfId="32210"/>
    <cellStyle name="Output 3 3 16" xfId="12031"/>
    <cellStyle name="Output 3 3 16 2" xfId="12032"/>
    <cellStyle name="Output 3 3 16 2 2" xfId="23025"/>
    <cellStyle name="Output 3 3 16 2 2 2" xfId="43093"/>
    <cellStyle name="Output 3 3 16 2 3" xfId="32213"/>
    <cellStyle name="Output 3 3 16 3" xfId="16218"/>
    <cellStyle name="Output 3 3 16 3 2" xfId="36286"/>
    <cellStyle name="Output 3 3 16 4" xfId="32212"/>
    <cellStyle name="Output 3 3 17" xfId="12033"/>
    <cellStyle name="Output 3 3 17 2" xfId="12034"/>
    <cellStyle name="Output 3 3 17 2 2" xfId="23026"/>
    <cellStyle name="Output 3 3 17 2 2 2" xfId="43094"/>
    <cellStyle name="Output 3 3 17 2 3" xfId="32215"/>
    <cellStyle name="Output 3 3 17 3" xfId="17614"/>
    <cellStyle name="Output 3 3 17 3 2" xfId="37682"/>
    <cellStyle name="Output 3 3 17 4" xfId="32214"/>
    <cellStyle name="Output 3 3 18" xfId="12035"/>
    <cellStyle name="Output 3 3 18 2" xfId="12036"/>
    <cellStyle name="Output 3 3 18 2 2" xfId="23027"/>
    <cellStyle name="Output 3 3 18 2 2 2" xfId="43095"/>
    <cellStyle name="Output 3 3 18 2 3" xfId="32217"/>
    <cellStyle name="Output 3 3 18 3" xfId="17729"/>
    <cellStyle name="Output 3 3 18 3 2" xfId="37797"/>
    <cellStyle name="Output 3 3 18 4" xfId="32216"/>
    <cellStyle name="Output 3 3 19" xfId="12037"/>
    <cellStyle name="Output 3 3 19 2" xfId="12038"/>
    <cellStyle name="Output 3 3 19 2 2" xfId="23028"/>
    <cellStyle name="Output 3 3 19 2 2 2" xfId="43096"/>
    <cellStyle name="Output 3 3 19 2 3" xfId="32219"/>
    <cellStyle name="Output 3 3 19 3" xfId="16503"/>
    <cellStyle name="Output 3 3 19 3 2" xfId="36571"/>
    <cellStyle name="Output 3 3 19 4" xfId="32218"/>
    <cellStyle name="Output 3 3 2" xfId="12039"/>
    <cellStyle name="Output 3 3 2 10" xfId="12040"/>
    <cellStyle name="Output 3 3 2 10 2" xfId="12041"/>
    <cellStyle name="Output 3 3 2 10 2 2" xfId="23030"/>
    <cellStyle name="Output 3 3 2 10 2 2 2" xfId="43098"/>
    <cellStyle name="Output 3 3 2 10 2 3" xfId="32222"/>
    <cellStyle name="Output 3 3 2 10 3" xfId="16987"/>
    <cellStyle name="Output 3 3 2 10 3 2" xfId="37055"/>
    <cellStyle name="Output 3 3 2 10 4" xfId="32221"/>
    <cellStyle name="Output 3 3 2 11" xfId="12042"/>
    <cellStyle name="Output 3 3 2 11 2" xfId="12043"/>
    <cellStyle name="Output 3 3 2 11 2 2" xfId="23031"/>
    <cellStyle name="Output 3 3 2 11 2 2 2" xfId="43099"/>
    <cellStyle name="Output 3 3 2 11 2 3" xfId="32224"/>
    <cellStyle name="Output 3 3 2 11 3" xfId="17132"/>
    <cellStyle name="Output 3 3 2 11 3 2" xfId="37200"/>
    <cellStyle name="Output 3 3 2 11 4" xfId="32223"/>
    <cellStyle name="Output 3 3 2 12" xfId="12044"/>
    <cellStyle name="Output 3 3 2 12 2" xfId="12045"/>
    <cellStyle name="Output 3 3 2 12 2 2" xfId="23032"/>
    <cellStyle name="Output 3 3 2 12 2 2 2" xfId="43100"/>
    <cellStyle name="Output 3 3 2 12 2 3" xfId="32226"/>
    <cellStyle name="Output 3 3 2 12 3" xfId="17304"/>
    <cellStyle name="Output 3 3 2 12 3 2" xfId="37372"/>
    <cellStyle name="Output 3 3 2 12 4" xfId="32225"/>
    <cellStyle name="Output 3 3 2 13" xfId="12046"/>
    <cellStyle name="Output 3 3 2 13 2" xfId="12047"/>
    <cellStyle name="Output 3 3 2 13 2 2" xfId="23033"/>
    <cellStyle name="Output 3 3 2 13 2 2 2" xfId="43101"/>
    <cellStyle name="Output 3 3 2 13 2 3" xfId="32228"/>
    <cellStyle name="Output 3 3 2 13 3" xfId="17468"/>
    <cellStyle name="Output 3 3 2 13 3 2" xfId="37536"/>
    <cellStyle name="Output 3 3 2 13 4" xfId="32227"/>
    <cellStyle name="Output 3 3 2 14" xfId="12048"/>
    <cellStyle name="Output 3 3 2 14 2" xfId="12049"/>
    <cellStyle name="Output 3 3 2 14 2 2" xfId="23034"/>
    <cellStyle name="Output 3 3 2 14 2 2 2" xfId="43102"/>
    <cellStyle name="Output 3 3 2 14 2 3" xfId="32230"/>
    <cellStyle name="Output 3 3 2 14 3" xfId="17594"/>
    <cellStyle name="Output 3 3 2 14 3 2" xfId="37662"/>
    <cellStyle name="Output 3 3 2 14 4" xfId="32229"/>
    <cellStyle name="Output 3 3 2 15" xfId="12050"/>
    <cellStyle name="Output 3 3 2 15 2" xfId="12051"/>
    <cellStyle name="Output 3 3 2 15 2 2" xfId="23035"/>
    <cellStyle name="Output 3 3 2 15 2 2 2" xfId="43103"/>
    <cellStyle name="Output 3 3 2 15 2 3" xfId="32232"/>
    <cellStyle name="Output 3 3 2 15 3" xfId="16150"/>
    <cellStyle name="Output 3 3 2 15 3 2" xfId="36218"/>
    <cellStyle name="Output 3 3 2 15 4" xfId="32231"/>
    <cellStyle name="Output 3 3 2 16" xfId="12052"/>
    <cellStyle name="Output 3 3 2 16 2" xfId="12053"/>
    <cellStyle name="Output 3 3 2 16 2 2" xfId="23036"/>
    <cellStyle name="Output 3 3 2 16 2 2 2" xfId="43104"/>
    <cellStyle name="Output 3 3 2 16 2 3" xfId="32234"/>
    <cellStyle name="Output 3 3 2 16 3" xfId="17844"/>
    <cellStyle name="Output 3 3 2 16 3 2" xfId="37912"/>
    <cellStyle name="Output 3 3 2 16 4" xfId="32233"/>
    <cellStyle name="Output 3 3 2 17" xfId="12054"/>
    <cellStyle name="Output 3 3 2 17 2" xfId="12055"/>
    <cellStyle name="Output 3 3 2 17 2 2" xfId="23037"/>
    <cellStyle name="Output 3 3 2 17 2 2 2" xfId="43105"/>
    <cellStyle name="Output 3 3 2 17 2 3" xfId="32236"/>
    <cellStyle name="Output 3 3 2 17 3" xfId="17982"/>
    <cellStyle name="Output 3 3 2 17 3 2" xfId="38050"/>
    <cellStyle name="Output 3 3 2 17 4" xfId="32235"/>
    <cellStyle name="Output 3 3 2 18" xfId="12056"/>
    <cellStyle name="Output 3 3 2 18 2" xfId="12057"/>
    <cellStyle name="Output 3 3 2 18 2 2" xfId="23038"/>
    <cellStyle name="Output 3 3 2 18 2 2 2" xfId="43106"/>
    <cellStyle name="Output 3 3 2 18 2 3" xfId="32238"/>
    <cellStyle name="Output 3 3 2 18 3" xfId="18121"/>
    <cellStyle name="Output 3 3 2 18 3 2" xfId="38189"/>
    <cellStyle name="Output 3 3 2 18 4" xfId="32237"/>
    <cellStyle name="Output 3 3 2 19" xfId="12058"/>
    <cellStyle name="Output 3 3 2 19 2" xfId="12059"/>
    <cellStyle name="Output 3 3 2 19 2 2" xfId="23039"/>
    <cellStyle name="Output 3 3 2 19 2 2 2" xfId="43107"/>
    <cellStyle name="Output 3 3 2 19 2 3" xfId="32240"/>
    <cellStyle name="Output 3 3 2 19 3" xfId="18239"/>
    <cellStyle name="Output 3 3 2 19 3 2" xfId="38307"/>
    <cellStyle name="Output 3 3 2 19 4" xfId="32239"/>
    <cellStyle name="Output 3 3 2 2" xfId="12060"/>
    <cellStyle name="Output 3 3 2 2 2" xfId="12061"/>
    <cellStyle name="Output 3 3 2 2 2 2" xfId="23040"/>
    <cellStyle name="Output 3 3 2 2 2 2 2" xfId="43108"/>
    <cellStyle name="Output 3 3 2 2 2 3" xfId="32242"/>
    <cellStyle name="Output 3 3 2 2 3" xfId="14707"/>
    <cellStyle name="Output 3 3 2 2 3 2" xfId="34775"/>
    <cellStyle name="Output 3 3 2 2 4" xfId="32241"/>
    <cellStyle name="Output 3 3 2 20" xfId="12062"/>
    <cellStyle name="Output 3 3 2 20 2" xfId="12063"/>
    <cellStyle name="Output 3 3 2 20 2 2" xfId="23041"/>
    <cellStyle name="Output 3 3 2 20 2 2 2" xfId="43109"/>
    <cellStyle name="Output 3 3 2 20 2 3" xfId="32244"/>
    <cellStyle name="Output 3 3 2 20 3" xfId="18314"/>
    <cellStyle name="Output 3 3 2 20 3 2" xfId="38382"/>
    <cellStyle name="Output 3 3 2 20 4" xfId="32243"/>
    <cellStyle name="Output 3 3 2 21" xfId="12064"/>
    <cellStyle name="Output 3 3 2 21 2" xfId="12065"/>
    <cellStyle name="Output 3 3 2 21 2 2" xfId="23042"/>
    <cellStyle name="Output 3 3 2 21 2 2 2" xfId="43110"/>
    <cellStyle name="Output 3 3 2 21 2 3" xfId="32246"/>
    <cellStyle name="Output 3 3 2 21 3" xfId="18444"/>
    <cellStyle name="Output 3 3 2 21 3 2" xfId="38512"/>
    <cellStyle name="Output 3 3 2 21 4" xfId="32245"/>
    <cellStyle name="Output 3 3 2 22" xfId="12066"/>
    <cellStyle name="Output 3 3 2 22 2" xfId="12067"/>
    <cellStyle name="Output 3 3 2 22 2 2" xfId="23043"/>
    <cellStyle name="Output 3 3 2 22 2 2 2" xfId="43111"/>
    <cellStyle name="Output 3 3 2 22 2 3" xfId="32248"/>
    <cellStyle name="Output 3 3 2 22 3" xfId="18577"/>
    <cellStyle name="Output 3 3 2 22 3 2" xfId="38645"/>
    <cellStyle name="Output 3 3 2 22 4" xfId="32247"/>
    <cellStyle name="Output 3 3 2 23" xfId="12068"/>
    <cellStyle name="Output 3 3 2 23 2" xfId="12069"/>
    <cellStyle name="Output 3 3 2 23 2 2" xfId="23044"/>
    <cellStyle name="Output 3 3 2 23 2 2 2" xfId="43112"/>
    <cellStyle name="Output 3 3 2 23 2 3" xfId="32250"/>
    <cellStyle name="Output 3 3 2 23 3" xfId="18688"/>
    <cellStyle name="Output 3 3 2 23 3 2" xfId="38756"/>
    <cellStyle name="Output 3 3 2 23 4" xfId="32249"/>
    <cellStyle name="Output 3 3 2 24" xfId="12070"/>
    <cellStyle name="Output 3 3 2 24 2" xfId="12071"/>
    <cellStyle name="Output 3 3 2 24 2 2" xfId="23045"/>
    <cellStyle name="Output 3 3 2 24 2 2 2" xfId="43113"/>
    <cellStyle name="Output 3 3 2 24 2 3" xfId="32252"/>
    <cellStyle name="Output 3 3 2 24 3" xfId="18788"/>
    <cellStyle name="Output 3 3 2 24 3 2" xfId="38856"/>
    <cellStyle name="Output 3 3 2 24 4" xfId="32251"/>
    <cellStyle name="Output 3 3 2 25" xfId="12072"/>
    <cellStyle name="Output 3 3 2 25 2" xfId="12073"/>
    <cellStyle name="Output 3 3 2 25 2 2" xfId="23046"/>
    <cellStyle name="Output 3 3 2 25 2 2 2" xfId="43114"/>
    <cellStyle name="Output 3 3 2 25 2 3" xfId="32254"/>
    <cellStyle name="Output 3 3 2 25 3" xfId="18888"/>
    <cellStyle name="Output 3 3 2 25 3 2" xfId="38956"/>
    <cellStyle name="Output 3 3 2 25 4" xfId="32253"/>
    <cellStyle name="Output 3 3 2 26" xfId="12074"/>
    <cellStyle name="Output 3 3 2 26 2" xfId="23029"/>
    <cellStyle name="Output 3 3 2 26 2 2" xfId="43097"/>
    <cellStyle name="Output 3 3 2 26 3" xfId="32255"/>
    <cellStyle name="Output 3 3 2 27" xfId="14508"/>
    <cellStyle name="Output 3 3 2 27 2" xfId="34576"/>
    <cellStyle name="Output 3 3 2 28" xfId="32220"/>
    <cellStyle name="Output 3 3 2 3" xfId="12075"/>
    <cellStyle name="Output 3 3 2 3 2" xfId="12076"/>
    <cellStyle name="Output 3 3 2 3 2 2" xfId="23047"/>
    <cellStyle name="Output 3 3 2 3 2 2 2" xfId="43115"/>
    <cellStyle name="Output 3 3 2 3 2 3" xfId="32257"/>
    <cellStyle name="Output 3 3 2 3 3" xfId="14831"/>
    <cellStyle name="Output 3 3 2 3 3 2" xfId="34899"/>
    <cellStyle name="Output 3 3 2 3 4" xfId="32256"/>
    <cellStyle name="Output 3 3 2 4" xfId="12077"/>
    <cellStyle name="Output 3 3 2 4 2" xfId="12078"/>
    <cellStyle name="Output 3 3 2 4 2 2" xfId="23048"/>
    <cellStyle name="Output 3 3 2 4 2 2 2" xfId="43116"/>
    <cellStyle name="Output 3 3 2 4 2 3" xfId="32259"/>
    <cellStyle name="Output 3 3 2 4 3" xfId="14956"/>
    <cellStyle name="Output 3 3 2 4 3 2" xfId="35024"/>
    <cellStyle name="Output 3 3 2 4 4" xfId="32258"/>
    <cellStyle name="Output 3 3 2 5" xfId="12079"/>
    <cellStyle name="Output 3 3 2 5 2" xfId="12080"/>
    <cellStyle name="Output 3 3 2 5 2 2" xfId="23049"/>
    <cellStyle name="Output 3 3 2 5 2 2 2" xfId="43117"/>
    <cellStyle name="Output 3 3 2 5 2 3" xfId="32261"/>
    <cellStyle name="Output 3 3 2 5 3" xfId="15125"/>
    <cellStyle name="Output 3 3 2 5 3 2" xfId="35193"/>
    <cellStyle name="Output 3 3 2 5 4" xfId="32260"/>
    <cellStyle name="Output 3 3 2 6" xfId="12081"/>
    <cellStyle name="Output 3 3 2 6 2" xfId="12082"/>
    <cellStyle name="Output 3 3 2 6 2 2" xfId="23050"/>
    <cellStyle name="Output 3 3 2 6 2 2 2" xfId="43118"/>
    <cellStyle name="Output 3 3 2 6 2 3" xfId="32263"/>
    <cellStyle name="Output 3 3 2 6 3" xfId="14448"/>
    <cellStyle name="Output 3 3 2 6 3 2" xfId="34516"/>
    <cellStyle name="Output 3 3 2 6 4" xfId="32262"/>
    <cellStyle name="Output 3 3 2 7" xfId="12083"/>
    <cellStyle name="Output 3 3 2 7 2" xfId="12084"/>
    <cellStyle name="Output 3 3 2 7 2 2" xfId="23051"/>
    <cellStyle name="Output 3 3 2 7 2 2 2" xfId="43119"/>
    <cellStyle name="Output 3 3 2 7 2 3" xfId="32265"/>
    <cellStyle name="Output 3 3 2 7 3" xfId="15257"/>
    <cellStyle name="Output 3 3 2 7 3 2" xfId="35325"/>
    <cellStyle name="Output 3 3 2 7 4" xfId="32264"/>
    <cellStyle name="Output 3 3 2 8" xfId="12085"/>
    <cellStyle name="Output 3 3 2 8 2" xfId="12086"/>
    <cellStyle name="Output 3 3 2 8 2 2" xfId="23052"/>
    <cellStyle name="Output 3 3 2 8 2 2 2" xfId="43120"/>
    <cellStyle name="Output 3 3 2 8 2 3" xfId="32267"/>
    <cellStyle name="Output 3 3 2 8 3" xfId="16622"/>
    <cellStyle name="Output 3 3 2 8 3 2" xfId="36690"/>
    <cellStyle name="Output 3 3 2 8 4" xfId="32266"/>
    <cellStyle name="Output 3 3 2 9" xfId="12087"/>
    <cellStyle name="Output 3 3 2 9 2" xfId="12088"/>
    <cellStyle name="Output 3 3 2 9 2 2" xfId="23053"/>
    <cellStyle name="Output 3 3 2 9 2 2 2" xfId="43121"/>
    <cellStyle name="Output 3 3 2 9 2 3" xfId="32269"/>
    <cellStyle name="Output 3 3 2 9 3" xfId="16826"/>
    <cellStyle name="Output 3 3 2 9 3 2" xfId="36894"/>
    <cellStyle name="Output 3 3 2 9 4" xfId="32268"/>
    <cellStyle name="Output 3 3 20" xfId="12089"/>
    <cellStyle name="Output 3 3 20 2" xfId="12090"/>
    <cellStyle name="Output 3 3 20 2 2" xfId="23054"/>
    <cellStyle name="Output 3 3 20 2 2 2" xfId="43122"/>
    <cellStyle name="Output 3 3 20 2 3" xfId="32271"/>
    <cellStyle name="Output 3 3 20 3" xfId="18012"/>
    <cellStyle name="Output 3 3 20 3 2" xfId="38080"/>
    <cellStyle name="Output 3 3 20 4" xfId="32270"/>
    <cellStyle name="Output 3 3 21" xfId="12091"/>
    <cellStyle name="Output 3 3 21 2" xfId="12092"/>
    <cellStyle name="Output 3 3 21 2 2" xfId="23055"/>
    <cellStyle name="Output 3 3 21 2 2 2" xfId="43123"/>
    <cellStyle name="Output 3 3 21 2 3" xfId="32273"/>
    <cellStyle name="Output 3 3 21 3" xfId="16346"/>
    <cellStyle name="Output 3 3 21 3 2" xfId="36414"/>
    <cellStyle name="Output 3 3 21 4" xfId="32272"/>
    <cellStyle name="Output 3 3 22" xfId="12093"/>
    <cellStyle name="Output 3 3 22 2" xfId="12094"/>
    <cellStyle name="Output 3 3 22 2 2" xfId="23056"/>
    <cellStyle name="Output 3 3 22 2 2 2" xfId="43124"/>
    <cellStyle name="Output 3 3 22 2 3" xfId="32275"/>
    <cellStyle name="Output 3 3 22 3" xfId="15504"/>
    <cellStyle name="Output 3 3 22 3 2" xfId="35572"/>
    <cellStyle name="Output 3 3 22 4" xfId="32274"/>
    <cellStyle name="Output 3 3 23" xfId="12095"/>
    <cellStyle name="Output 3 3 23 2" xfId="12096"/>
    <cellStyle name="Output 3 3 23 2 2" xfId="23057"/>
    <cellStyle name="Output 3 3 23 2 2 2" xfId="43125"/>
    <cellStyle name="Output 3 3 23 2 3" xfId="32277"/>
    <cellStyle name="Output 3 3 23 3" xfId="16350"/>
    <cellStyle name="Output 3 3 23 3 2" xfId="36418"/>
    <cellStyle name="Output 3 3 23 4" xfId="32276"/>
    <cellStyle name="Output 3 3 24" xfId="12097"/>
    <cellStyle name="Output 3 3 24 2" xfId="12098"/>
    <cellStyle name="Output 3 3 24 2 2" xfId="23058"/>
    <cellStyle name="Output 3 3 24 2 2 2" xfId="43126"/>
    <cellStyle name="Output 3 3 24 2 3" xfId="32279"/>
    <cellStyle name="Output 3 3 24 3" xfId="18472"/>
    <cellStyle name="Output 3 3 24 3 2" xfId="38540"/>
    <cellStyle name="Output 3 3 24 4" xfId="32278"/>
    <cellStyle name="Output 3 3 25" xfId="12099"/>
    <cellStyle name="Output 3 3 25 2" xfId="12100"/>
    <cellStyle name="Output 3 3 25 2 2" xfId="23059"/>
    <cellStyle name="Output 3 3 25 2 2 2" xfId="43127"/>
    <cellStyle name="Output 3 3 25 2 3" xfId="32281"/>
    <cellStyle name="Output 3 3 25 3" xfId="16401"/>
    <cellStyle name="Output 3 3 25 3 2" xfId="36469"/>
    <cellStyle name="Output 3 3 25 4" xfId="32280"/>
    <cellStyle name="Output 3 3 26" xfId="12101"/>
    <cellStyle name="Output 3 3 26 2" xfId="12102"/>
    <cellStyle name="Output 3 3 26 2 2" xfId="23060"/>
    <cellStyle name="Output 3 3 26 2 2 2" xfId="43128"/>
    <cellStyle name="Output 3 3 26 2 3" xfId="32283"/>
    <cellStyle name="Output 3 3 26 3" xfId="16069"/>
    <cellStyle name="Output 3 3 26 3 2" xfId="36137"/>
    <cellStyle name="Output 3 3 26 4" xfId="32282"/>
    <cellStyle name="Output 3 3 27" xfId="12103"/>
    <cellStyle name="Output 3 3 27 2" xfId="12104"/>
    <cellStyle name="Output 3 3 27 2 2" xfId="23061"/>
    <cellStyle name="Output 3 3 27 2 2 2" xfId="43129"/>
    <cellStyle name="Output 3 3 27 2 3" xfId="32285"/>
    <cellStyle name="Output 3 3 27 3" xfId="17860"/>
    <cellStyle name="Output 3 3 27 3 2" xfId="37928"/>
    <cellStyle name="Output 3 3 27 4" xfId="32284"/>
    <cellStyle name="Output 3 3 28" xfId="12105"/>
    <cellStyle name="Output 3 3 28 2" xfId="23018"/>
    <cellStyle name="Output 3 3 28 2 2" xfId="43086"/>
    <cellStyle name="Output 3 3 28 3" xfId="32286"/>
    <cellStyle name="Output 3 3 29" xfId="13938"/>
    <cellStyle name="Output 3 3 29 2" xfId="34006"/>
    <cellStyle name="Output 3 3 3" xfId="12106"/>
    <cellStyle name="Output 3 3 3 2" xfId="12107"/>
    <cellStyle name="Output 3 3 3 2 2" xfId="23062"/>
    <cellStyle name="Output 3 3 3 2 2 2" xfId="43130"/>
    <cellStyle name="Output 3 3 3 2 3" xfId="32288"/>
    <cellStyle name="Output 3 3 3 3" xfId="14402"/>
    <cellStyle name="Output 3 3 3 3 2" xfId="34470"/>
    <cellStyle name="Output 3 3 3 4" xfId="32287"/>
    <cellStyle name="Output 3 3 30" xfId="32199"/>
    <cellStyle name="Output 3 3 4" xfId="12108"/>
    <cellStyle name="Output 3 3 4 2" xfId="12109"/>
    <cellStyle name="Output 3 3 4 2 2" xfId="23063"/>
    <cellStyle name="Output 3 3 4 2 2 2" xfId="43131"/>
    <cellStyle name="Output 3 3 4 2 3" xfId="32290"/>
    <cellStyle name="Output 3 3 4 3" xfId="14145"/>
    <cellStyle name="Output 3 3 4 3 2" xfId="34213"/>
    <cellStyle name="Output 3 3 4 4" xfId="32289"/>
    <cellStyle name="Output 3 3 5" xfId="12110"/>
    <cellStyle name="Output 3 3 5 2" xfId="12111"/>
    <cellStyle name="Output 3 3 5 2 2" xfId="23064"/>
    <cellStyle name="Output 3 3 5 2 2 2" xfId="43132"/>
    <cellStyle name="Output 3 3 5 2 3" xfId="32292"/>
    <cellStyle name="Output 3 3 5 3" xfId="14561"/>
    <cellStyle name="Output 3 3 5 3 2" xfId="34629"/>
    <cellStyle name="Output 3 3 5 4" xfId="32291"/>
    <cellStyle name="Output 3 3 6" xfId="12112"/>
    <cellStyle name="Output 3 3 6 2" xfId="12113"/>
    <cellStyle name="Output 3 3 6 2 2" xfId="23065"/>
    <cellStyle name="Output 3 3 6 2 2 2" xfId="43133"/>
    <cellStyle name="Output 3 3 6 2 3" xfId="32294"/>
    <cellStyle name="Output 3 3 6 3" xfId="14991"/>
    <cellStyle name="Output 3 3 6 3 2" xfId="35059"/>
    <cellStyle name="Output 3 3 6 4" xfId="32293"/>
    <cellStyle name="Output 3 3 7" xfId="12114"/>
    <cellStyle name="Output 3 3 7 2" xfId="12115"/>
    <cellStyle name="Output 3 3 7 2 2" xfId="23066"/>
    <cellStyle name="Output 3 3 7 2 2 2" xfId="43134"/>
    <cellStyle name="Output 3 3 7 2 3" xfId="32296"/>
    <cellStyle name="Output 3 3 7 3" xfId="14423"/>
    <cellStyle name="Output 3 3 7 3 2" xfId="34491"/>
    <cellStyle name="Output 3 3 7 4" xfId="32295"/>
    <cellStyle name="Output 3 3 8" xfId="12116"/>
    <cellStyle name="Output 3 3 8 2" xfId="12117"/>
    <cellStyle name="Output 3 3 8 2 2" xfId="23067"/>
    <cellStyle name="Output 3 3 8 2 2 2" xfId="43135"/>
    <cellStyle name="Output 3 3 8 2 3" xfId="32298"/>
    <cellStyle name="Output 3 3 8 3" xfId="15165"/>
    <cellStyle name="Output 3 3 8 3 2" xfId="35233"/>
    <cellStyle name="Output 3 3 8 4" xfId="32297"/>
    <cellStyle name="Output 3 3 9" xfId="12118"/>
    <cellStyle name="Output 3 3 9 2" xfId="12119"/>
    <cellStyle name="Output 3 3 9 2 2" xfId="23068"/>
    <cellStyle name="Output 3 3 9 2 2 2" xfId="43136"/>
    <cellStyle name="Output 3 3 9 2 3" xfId="32300"/>
    <cellStyle name="Output 3 3 9 3" xfId="15344"/>
    <cellStyle name="Output 3 3 9 3 2" xfId="35412"/>
    <cellStyle name="Output 3 3 9 4" xfId="32299"/>
    <cellStyle name="Output 3 30" xfId="12120"/>
    <cellStyle name="Output 3 30 2" xfId="22946"/>
    <cellStyle name="Output 3 30 2 2" xfId="43014"/>
    <cellStyle name="Output 3 30 3" xfId="32301"/>
    <cellStyle name="Output 3 31" xfId="13936"/>
    <cellStyle name="Output 3 31 2" xfId="34004"/>
    <cellStyle name="Output 3 32" xfId="32056"/>
    <cellStyle name="Output 3 4" xfId="12121"/>
    <cellStyle name="Output 3 4 10" xfId="12122"/>
    <cellStyle name="Output 3 4 10 2" xfId="12123"/>
    <cellStyle name="Output 3 4 10 2 2" xfId="23070"/>
    <cellStyle name="Output 3 4 10 2 2 2" xfId="43138"/>
    <cellStyle name="Output 3 4 10 2 3" xfId="32304"/>
    <cellStyle name="Output 3 4 10 3" xfId="16985"/>
    <cellStyle name="Output 3 4 10 3 2" xfId="37053"/>
    <cellStyle name="Output 3 4 10 4" xfId="32303"/>
    <cellStyle name="Output 3 4 11" xfId="12124"/>
    <cellStyle name="Output 3 4 11 2" xfId="12125"/>
    <cellStyle name="Output 3 4 11 2 2" xfId="23071"/>
    <cellStyle name="Output 3 4 11 2 2 2" xfId="43139"/>
    <cellStyle name="Output 3 4 11 2 3" xfId="32306"/>
    <cellStyle name="Output 3 4 11 3" xfId="17130"/>
    <cellStyle name="Output 3 4 11 3 2" xfId="37198"/>
    <cellStyle name="Output 3 4 11 4" xfId="32305"/>
    <cellStyle name="Output 3 4 12" xfId="12126"/>
    <cellStyle name="Output 3 4 12 2" xfId="12127"/>
    <cellStyle name="Output 3 4 12 2 2" xfId="23072"/>
    <cellStyle name="Output 3 4 12 2 2 2" xfId="43140"/>
    <cellStyle name="Output 3 4 12 2 3" xfId="32308"/>
    <cellStyle name="Output 3 4 12 3" xfId="17302"/>
    <cellStyle name="Output 3 4 12 3 2" xfId="37370"/>
    <cellStyle name="Output 3 4 12 4" xfId="32307"/>
    <cellStyle name="Output 3 4 13" xfId="12128"/>
    <cellStyle name="Output 3 4 13 2" xfId="12129"/>
    <cellStyle name="Output 3 4 13 2 2" xfId="23073"/>
    <cellStyle name="Output 3 4 13 2 2 2" xfId="43141"/>
    <cellStyle name="Output 3 4 13 2 3" xfId="32310"/>
    <cellStyle name="Output 3 4 13 3" xfId="17466"/>
    <cellStyle name="Output 3 4 13 3 2" xfId="37534"/>
    <cellStyle name="Output 3 4 13 4" xfId="32309"/>
    <cellStyle name="Output 3 4 14" xfId="12130"/>
    <cellStyle name="Output 3 4 14 2" xfId="12131"/>
    <cellStyle name="Output 3 4 14 2 2" xfId="23074"/>
    <cellStyle name="Output 3 4 14 2 2 2" xfId="43142"/>
    <cellStyle name="Output 3 4 14 2 3" xfId="32312"/>
    <cellStyle name="Output 3 4 14 3" xfId="17592"/>
    <cellStyle name="Output 3 4 14 3 2" xfId="37660"/>
    <cellStyle name="Output 3 4 14 4" xfId="32311"/>
    <cellStyle name="Output 3 4 15" xfId="12132"/>
    <cellStyle name="Output 3 4 15 2" xfId="12133"/>
    <cellStyle name="Output 3 4 15 2 2" xfId="23075"/>
    <cellStyle name="Output 3 4 15 2 2 2" xfId="43143"/>
    <cellStyle name="Output 3 4 15 2 3" xfId="32314"/>
    <cellStyle name="Output 3 4 15 3" xfId="15494"/>
    <cellStyle name="Output 3 4 15 3 2" xfId="35562"/>
    <cellStyle name="Output 3 4 15 4" xfId="32313"/>
    <cellStyle name="Output 3 4 16" xfId="12134"/>
    <cellStyle name="Output 3 4 16 2" xfId="12135"/>
    <cellStyle name="Output 3 4 16 2 2" xfId="23076"/>
    <cellStyle name="Output 3 4 16 2 2 2" xfId="43144"/>
    <cellStyle name="Output 3 4 16 2 3" xfId="32316"/>
    <cellStyle name="Output 3 4 16 3" xfId="17842"/>
    <cellStyle name="Output 3 4 16 3 2" xfId="37910"/>
    <cellStyle name="Output 3 4 16 4" xfId="32315"/>
    <cellStyle name="Output 3 4 17" xfId="12136"/>
    <cellStyle name="Output 3 4 17 2" xfId="12137"/>
    <cellStyle name="Output 3 4 17 2 2" xfId="23077"/>
    <cellStyle name="Output 3 4 17 2 2 2" xfId="43145"/>
    <cellStyle name="Output 3 4 17 2 3" xfId="32318"/>
    <cellStyle name="Output 3 4 17 3" xfId="17980"/>
    <cellStyle name="Output 3 4 17 3 2" xfId="38048"/>
    <cellStyle name="Output 3 4 17 4" xfId="32317"/>
    <cellStyle name="Output 3 4 18" xfId="12138"/>
    <cellStyle name="Output 3 4 18 2" xfId="12139"/>
    <cellStyle name="Output 3 4 18 2 2" xfId="23078"/>
    <cellStyle name="Output 3 4 18 2 2 2" xfId="43146"/>
    <cellStyle name="Output 3 4 18 2 3" xfId="32320"/>
    <cellStyle name="Output 3 4 18 3" xfId="18119"/>
    <cellStyle name="Output 3 4 18 3 2" xfId="38187"/>
    <cellStyle name="Output 3 4 18 4" xfId="32319"/>
    <cellStyle name="Output 3 4 19" xfId="12140"/>
    <cellStyle name="Output 3 4 19 2" xfId="12141"/>
    <cellStyle name="Output 3 4 19 2 2" xfId="23079"/>
    <cellStyle name="Output 3 4 19 2 2 2" xfId="43147"/>
    <cellStyle name="Output 3 4 19 2 3" xfId="32322"/>
    <cellStyle name="Output 3 4 19 3" xfId="18237"/>
    <cellStyle name="Output 3 4 19 3 2" xfId="38305"/>
    <cellStyle name="Output 3 4 19 4" xfId="32321"/>
    <cellStyle name="Output 3 4 2" xfId="12142"/>
    <cellStyle name="Output 3 4 2 2" xfId="12143"/>
    <cellStyle name="Output 3 4 2 2 2" xfId="23080"/>
    <cellStyle name="Output 3 4 2 2 2 2" xfId="43148"/>
    <cellStyle name="Output 3 4 2 2 3" xfId="32324"/>
    <cellStyle name="Output 3 4 2 3" xfId="14705"/>
    <cellStyle name="Output 3 4 2 3 2" xfId="34773"/>
    <cellStyle name="Output 3 4 2 4" xfId="32323"/>
    <cellStyle name="Output 3 4 20" xfId="12144"/>
    <cellStyle name="Output 3 4 20 2" xfId="12145"/>
    <cellStyle name="Output 3 4 20 2 2" xfId="23081"/>
    <cellStyle name="Output 3 4 20 2 2 2" xfId="43149"/>
    <cellStyle name="Output 3 4 20 2 3" xfId="32326"/>
    <cellStyle name="Output 3 4 20 3" xfId="18146"/>
    <cellStyle name="Output 3 4 20 3 2" xfId="38214"/>
    <cellStyle name="Output 3 4 20 4" xfId="32325"/>
    <cellStyle name="Output 3 4 21" xfId="12146"/>
    <cellStyle name="Output 3 4 21 2" xfId="12147"/>
    <cellStyle name="Output 3 4 21 2 2" xfId="23082"/>
    <cellStyle name="Output 3 4 21 2 2 2" xfId="43150"/>
    <cellStyle name="Output 3 4 21 2 3" xfId="32328"/>
    <cellStyle name="Output 3 4 21 3" xfId="18442"/>
    <cellStyle name="Output 3 4 21 3 2" xfId="38510"/>
    <cellStyle name="Output 3 4 21 4" xfId="32327"/>
    <cellStyle name="Output 3 4 22" xfId="12148"/>
    <cellStyle name="Output 3 4 22 2" xfId="12149"/>
    <cellStyle name="Output 3 4 22 2 2" xfId="23083"/>
    <cellStyle name="Output 3 4 22 2 2 2" xfId="43151"/>
    <cellStyle name="Output 3 4 22 2 3" xfId="32330"/>
    <cellStyle name="Output 3 4 22 3" xfId="18575"/>
    <cellStyle name="Output 3 4 22 3 2" xfId="38643"/>
    <cellStyle name="Output 3 4 22 4" xfId="32329"/>
    <cellStyle name="Output 3 4 23" xfId="12150"/>
    <cellStyle name="Output 3 4 23 2" xfId="12151"/>
    <cellStyle name="Output 3 4 23 2 2" xfId="23084"/>
    <cellStyle name="Output 3 4 23 2 2 2" xfId="43152"/>
    <cellStyle name="Output 3 4 23 2 3" xfId="32332"/>
    <cellStyle name="Output 3 4 23 3" xfId="18686"/>
    <cellStyle name="Output 3 4 23 3 2" xfId="38754"/>
    <cellStyle name="Output 3 4 23 4" xfId="32331"/>
    <cellStyle name="Output 3 4 24" xfId="12152"/>
    <cellStyle name="Output 3 4 24 2" xfId="12153"/>
    <cellStyle name="Output 3 4 24 2 2" xfId="23085"/>
    <cellStyle name="Output 3 4 24 2 2 2" xfId="43153"/>
    <cellStyle name="Output 3 4 24 2 3" xfId="32334"/>
    <cellStyle name="Output 3 4 24 3" xfId="18786"/>
    <cellStyle name="Output 3 4 24 3 2" xfId="38854"/>
    <cellStyle name="Output 3 4 24 4" xfId="32333"/>
    <cellStyle name="Output 3 4 25" xfId="12154"/>
    <cellStyle name="Output 3 4 25 2" xfId="12155"/>
    <cellStyle name="Output 3 4 25 2 2" xfId="23086"/>
    <cellStyle name="Output 3 4 25 2 2 2" xfId="43154"/>
    <cellStyle name="Output 3 4 25 2 3" xfId="32336"/>
    <cellStyle name="Output 3 4 25 3" xfId="18886"/>
    <cellStyle name="Output 3 4 25 3 2" xfId="38954"/>
    <cellStyle name="Output 3 4 25 4" xfId="32335"/>
    <cellStyle name="Output 3 4 26" xfId="12156"/>
    <cellStyle name="Output 3 4 26 2" xfId="23069"/>
    <cellStyle name="Output 3 4 26 2 2" xfId="43137"/>
    <cellStyle name="Output 3 4 26 3" xfId="32337"/>
    <cellStyle name="Output 3 4 27" xfId="14272"/>
    <cellStyle name="Output 3 4 27 2" xfId="34340"/>
    <cellStyle name="Output 3 4 28" xfId="32302"/>
    <cellStyle name="Output 3 4 3" xfId="12157"/>
    <cellStyle name="Output 3 4 3 2" xfId="12158"/>
    <cellStyle name="Output 3 4 3 2 2" xfId="23087"/>
    <cellStyle name="Output 3 4 3 2 2 2" xfId="43155"/>
    <cellStyle name="Output 3 4 3 2 3" xfId="32339"/>
    <cellStyle name="Output 3 4 3 3" xfId="14829"/>
    <cellStyle name="Output 3 4 3 3 2" xfId="34897"/>
    <cellStyle name="Output 3 4 3 4" xfId="32338"/>
    <cellStyle name="Output 3 4 4" xfId="12159"/>
    <cellStyle name="Output 3 4 4 2" xfId="12160"/>
    <cellStyle name="Output 3 4 4 2 2" xfId="23088"/>
    <cellStyle name="Output 3 4 4 2 2 2" xfId="43156"/>
    <cellStyle name="Output 3 4 4 2 3" xfId="32341"/>
    <cellStyle name="Output 3 4 4 3" xfId="14954"/>
    <cellStyle name="Output 3 4 4 3 2" xfId="35022"/>
    <cellStyle name="Output 3 4 4 4" xfId="32340"/>
    <cellStyle name="Output 3 4 5" xfId="12161"/>
    <cellStyle name="Output 3 4 5 2" xfId="12162"/>
    <cellStyle name="Output 3 4 5 2 2" xfId="23089"/>
    <cellStyle name="Output 3 4 5 2 2 2" xfId="43157"/>
    <cellStyle name="Output 3 4 5 2 3" xfId="32343"/>
    <cellStyle name="Output 3 4 5 3" xfId="15123"/>
    <cellStyle name="Output 3 4 5 3 2" xfId="35191"/>
    <cellStyle name="Output 3 4 5 4" xfId="32342"/>
    <cellStyle name="Output 3 4 6" xfId="12163"/>
    <cellStyle name="Output 3 4 6 2" xfId="12164"/>
    <cellStyle name="Output 3 4 6 2 2" xfId="23090"/>
    <cellStyle name="Output 3 4 6 2 2 2" xfId="43158"/>
    <cellStyle name="Output 3 4 6 2 3" xfId="32345"/>
    <cellStyle name="Output 3 4 6 3" xfId="14234"/>
    <cellStyle name="Output 3 4 6 3 2" xfId="34302"/>
    <cellStyle name="Output 3 4 6 4" xfId="32344"/>
    <cellStyle name="Output 3 4 7" xfId="12165"/>
    <cellStyle name="Output 3 4 7 2" xfId="12166"/>
    <cellStyle name="Output 3 4 7 2 2" xfId="23091"/>
    <cellStyle name="Output 3 4 7 2 2 2" xfId="43159"/>
    <cellStyle name="Output 3 4 7 2 3" xfId="32347"/>
    <cellStyle name="Output 3 4 7 3" xfId="15255"/>
    <cellStyle name="Output 3 4 7 3 2" xfId="35323"/>
    <cellStyle name="Output 3 4 7 4" xfId="32346"/>
    <cellStyle name="Output 3 4 8" xfId="12167"/>
    <cellStyle name="Output 3 4 8 2" xfId="12168"/>
    <cellStyle name="Output 3 4 8 2 2" xfId="23092"/>
    <cellStyle name="Output 3 4 8 2 2 2" xfId="43160"/>
    <cellStyle name="Output 3 4 8 2 3" xfId="32349"/>
    <cellStyle name="Output 3 4 8 3" xfId="16620"/>
    <cellStyle name="Output 3 4 8 3 2" xfId="36688"/>
    <cellStyle name="Output 3 4 8 4" xfId="32348"/>
    <cellStyle name="Output 3 4 9" xfId="12169"/>
    <cellStyle name="Output 3 4 9 2" xfId="12170"/>
    <cellStyle name="Output 3 4 9 2 2" xfId="23093"/>
    <cellStyle name="Output 3 4 9 2 2 2" xfId="43161"/>
    <cellStyle name="Output 3 4 9 2 3" xfId="32351"/>
    <cellStyle name="Output 3 4 9 3" xfId="16824"/>
    <cellStyle name="Output 3 4 9 3 2" xfId="36892"/>
    <cellStyle name="Output 3 4 9 4" xfId="32350"/>
    <cellStyle name="Output 3 5" xfId="12171"/>
    <cellStyle name="Output 3 5 2" xfId="12172"/>
    <cellStyle name="Output 3 5 2 2" xfId="23094"/>
    <cellStyle name="Output 3 5 2 2 2" xfId="43162"/>
    <cellStyle name="Output 3 5 2 3" xfId="32353"/>
    <cellStyle name="Output 3 5 3" xfId="14280"/>
    <cellStyle name="Output 3 5 3 2" xfId="34348"/>
    <cellStyle name="Output 3 5 4" xfId="32352"/>
    <cellStyle name="Output 3 6" xfId="12173"/>
    <cellStyle name="Output 3 6 2" xfId="12174"/>
    <cellStyle name="Output 3 6 2 2" xfId="23095"/>
    <cellStyle name="Output 3 6 2 2 2" xfId="43163"/>
    <cellStyle name="Output 3 6 2 3" xfId="32355"/>
    <cellStyle name="Output 3 6 3" xfId="14038"/>
    <cellStyle name="Output 3 6 3 2" xfId="34106"/>
    <cellStyle name="Output 3 6 4" xfId="32354"/>
    <cellStyle name="Output 3 7" xfId="12175"/>
    <cellStyle name="Output 3 7 2" xfId="12176"/>
    <cellStyle name="Output 3 7 2 2" xfId="23096"/>
    <cellStyle name="Output 3 7 2 2 2" xfId="43164"/>
    <cellStyle name="Output 3 7 2 3" xfId="32357"/>
    <cellStyle name="Output 3 7 3" xfId="14357"/>
    <cellStyle name="Output 3 7 3 2" xfId="34425"/>
    <cellStyle name="Output 3 7 4" xfId="32356"/>
    <cellStyle name="Output 3 8" xfId="12177"/>
    <cellStyle name="Output 3 8 2" xfId="12178"/>
    <cellStyle name="Output 3 8 2 2" xfId="23097"/>
    <cellStyle name="Output 3 8 2 2 2" xfId="43165"/>
    <cellStyle name="Output 3 8 2 3" xfId="32359"/>
    <cellStyle name="Output 3 8 3" xfId="14989"/>
    <cellStyle name="Output 3 8 3 2" xfId="35057"/>
    <cellStyle name="Output 3 8 4" xfId="32358"/>
    <cellStyle name="Output 3 9" xfId="12179"/>
    <cellStyle name="Output 3 9 2" xfId="12180"/>
    <cellStyle name="Output 3 9 2 2" xfId="23098"/>
    <cellStyle name="Output 3 9 2 2 2" xfId="43166"/>
    <cellStyle name="Output 3 9 2 3" xfId="32361"/>
    <cellStyle name="Output 3 9 3" xfId="14221"/>
    <cellStyle name="Output 3 9 3 2" xfId="34289"/>
    <cellStyle name="Output 3 9 4" xfId="32360"/>
    <cellStyle name="Output 3_2011-2012" xfId="12181"/>
    <cellStyle name="Output 4" xfId="12182"/>
    <cellStyle name="Output 4 10" xfId="12183"/>
    <cellStyle name="Output 4 10 2" xfId="12184"/>
    <cellStyle name="Output 4 10 2 2" xfId="23100"/>
    <cellStyle name="Output 4 10 2 2 2" xfId="43168"/>
    <cellStyle name="Output 4 10 2 3" xfId="32364"/>
    <cellStyle name="Output 4 10 3" xfId="15345"/>
    <cellStyle name="Output 4 10 3 2" xfId="35413"/>
    <cellStyle name="Output 4 10 4" xfId="32363"/>
    <cellStyle name="Output 4 11" xfId="12185"/>
    <cellStyle name="Output 4 11 2" xfId="12186"/>
    <cellStyle name="Output 4 11 2 2" xfId="23101"/>
    <cellStyle name="Output 4 11 2 2 2" xfId="43169"/>
    <cellStyle name="Output 4 11 2 3" xfId="32366"/>
    <cellStyle name="Output 4 11 3" xfId="16488"/>
    <cellStyle name="Output 4 11 3 2" xfId="36556"/>
    <cellStyle name="Output 4 11 4" xfId="32365"/>
    <cellStyle name="Output 4 12" xfId="12187"/>
    <cellStyle name="Output 4 12 2" xfId="12188"/>
    <cellStyle name="Output 4 12 2 2" xfId="23102"/>
    <cellStyle name="Output 4 12 2 2 2" xfId="43170"/>
    <cellStyle name="Output 4 12 2 3" xfId="32368"/>
    <cellStyle name="Output 4 12 3" xfId="16681"/>
    <cellStyle name="Output 4 12 3 2" xfId="36749"/>
    <cellStyle name="Output 4 12 4" xfId="32367"/>
    <cellStyle name="Output 4 13" xfId="12189"/>
    <cellStyle name="Output 4 13 2" xfId="12190"/>
    <cellStyle name="Output 4 13 2 2" xfId="23103"/>
    <cellStyle name="Output 4 13 2 2 2" xfId="43171"/>
    <cellStyle name="Output 4 13 2 3" xfId="32370"/>
    <cellStyle name="Output 4 13 3" xfId="16860"/>
    <cellStyle name="Output 4 13 3 2" xfId="36928"/>
    <cellStyle name="Output 4 13 4" xfId="32369"/>
    <cellStyle name="Output 4 14" xfId="12191"/>
    <cellStyle name="Output 4 14 2" xfId="12192"/>
    <cellStyle name="Output 4 14 2 2" xfId="23104"/>
    <cellStyle name="Output 4 14 2 2 2" xfId="43172"/>
    <cellStyle name="Output 4 14 2 3" xfId="32372"/>
    <cellStyle name="Output 4 14 3" xfId="15695"/>
    <cellStyle name="Output 4 14 3 2" xfId="35763"/>
    <cellStyle name="Output 4 14 4" xfId="32371"/>
    <cellStyle name="Output 4 15" xfId="12193"/>
    <cellStyle name="Output 4 15 2" xfId="12194"/>
    <cellStyle name="Output 4 15 2 2" xfId="23105"/>
    <cellStyle name="Output 4 15 2 2 2" xfId="43173"/>
    <cellStyle name="Output 4 15 2 3" xfId="32374"/>
    <cellStyle name="Output 4 15 3" xfId="17165"/>
    <cellStyle name="Output 4 15 3 2" xfId="37233"/>
    <cellStyle name="Output 4 15 4" xfId="32373"/>
    <cellStyle name="Output 4 16" xfId="12195"/>
    <cellStyle name="Output 4 16 2" xfId="12196"/>
    <cellStyle name="Output 4 16 2 2" xfId="23106"/>
    <cellStyle name="Output 4 16 2 2 2" xfId="43174"/>
    <cellStyle name="Output 4 16 2 3" xfId="32376"/>
    <cellStyle name="Output 4 16 3" xfId="17341"/>
    <cellStyle name="Output 4 16 3 2" xfId="37409"/>
    <cellStyle name="Output 4 16 4" xfId="32375"/>
    <cellStyle name="Output 4 17" xfId="12197"/>
    <cellStyle name="Output 4 17 2" xfId="12198"/>
    <cellStyle name="Output 4 17 2 2" xfId="23107"/>
    <cellStyle name="Output 4 17 2 2 2" xfId="43175"/>
    <cellStyle name="Output 4 17 2 3" xfId="32378"/>
    <cellStyle name="Output 4 17 3" xfId="16219"/>
    <cellStyle name="Output 4 17 3 2" xfId="36287"/>
    <cellStyle name="Output 4 17 4" xfId="32377"/>
    <cellStyle name="Output 4 18" xfId="12199"/>
    <cellStyle name="Output 4 18 2" xfId="12200"/>
    <cellStyle name="Output 4 18 2 2" xfId="23108"/>
    <cellStyle name="Output 4 18 2 2 2" xfId="43176"/>
    <cellStyle name="Output 4 18 2 3" xfId="32380"/>
    <cellStyle name="Output 4 18 3" xfId="17380"/>
    <cellStyle name="Output 4 18 3 2" xfId="37448"/>
    <cellStyle name="Output 4 18 4" xfId="32379"/>
    <cellStyle name="Output 4 19" xfId="12201"/>
    <cellStyle name="Output 4 19 2" xfId="12202"/>
    <cellStyle name="Output 4 19 2 2" xfId="23109"/>
    <cellStyle name="Output 4 19 2 2 2" xfId="43177"/>
    <cellStyle name="Output 4 19 2 3" xfId="32382"/>
    <cellStyle name="Output 4 19 3" xfId="17730"/>
    <cellStyle name="Output 4 19 3 2" xfId="37798"/>
    <cellStyle name="Output 4 19 4" xfId="32381"/>
    <cellStyle name="Output 4 2" xfId="12203"/>
    <cellStyle name="Output 4 2 10" xfId="12204"/>
    <cellStyle name="Output 4 2 10 2" xfId="12205"/>
    <cellStyle name="Output 4 2 10 2 2" xfId="23111"/>
    <cellStyle name="Output 4 2 10 2 2 2" xfId="43179"/>
    <cellStyle name="Output 4 2 10 2 3" xfId="32385"/>
    <cellStyle name="Output 4 2 10 3" xfId="16489"/>
    <cellStyle name="Output 4 2 10 3 2" xfId="36557"/>
    <cellStyle name="Output 4 2 10 4" xfId="32384"/>
    <cellStyle name="Output 4 2 11" xfId="12206"/>
    <cellStyle name="Output 4 2 11 2" xfId="12207"/>
    <cellStyle name="Output 4 2 11 2 2" xfId="23112"/>
    <cellStyle name="Output 4 2 11 2 2 2" xfId="43180"/>
    <cellStyle name="Output 4 2 11 2 3" xfId="32387"/>
    <cellStyle name="Output 4 2 11 3" xfId="16682"/>
    <cellStyle name="Output 4 2 11 3 2" xfId="36750"/>
    <cellStyle name="Output 4 2 11 4" xfId="32386"/>
    <cellStyle name="Output 4 2 12" xfId="12208"/>
    <cellStyle name="Output 4 2 12 2" xfId="12209"/>
    <cellStyle name="Output 4 2 12 2 2" xfId="23113"/>
    <cellStyle name="Output 4 2 12 2 2 2" xfId="43181"/>
    <cellStyle name="Output 4 2 12 2 3" xfId="32389"/>
    <cellStyle name="Output 4 2 12 3" xfId="16861"/>
    <cellStyle name="Output 4 2 12 3 2" xfId="36929"/>
    <cellStyle name="Output 4 2 12 4" xfId="32388"/>
    <cellStyle name="Output 4 2 13" xfId="12210"/>
    <cellStyle name="Output 4 2 13 2" xfId="12211"/>
    <cellStyle name="Output 4 2 13 2 2" xfId="23114"/>
    <cellStyle name="Output 4 2 13 2 2 2" xfId="43182"/>
    <cellStyle name="Output 4 2 13 2 3" xfId="32391"/>
    <cellStyle name="Output 4 2 13 3" xfId="16297"/>
    <cellStyle name="Output 4 2 13 3 2" xfId="36365"/>
    <cellStyle name="Output 4 2 13 4" xfId="32390"/>
    <cellStyle name="Output 4 2 14" xfId="12212"/>
    <cellStyle name="Output 4 2 14 2" xfId="12213"/>
    <cellStyle name="Output 4 2 14 2 2" xfId="23115"/>
    <cellStyle name="Output 4 2 14 2 2 2" xfId="43183"/>
    <cellStyle name="Output 4 2 14 2 3" xfId="32393"/>
    <cellStyle name="Output 4 2 14 3" xfId="17166"/>
    <cellStyle name="Output 4 2 14 3 2" xfId="37234"/>
    <cellStyle name="Output 4 2 14 4" xfId="32392"/>
    <cellStyle name="Output 4 2 15" xfId="12214"/>
    <cellStyle name="Output 4 2 15 2" xfId="12215"/>
    <cellStyle name="Output 4 2 15 2 2" xfId="23116"/>
    <cellStyle name="Output 4 2 15 2 2 2" xfId="43184"/>
    <cellStyle name="Output 4 2 15 2 3" xfId="32395"/>
    <cellStyle name="Output 4 2 15 3" xfId="17342"/>
    <cellStyle name="Output 4 2 15 3 2" xfId="37410"/>
    <cellStyle name="Output 4 2 15 4" xfId="32394"/>
    <cellStyle name="Output 4 2 16" xfId="12216"/>
    <cellStyle name="Output 4 2 16 2" xfId="12217"/>
    <cellStyle name="Output 4 2 16 2 2" xfId="23117"/>
    <cellStyle name="Output 4 2 16 2 2 2" xfId="43185"/>
    <cellStyle name="Output 4 2 16 2 3" xfId="32397"/>
    <cellStyle name="Output 4 2 16 3" xfId="17192"/>
    <cellStyle name="Output 4 2 16 3 2" xfId="37260"/>
    <cellStyle name="Output 4 2 16 4" xfId="32396"/>
    <cellStyle name="Output 4 2 17" xfId="12218"/>
    <cellStyle name="Output 4 2 17 2" xfId="12219"/>
    <cellStyle name="Output 4 2 17 2 2" xfId="23118"/>
    <cellStyle name="Output 4 2 17 2 2 2" xfId="43186"/>
    <cellStyle name="Output 4 2 17 2 3" xfId="32399"/>
    <cellStyle name="Output 4 2 17 3" xfId="17615"/>
    <cellStyle name="Output 4 2 17 3 2" xfId="37683"/>
    <cellStyle name="Output 4 2 17 4" xfId="32398"/>
    <cellStyle name="Output 4 2 18" xfId="12220"/>
    <cellStyle name="Output 4 2 18 2" xfId="12221"/>
    <cellStyle name="Output 4 2 18 2 2" xfId="23119"/>
    <cellStyle name="Output 4 2 18 2 2 2" xfId="43187"/>
    <cellStyle name="Output 4 2 18 2 3" xfId="32401"/>
    <cellStyle name="Output 4 2 18 3" xfId="17731"/>
    <cellStyle name="Output 4 2 18 3 2" xfId="37799"/>
    <cellStyle name="Output 4 2 18 4" xfId="32400"/>
    <cellStyle name="Output 4 2 19" xfId="12222"/>
    <cellStyle name="Output 4 2 19 2" xfId="12223"/>
    <cellStyle name="Output 4 2 19 2 2" xfId="23120"/>
    <cellStyle name="Output 4 2 19 2 2 2" xfId="43188"/>
    <cellStyle name="Output 4 2 19 2 3" xfId="32403"/>
    <cellStyle name="Output 4 2 19 3" xfId="16317"/>
    <cellStyle name="Output 4 2 19 3 2" xfId="36385"/>
    <cellStyle name="Output 4 2 19 4" xfId="32402"/>
    <cellStyle name="Output 4 2 2" xfId="12224"/>
    <cellStyle name="Output 4 2 2 10" xfId="12225"/>
    <cellStyle name="Output 4 2 2 10 2" xfId="12226"/>
    <cellStyle name="Output 4 2 2 10 2 2" xfId="23122"/>
    <cellStyle name="Output 4 2 2 10 2 2 2" xfId="43190"/>
    <cellStyle name="Output 4 2 2 10 2 3" xfId="32406"/>
    <cellStyle name="Output 4 2 2 10 3" xfId="16989"/>
    <cellStyle name="Output 4 2 2 10 3 2" xfId="37057"/>
    <cellStyle name="Output 4 2 2 10 4" xfId="32405"/>
    <cellStyle name="Output 4 2 2 11" xfId="12227"/>
    <cellStyle name="Output 4 2 2 11 2" xfId="12228"/>
    <cellStyle name="Output 4 2 2 11 2 2" xfId="23123"/>
    <cellStyle name="Output 4 2 2 11 2 2 2" xfId="43191"/>
    <cellStyle name="Output 4 2 2 11 2 3" xfId="32408"/>
    <cellStyle name="Output 4 2 2 11 3" xfId="17134"/>
    <cellStyle name="Output 4 2 2 11 3 2" xfId="37202"/>
    <cellStyle name="Output 4 2 2 11 4" xfId="32407"/>
    <cellStyle name="Output 4 2 2 12" xfId="12229"/>
    <cellStyle name="Output 4 2 2 12 2" xfId="12230"/>
    <cellStyle name="Output 4 2 2 12 2 2" xfId="23124"/>
    <cellStyle name="Output 4 2 2 12 2 2 2" xfId="43192"/>
    <cellStyle name="Output 4 2 2 12 2 3" xfId="32410"/>
    <cellStyle name="Output 4 2 2 12 3" xfId="17306"/>
    <cellStyle name="Output 4 2 2 12 3 2" xfId="37374"/>
    <cellStyle name="Output 4 2 2 12 4" xfId="32409"/>
    <cellStyle name="Output 4 2 2 13" xfId="12231"/>
    <cellStyle name="Output 4 2 2 13 2" xfId="12232"/>
    <cellStyle name="Output 4 2 2 13 2 2" xfId="23125"/>
    <cellStyle name="Output 4 2 2 13 2 2 2" xfId="43193"/>
    <cellStyle name="Output 4 2 2 13 2 3" xfId="32412"/>
    <cellStyle name="Output 4 2 2 13 3" xfId="17470"/>
    <cellStyle name="Output 4 2 2 13 3 2" xfId="37538"/>
    <cellStyle name="Output 4 2 2 13 4" xfId="32411"/>
    <cellStyle name="Output 4 2 2 14" xfId="12233"/>
    <cellStyle name="Output 4 2 2 14 2" xfId="12234"/>
    <cellStyle name="Output 4 2 2 14 2 2" xfId="23126"/>
    <cellStyle name="Output 4 2 2 14 2 2 2" xfId="43194"/>
    <cellStyle name="Output 4 2 2 14 2 3" xfId="32414"/>
    <cellStyle name="Output 4 2 2 14 3" xfId="17596"/>
    <cellStyle name="Output 4 2 2 14 3 2" xfId="37664"/>
    <cellStyle name="Output 4 2 2 14 4" xfId="32413"/>
    <cellStyle name="Output 4 2 2 15" xfId="12235"/>
    <cellStyle name="Output 4 2 2 15 2" xfId="12236"/>
    <cellStyle name="Output 4 2 2 15 2 2" xfId="23127"/>
    <cellStyle name="Output 4 2 2 15 2 2 2" xfId="43195"/>
    <cellStyle name="Output 4 2 2 15 2 3" xfId="32416"/>
    <cellStyle name="Output 4 2 2 15 3" xfId="15803"/>
    <cellStyle name="Output 4 2 2 15 3 2" xfId="35871"/>
    <cellStyle name="Output 4 2 2 15 4" xfId="32415"/>
    <cellStyle name="Output 4 2 2 16" xfId="12237"/>
    <cellStyle name="Output 4 2 2 16 2" xfId="12238"/>
    <cellStyle name="Output 4 2 2 16 2 2" xfId="23128"/>
    <cellStyle name="Output 4 2 2 16 2 2 2" xfId="43196"/>
    <cellStyle name="Output 4 2 2 16 2 3" xfId="32418"/>
    <cellStyle name="Output 4 2 2 16 3" xfId="17846"/>
    <cellStyle name="Output 4 2 2 16 3 2" xfId="37914"/>
    <cellStyle name="Output 4 2 2 16 4" xfId="32417"/>
    <cellStyle name="Output 4 2 2 17" xfId="12239"/>
    <cellStyle name="Output 4 2 2 17 2" xfId="12240"/>
    <cellStyle name="Output 4 2 2 17 2 2" xfId="23129"/>
    <cellStyle name="Output 4 2 2 17 2 2 2" xfId="43197"/>
    <cellStyle name="Output 4 2 2 17 2 3" xfId="32420"/>
    <cellStyle name="Output 4 2 2 17 3" xfId="17984"/>
    <cellStyle name="Output 4 2 2 17 3 2" xfId="38052"/>
    <cellStyle name="Output 4 2 2 17 4" xfId="32419"/>
    <cellStyle name="Output 4 2 2 18" xfId="12241"/>
    <cellStyle name="Output 4 2 2 18 2" xfId="12242"/>
    <cellStyle name="Output 4 2 2 18 2 2" xfId="23130"/>
    <cellStyle name="Output 4 2 2 18 2 2 2" xfId="43198"/>
    <cellStyle name="Output 4 2 2 18 2 3" xfId="32422"/>
    <cellStyle name="Output 4 2 2 18 3" xfId="18123"/>
    <cellStyle name="Output 4 2 2 18 3 2" xfId="38191"/>
    <cellStyle name="Output 4 2 2 18 4" xfId="32421"/>
    <cellStyle name="Output 4 2 2 19" xfId="12243"/>
    <cellStyle name="Output 4 2 2 19 2" xfId="12244"/>
    <cellStyle name="Output 4 2 2 19 2 2" xfId="23131"/>
    <cellStyle name="Output 4 2 2 19 2 2 2" xfId="43199"/>
    <cellStyle name="Output 4 2 2 19 2 3" xfId="32424"/>
    <cellStyle name="Output 4 2 2 19 3" xfId="18241"/>
    <cellStyle name="Output 4 2 2 19 3 2" xfId="38309"/>
    <cellStyle name="Output 4 2 2 19 4" xfId="32423"/>
    <cellStyle name="Output 4 2 2 2" xfId="12245"/>
    <cellStyle name="Output 4 2 2 2 2" xfId="12246"/>
    <cellStyle name="Output 4 2 2 2 2 2" xfId="23132"/>
    <cellStyle name="Output 4 2 2 2 2 2 2" xfId="43200"/>
    <cellStyle name="Output 4 2 2 2 2 3" xfId="32426"/>
    <cellStyle name="Output 4 2 2 2 3" xfId="14709"/>
    <cellStyle name="Output 4 2 2 2 3 2" xfId="34777"/>
    <cellStyle name="Output 4 2 2 2 4" xfId="32425"/>
    <cellStyle name="Output 4 2 2 20" xfId="12247"/>
    <cellStyle name="Output 4 2 2 20 2" xfId="12248"/>
    <cellStyle name="Output 4 2 2 20 2 2" xfId="23133"/>
    <cellStyle name="Output 4 2 2 20 2 2 2" xfId="43201"/>
    <cellStyle name="Output 4 2 2 20 2 3" xfId="32428"/>
    <cellStyle name="Output 4 2 2 20 3" xfId="18316"/>
    <cellStyle name="Output 4 2 2 20 3 2" xfId="38384"/>
    <cellStyle name="Output 4 2 2 20 4" xfId="32427"/>
    <cellStyle name="Output 4 2 2 21" xfId="12249"/>
    <cellStyle name="Output 4 2 2 21 2" xfId="12250"/>
    <cellStyle name="Output 4 2 2 21 2 2" xfId="23134"/>
    <cellStyle name="Output 4 2 2 21 2 2 2" xfId="43202"/>
    <cellStyle name="Output 4 2 2 21 2 3" xfId="32430"/>
    <cellStyle name="Output 4 2 2 21 3" xfId="18446"/>
    <cellStyle name="Output 4 2 2 21 3 2" xfId="38514"/>
    <cellStyle name="Output 4 2 2 21 4" xfId="32429"/>
    <cellStyle name="Output 4 2 2 22" xfId="12251"/>
    <cellStyle name="Output 4 2 2 22 2" xfId="12252"/>
    <cellStyle name="Output 4 2 2 22 2 2" xfId="23135"/>
    <cellStyle name="Output 4 2 2 22 2 2 2" xfId="43203"/>
    <cellStyle name="Output 4 2 2 22 2 3" xfId="32432"/>
    <cellStyle name="Output 4 2 2 22 3" xfId="18579"/>
    <cellStyle name="Output 4 2 2 22 3 2" xfId="38647"/>
    <cellStyle name="Output 4 2 2 22 4" xfId="32431"/>
    <cellStyle name="Output 4 2 2 23" xfId="12253"/>
    <cellStyle name="Output 4 2 2 23 2" xfId="12254"/>
    <cellStyle name="Output 4 2 2 23 2 2" xfId="23136"/>
    <cellStyle name="Output 4 2 2 23 2 2 2" xfId="43204"/>
    <cellStyle name="Output 4 2 2 23 2 3" xfId="32434"/>
    <cellStyle name="Output 4 2 2 23 3" xfId="18690"/>
    <cellStyle name="Output 4 2 2 23 3 2" xfId="38758"/>
    <cellStyle name="Output 4 2 2 23 4" xfId="32433"/>
    <cellStyle name="Output 4 2 2 24" xfId="12255"/>
    <cellStyle name="Output 4 2 2 24 2" xfId="12256"/>
    <cellStyle name="Output 4 2 2 24 2 2" xfId="23137"/>
    <cellStyle name="Output 4 2 2 24 2 2 2" xfId="43205"/>
    <cellStyle name="Output 4 2 2 24 2 3" xfId="32436"/>
    <cellStyle name="Output 4 2 2 24 3" xfId="18790"/>
    <cellStyle name="Output 4 2 2 24 3 2" xfId="38858"/>
    <cellStyle name="Output 4 2 2 24 4" xfId="32435"/>
    <cellStyle name="Output 4 2 2 25" xfId="12257"/>
    <cellStyle name="Output 4 2 2 25 2" xfId="12258"/>
    <cellStyle name="Output 4 2 2 25 2 2" xfId="23138"/>
    <cellStyle name="Output 4 2 2 25 2 2 2" xfId="43206"/>
    <cellStyle name="Output 4 2 2 25 2 3" xfId="32438"/>
    <cellStyle name="Output 4 2 2 25 3" xfId="18890"/>
    <cellStyle name="Output 4 2 2 25 3 2" xfId="38958"/>
    <cellStyle name="Output 4 2 2 25 4" xfId="32437"/>
    <cellStyle name="Output 4 2 2 26" xfId="12259"/>
    <cellStyle name="Output 4 2 2 26 2" xfId="23121"/>
    <cellStyle name="Output 4 2 2 26 2 2" xfId="43189"/>
    <cellStyle name="Output 4 2 2 26 3" xfId="32439"/>
    <cellStyle name="Output 4 2 2 27" xfId="14242"/>
    <cellStyle name="Output 4 2 2 27 2" xfId="34310"/>
    <cellStyle name="Output 4 2 2 28" xfId="32404"/>
    <cellStyle name="Output 4 2 2 3" xfId="12260"/>
    <cellStyle name="Output 4 2 2 3 2" xfId="12261"/>
    <cellStyle name="Output 4 2 2 3 2 2" xfId="23139"/>
    <cellStyle name="Output 4 2 2 3 2 2 2" xfId="43207"/>
    <cellStyle name="Output 4 2 2 3 2 3" xfId="32441"/>
    <cellStyle name="Output 4 2 2 3 3" xfId="14833"/>
    <cellStyle name="Output 4 2 2 3 3 2" xfId="34901"/>
    <cellStyle name="Output 4 2 2 3 4" xfId="32440"/>
    <cellStyle name="Output 4 2 2 4" xfId="12262"/>
    <cellStyle name="Output 4 2 2 4 2" xfId="12263"/>
    <cellStyle name="Output 4 2 2 4 2 2" xfId="23140"/>
    <cellStyle name="Output 4 2 2 4 2 2 2" xfId="43208"/>
    <cellStyle name="Output 4 2 2 4 2 3" xfId="32443"/>
    <cellStyle name="Output 4 2 2 4 3" xfId="14958"/>
    <cellStyle name="Output 4 2 2 4 3 2" xfId="35026"/>
    <cellStyle name="Output 4 2 2 4 4" xfId="32442"/>
    <cellStyle name="Output 4 2 2 5" xfId="12264"/>
    <cellStyle name="Output 4 2 2 5 2" xfId="12265"/>
    <cellStyle name="Output 4 2 2 5 2 2" xfId="23141"/>
    <cellStyle name="Output 4 2 2 5 2 2 2" xfId="43209"/>
    <cellStyle name="Output 4 2 2 5 2 3" xfId="32445"/>
    <cellStyle name="Output 4 2 2 5 3" xfId="15127"/>
    <cellStyle name="Output 4 2 2 5 3 2" xfId="35195"/>
    <cellStyle name="Output 4 2 2 5 4" xfId="32444"/>
    <cellStyle name="Output 4 2 2 6" xfId="12266"/>
    <cellStyle name="Output 4 2 2 6 2" xfId="12267"/>
    <cellStyle name="Output 4 2 2 6 2 2" xfId="23142"/>
    <cellStyle name="Output 4 2 2 6 2 2 2" xfId="43210"/>
    <cellStyle name="Output 4 2 2 6 2 3" xfId="32447"/>
    <cellStyle name="Output 4 2 2 6 3" xfId="14336"/>
    <cellStyle name="Output 4 2 2 6 3 2" xfId="34404"/>
    <cellStyle name="Output 4 2 2 6 4" xfId="32446"/>
    <cellStyle name="Output 4 2 2 7" xfId="12268"/>
    <cellStyle name="Output 4 2 2 7 2" xfId="12269"/>
    <cellStyle name="Output 4 2 2 7 2 2" xfId="23143"/>
    <cellStyle name="Output 4 2 2 7 2 2 2" xfId="43211"/>
    <cellStyle name="Output 4 2 2 7 2 3" xfId="32449"/>
    <cellStyle name="Output 4 2 2 7 3" xfId="15259"/>
    <cellStyle name="Output 4 2 2 7 3 2" xfId="35327"/>
    <cellStyle name="Output 4 2 2 7 4" xfId="32448"/>
    <cellStyle name="Output 4 2 2 8" xfId="12270"/>
    <cellStyle name="Output 4 2 2 8 2" xfId="12271"/>
    <cellStyle name="Output 4 2 2 8 2 2" xfId="23144"/>
    <cellStyle name="Output 4 2 2 8 2 2 2" xfId="43212"/>
    <cellStyle name="Output 4 2 2 8 2 3" xfId="32451"/>
    <cellStyle name="Output 4 2 2 8 3" xfId="16624"/>
    <cellStyle name="Output 4 2 2 8 3 2" xfId="36692"/>
    <cellStyle name="Output 4 2 2 8 4" xfId="32450"/>
    <cellStyle name="Output 4 2 2 9" xfId="12272"/>
    <cellStyle name="Output 4 2 2 9 2" xfId="12273"/>
    <cellStyle name="Output 4 2 2 9 2 2" xfId="23145"/>
    <cellStyle name="Output 4 2 2 9 2 2 2" xfId="43213"/>
    <cellStyle name="Output 4 2 2 9 2 3" xfId="32453"/>
    <cellStyle name="Output 4 2 2 9 3" xfId="16828"/>
    <cellStyle name="Output 4 2 2 9 3 2" xfId="36896"/>
    <cellStyle name="Output 4 2 2 9 4" xfId="32452"/>
    <cellStyle name="Output 4 2 20" xfId="12274"/>
    <cellStyle name="Output 4 2 20 2" xfId="12275"/>
    <cellStyle name="Output 4 2 20 2 2" xfId="23146"/>
    <cellStyle name="Output 4 2 20 2 2 2" xfId="43214"/>
    <cellStyle name="Output 4 2 20 2 3" xfId="32455"/>
    <cellStyle name="Output 4 2 20 3" xfId="18014"/>
    <cellStyle name="Output 4 2 20 3 2" xfId="38082"/>
    <cellStyle name="Output 4 2 20 4" xfId="32454"/>
    <cellStyle name="Output 4 2 21" xfId="12276"/>
    <cellStyle name="Output 4 2 21 2" xfId="12277"/>
    <cellStyle name="Output 4 2 21 2 2" xfId="23147"/>
    <cellStyle name="Output 4 2 21 2 2 2" xfId="43215"/>
    <cellStyle name="Output 4 2 21 2 3" xfId="32457"/>
    <cellStyle name="Output 4 2 21 3" xfId="16086"/>
    <cellStyle name="Output 4 2 21 3 2" xfId="36154"/>
    <cellStyle name="Output 4 2 21 4" xfId="32456"/>
    <cellStyle name="Output 4 2 22" xfId="12278"/>
    <cellStyle name="Output 4 2 22 2" xfId="12279"/>
    <cellStyle name="Output 4 2 22 2 2" xfId="23148"/>
    <cellStyle name="Output 4 2 22 2 2 2" xfId="43216"/>
    <cellStyle name="Output 4 2 22 2 3" xfId="32459"/>
    <cellStyle name="Output 4 2 22 3" xfId="16333"/>
    <cellStyle name="Output 4 2 22 3 2" xfId="36401"/>
    <cellStyle name="Output 4 2 22 4" xfId="32458"/>
    <cellStyle name="Output 4 2 23" xfId="12280"/>
    <cellStyle name="Output 4 2 23 2" xfId="12281"/>
    <cellStyle name="Output 4 2 23 2 2" xfId="23149"/>
    <cellStyle name="Output 4 2 23 2 2 2" xfId="43217"/>
    <cellStyle name="Output 4 2 23 2 3" xfId="32461"/>
    <cellStyle name="Output 4 2 23 3" xfId="18281"/>
    <cellStyle name="Output 4 2 23 3 2" xfId="38349"/>
    <cellStyle name="Output 4 2 23 4" xfId="32460"/>
    <cellStyle name="Output 4 2 24" xfId="12282"/>
    <cellStyle name="Output 4 2 24 2" xfId="12283"/>
    <cellStyle name="Output 4 2 24 2 2" xfId="23150"/>
    <cellStyle name="Output 4 2 24 2 2 2" xfId="43218"/>
    <cellStyle name="Output 4 2 24 2 3" xfId="32463"/>
    <cellStyle name="Output 4 2 24 3" xfId="18474"/>
    <cellStyle name="Output 4 2 24 3 2" xfId="38542"/>
    <cellStyle name="Output 4 2 24 4" xfId="32462"/>
    <cellStyle name="Output 4 2 25" xfId="12284"/>
    <cellStyle name="Output 4 2 25 2" xfId="12285"/>
    <cellStyle name="Output 4 2 25 2 2" xfId="23151"/>
    <cellStyle name="Output 4 2 25 2 2 2" xfId="43219"/>
    <cellStyle name="Output 4 2 25 2 3" xfId="32465"/>
    <cellStyle name="Output 4 2 25 3" xfId="18341"/>
    <cellStyle name="Output 4 2 25 3 2" xfId="38409"/>
    <cellStyle name="Output 4 2 25 4" xfId="32464"/>
    <cellStyle name="Output 4 2 26" xfId="12286"/>
    <cellStyle name="Output 4 2 26 2" xfId="12287"/>
    <cellStyle name="Output 4 2 26 2 2" xfId="23152"/>
    <cellStyle name="Output 4 2 26 2 2 2" xfId="43220"/>
    <cellStyle name="Output 4 2 26 2 3" xfId="32467"/>
    <cellStyle name="Output 4 2 26 3" xfId="17678"/>
    <cellStyle name="Output 4 2 26 3 2" xfId="37746"/>
    <cellStyle name="Output 4 2 26 4" xfId="32466"/>
    <cellStyle name="Output 4 2 27" xfId="12288"/>
    <cellStyle name="Output 4 2 27 2" xfId="12289"/>
    <cellStyle name="Output 4 2 27 2 2" xfId="23153"/>
    <cellStyle name="Output 4 2 27 2 2 2" xfId="43221"/>
    <cellStyle name="Output 4 2 27 2 3" xfId="32469"/>
    <cellStyle name="Output 4 2 27 3" xfId="17863"/>
    <cellStyle name="Output 4 2 27 3 2" xfId="37931"/>
    <cellStyle name="Output 4 2 27 4" xfId="32468"/>
    <cellStyle name="Output 4 2 28" xfId="12290"/>
    <cellStyle name="Output 4 2 28 2" xfId="23110"/>
    <cellStyle name="Output 4 2 28 2 2" xfId="43178"/>
    <cellStyle name="Output 4 2 28 3" xfId="32470"/>
    <cellStyle name="Output 4 2 29" xfId="13940"/>
    <cellStyle name="Output 4 2 29 2" xfId="34008"/>
    <cellStyle name="Output 4 2 3" xfId="12291"/>
    <cellStyle name="Output 4 2 3 2" xfId="12292"/>
    <cellStyle name="Output 4 2 3 2 2" xfId="23154"/>
    <cellStyle name="Output 4 2 3 2 2 2" xfId="43222"/>
    <cellStyle name="Output 4 2 3 2 3" xfId="32472"/>
    <cellStyle name="Output 4 2 3 3" xfId="14409"/>
    <cellStyle name="Output 4 2 3 3 2" xfId="34477"/>
    <cellStyle name="Output 4 2 3 4" xfId="32471"/>
    <cellStyle name="Output 4 2 30" xfId="32383"/>
    <cellStyle name="Output 4 2 4" xfId="12293"/>
    <cellStyle name="Output 4 2 4 2" xfId="12294"/>
    <cellStyle name="Output 4 2 4 2 2" xfId="23155"/>
    <cellStyle name="Output 4 2 4 2 2 2" xfId="43223"/>
    <cellStyle name="Output 4 2 4 2 3" xfId="32474"/>
    <cellStyle name="Output 4 2 4 3" xfId="14300"/>
    <cellStyle name="Output 4 2 4 3 2" xfId="34368"/>
    <cellStyle name="Output 4 2 4 4" xfId="32473"/>
    <cellStyle name="Output 4 2 5" xfId="12295"/>
    <cellStyle name="Output 4 2 5 2" xfId="12296"/>
    <cellStyle name="Output 4 2 5 2 2" xfId="23156"/>
    <cellStyle name="Output 4 2 5 2 2 2" xfId="43224"/>
    <cellStyle name="Output 4 2 5 2 3" xfId="32476"/>
    <cellStyle name="Output 4 2 5 3" xfId="14623"/>
    <cellStyle name="Output 4 2 5 3 2" xfId="34691"/>
    <cellStyle name="Output 4 2 5 4" xfId="32475"/>
    <cellStyle name="Output 4 2 6" xfId="12297"/>
    <cellStyle name="Output 4 2 6 2" xfId="12298"/>
    <cellStyle name="Output 4 2 6 2 2" xfId="23157"/>
    <cellStyle name="Output 4 2 6 2 2 2" xfId="43225"/>
    <cellStyle name="Output 4 2 6 2 3" xfId="32478"/>
    <cellStyle name="Output 4 2 6 3" xfId="14993"/>
    <cellStyle name="Output 4 2 6 3 2" xfId="35061"/>
    <cellStyle name="Output 4 2 6 4" xfId="32477"/>
    <cellStyle name="Output 4 2 7" xfId="12299"/>
    <cellStyle name="Output 4 2 7 2" xfId="12300"/>
    <cellStyle name="Output 4 2 7 2 2" xfId="23158"/>
    <cellStyle name="Output 4 2 7 2 2 2" xfId="43226"/>
    <cellStyle name="Output 4 2 7 2 3" xfId="32480"/>
    <cellStyle name="Output 4 2 7 3" xfId="14856"/>
    <cellStyle name="Output 4 2 7 3 2" xfId="34924"/>
    <cellStyle name="Output 4 2 7 4" xfId="32479"/>
    <cellStyle name="Output 4 2 8" xfId="12301"/>
    <cellStyle name="Output 4 2 8 2" xfId="12302"/>
    <cellStyle name="Output 4 2 8 2 2" xfId="23159"/>
    <cellStyle name="Output 4 2 8 2 2 2" xfId="43227"/>
    <cellStyle name="Output 4 2 8 2 3" xfId="32482"/>
    <cellStyle name="Output 4 2 8 3" xfId="15167"/>
    <cellStyle name="Output 4 2 8 3 2" xfId="35235"/>
    <cellStyle name="Output 4 2 8 4" xfId="32481"/>
    <cellStyle name="Output 4 2 9" xfId="12303"/>
    <cellStyle name="Output 4 2 9 2" xfId="12304"/>
    <cellStyle name="Output 4 2 9 2 2" xfId="23160"/>
    <cellStyle name="Output 4 2 9 2 2 2" xfId="43228"/>
    <cellStyle name="Output 4 2 9 2 3" xfId="32484"/>
    <cellStyle name="Output 4 2 9 3" xfId="15346"/>
    <cellStyle name="Output 4 2 9 3 2" xfId="35414"/>
    <cellStyle name="Output 4 2 9 4" xfId="32483"/>
    <cellStyle name="Output 4 20" xfId="12305"/>
    <cellStyle name="Output 4 20 2" xfId="12306"/>
    <cellStyle name="Output 4 20 2 2" xfId="23161"/>
    <cellStyle name="Output 4 20 2 2 2" xfId="43229"/>
    <cellStyle name="Output 4 20 2 3" xfId="32486"/>
    <cellStyle name="Output 4 20 3" xfId="15892"/>
    <cellStyle name="Output 4 20 3 2" xfId="35960"/>
    <cellStyle name="Output 4 20 4" xfId="32485"/>
    <cellStyle name="Output 4 21" xfId="12307"/>
    <cellStyle name="Output 4 21 2" xfId="12308"/>
    <cellStyle name="Output 4 21 2 2" xfId="23162"/>
    <cellStyle name="Output 4 21 2 2 2" xfId="43230"/>
    <cellStyle name="Output 4 21 2 3" xfId="32488"/>
    <cellStyle name="Output 4 21 3" xfId="18013"/>
    <cellStyle name="Output 4 21 3 2" xfId="38081"/>
    <cellStyle name="Output 4 21 4" xfId="32487"/>
    <cellStyle name="Output 4 22" xfId="12309"/>
    <cellStyle name="Output 4 22 2" xfId="12310"/>
    <cellStyle name="Output 4 22 2 2" xfId="23163"/>
    <cellStyle name="Output 4 22 2 2 2" xfId="43231"/>
    <cellStyle name="Output 4 22 2 3" xfId="32490"/>
    <cellStyle name="Output 4 22 3" xfId="15682"/>
    <cellStyle name="Output 4 22 3 2" xfId="35750"/>
    <cellStyle name="Output 4 22 4" xfId="32489"/>
    <cellStyle name="Output 4 23" xfId="12311"/>
    <cellStyle name="Output 4 23 2" xfId="12312"/>
    <cellStyle name="Output 4 23 2 2" xfId="23164"/>
    <cellStyle name="Output 4 23 2 2 2" xfId="43232"/>
    <cellStyle name="Output 4 23 2 3" xfId="32492"/>
    <cellStyle name="Output 4 23 3" xfId="17672"/>
    <cellStyle name="Output 4 23 3 2" xfId="37740"/>
    <cellStyle name="Output 4 23 4" xfId="32491"/>
    <cellStyle name="Output 4 24" xfId="12313"/>
    <cellStyle name="Output 4 24 2" xfId="12314"/>
    <cellStyle name="Output 4 24 2 2" xfId="23165"/>
    <cellStyle name="Output 4 24 2 2 2" xfId="43233"/>
    <cellStyle name="Output 4 24 2 3" xfId="32494"/>
    <cellStyle name="Output 4 24 3" xfId="15764"/>
    <cellStyle name="Output 4 24 3 2" xfId="35832"/>
    <cellStyle name="Output 4 24 4" xfId="32493"/>
    <cellStyle name="Output 4 25" xfId="12315"/>
    <cellStyle name="Output 4 25 2" xfId="12316"/>
    <cellStyle name="Output 4 25 2 2" xfId="23166"/>
    <cellStyle name="Output 4 25 2 2 2" xfId="43234"/>
    <cellStyle name="Output 4 25 2 3" xfId="32496"/>
    <cellStyle name="Output 4 25 3" xfId="18473"/>
    <cellStyle name="Output 4 25 3 2" xfId="38541"/>
    <cellStyle name="Output 4 25 4" xfId="32495"/>
    <cellStyle name="Output 4 26" xfId="12317"/>
    <cellStyle name="Output 4 26 2" xfId="12318"/>
    <cellStyle name="Output 4 26 2 2" xfId="23167"/>
    <cellStyle name="Output 4 26 2 2 2" xfId="43235"/>
    <cellStyle name="Output 4 26 2 3" xfId="32498"/>
    <cellStyle name="Output 4 26 3" xfId="15882"/>
    <cellStyle name="Output 4 26 3 2" xfId="35950"/>
    <cellStyle name="Output 4 26 4" xfId="32497"/>
    <cellStyle name="Output 4 27" xfId="12319"/>
    <cellStyle name="Output 4 27 2" xfId="12320"/>
    <cellStyle name="Output 4 27 2 2" xfId="23168"/>
    <cellStyle name="Output 4 27 2 2 2" xfId="43236"/>
    <cellStyle name="Output 4 27 2 3" xfId="32500"/>
    <cellStyle name="Output 4 27 3" xfId="17642"/>
    <cellStyle name="Output 4 27 3 2" xfId="37710"/>
    <cellStyle name="Output 4 27 4" xfId="32499"/>
    <cellStyle name="Output 4 28" xfId="12321"/>
    <cellStyle name="Output 4 28 2" xfId="12322"/>
    <cellStyle name="Output 4 28 2 2" xfId="23169"/>
    <cellStyle name="Output 4 28 2 2 2" xfId="43237"/>
    <cellStyle name="Output 4 28 2 3" xfId="32502"/>
    <cellStyle name="Output 4 28 3" xfId="15674"/>
    <cellStyle name="Output 4 28 3 2" xfId="35742"/>
    <cellStyle name="Output 4 28 4" xfId="32501"/>
    <cellStyle name="Output 4 29" xfId="12323"/>
    <cellStyle name="Output 4 29 2" xfId="23099"/>
    <cellStyle name="Output 4 29 2 2" xfId="43167"/>
    <cellStyle name="Output 4 29 3" xfId="32503"/>
    <cellStyle name="Output 4 3" xfId="12324"/>
    <cellStyle name="Output 4 3 10" xfId="12325"/>
    <cellStyle name="Output 4 3 10 2" xfId="12326"/>
    <cellStyle name="Output 4 3 10 2 2" xfId="23171"/>
    <cellStyle name="Output 4 3 10 2 2 2" xfId="43239"/>
    <cellStyle name="Output 4 3 10 2 3" xfId="32506"/>
    <cellStyle name="Output 4 3 10 3" xfId="16988"/>
    <cellStyle name="Output 4 3 10 3 2" xfId="37056"/>
    <cellStyle name="Output 4 3 10 4" xfId="32505"/>
    <cellStyle name="Output 4 3 11" xfId="12327"/>
    <cellStyle name="Output 4 3 11 2" xfId="12328"/>
    <cellStyle name="Output 4 3 11 2 2" xfId="23172"/>
    <cellStyle name="Output 4 3 11 2 2 2" xfId="43240"/>
    <cellStyle name="Output 4 3 11 2 3" xfId="32508"/>
    <cellStyle name="Output 4 3 11 3" xfId="17133"/>
    <cellStyle name="Output 4 3 11 3 2" xfId="37201"/>
    <cellStyle name="Output 4 3 11 4" xfId="32507"/>
    <cellStyle name="Output 4 3 12" xfId="12329"/>
    <cellStyle name="Output 4 3 12 2" xfId="12330"/>
    <cellStyle name="Output 4 3 12 2 2" xfId="23173"/>
    <cellStyle name="Output 4 3 12 2 2 2" xfId="43241"/>
    <cellStyle name="Output 4 3 12 2 3" xfId="32510"/>
    <cellStyle name="Output 4 3 12 3" xfId="17305"/>
    <cellStyle name="Output 4 3 12 3 2" xfId="37373"/>
    <cellStyle name="Output 4 3 12 4" xfId="32509"/>
    <cellStyle name="Output 4 3 13" xfId="12331"/>
    <cellStyle name="Output 4 3 13 2" xfId="12332"/>
    <cellStyle name="Output 4 3 13 2 2" xfId="23174"/>
    <cellStyle name="Output 4 3 13 2 2 2" xfId="43242"/>
    <cellStyle name="Output 4 3 13 2 3" xfId="32512"/>
    <cellStyle name="Output 4 3 13 3" xfId="17469"/>
    <cellStyle name="Output 4 3 13 3 2" xfId="37537"/>
    <cellStyle name="Output 4 3 13 4" xfId="32511"/>
    <cellStyle name="Output 4 3 14" xfId="12333"/>
    <cellStyle name="Output 4 3 14 2" xfId="12334"/>
    <cellStyle name="Output 4 3 14 2 2" xfId="23175"/>
    <cellStyle name="Output 4 3 14 2 2 2" xfId="43243"/>
    <cellStyle name="Output 4 3 14 2 3" xfId="32514"/>
    <cellStyle name="Output 4 3 14 3" xfId="17595"/>
    <cellStyle name="Output 4 3 14 3 2" xfId="37663"/>
    <cellStyle name="Output 4 3 14 4" xfId="32513"/>
    <cellStyle name="Output 4 3 15" xfId="12335"/>
    <cellStyle name="Output 4 3 15 2" xfId="12336"/>
    <cellStyle name="Output 4 3 15 2 2" xfId="23176"/>
    <cellStyle name="Output 4 3 15 2 2 2" xfId="43244"/>
    <cellStyle name="Output 4 3 15 2 3" xfId="32516"/>
    <cellStyle name="Output 4 3 15 3" xfId="17650"/>
    <cellStyle name="Output 4 3 15 3 2" xfId="37718"/>
    <cellStyle name="Output 4 3 15 4" xfId="32515"/>
    <cellStyle name="Output 4 3 16" xfId="12337"/>
    <cellStyle name="Output 4 3 16 2" xfId="12338"/>
    <cellStyle name="Output 4 3 16 2 2" xfId="23177"/>
    <cellStyle name="Output 4 3 16 2 2 2" xfId="43245"/>
    <cellStyle name="Output 4 3 16 2 3" xfId="32518"/>
    <cellStyle name="Output 4 3 16 3" xfId="17845"/>
    <cellStyle name="Output 4 3 16 3 2" xfId="37913"/>
    <cellStyle name="Output 4 3 16 4" xfId="32517"/>
    <cellStyle name="Output 4 3 17" xfId="12339"/>
    <cellStyle name="Output 4 3 17 2" xfId="12340"/>
    <cellStyle name="Output 4 3 17 2 2" xfId="23178"/>
    <cellStyle name="Output 4 3 17 2 2 2" xfId="43246"/>
    <cellStyle name="Output 4 3 17 2 3" xfId="32520"/>
    <cellStyle name="Output 4 3 17 3" xfId="17983"/>
    <cellStyle name="Output 4 3 17 3 2" xfId="38051"/>
    <cellStyle name="Output 4 3 17 4" xfId="32519"/>
    <cellStyle name="Output 4 3 18" xfId="12341"/>
    <cellStyle name="Output 4 3 18 2" xfId="12342"/>
    <cellStyle name="Output 4 3 18 2 2" xfId="23179"/>
    <cellStyle name="Output 4 3 18 2 2 2" xfId="43247"/>
    <cellStyle name="Output 4 3 18 2 3" xfId="32522"/>
    <cellStyle name="Output 4 3 18 3" xfId="18122"/>
    <cellStyle name="Output 4 3 18 3 2" xfId="38190"/>
    <cellStyle name="Output 4 3 18 4" xfId="32521"/>
    <cellStyle name="Output 4 3 19" xfId="12343"/>
    <cellStyle name="Output 4 3 19 2" xfId="12344"/>
    <cellStyle name="Output 4 3 19 2 2" xfId="23180"/>
    <cellStyle name="Output 4 3 19 2 2 2" xfId="43248"/>
    <cellStyle name="Output 4 3 19 2 3" xfId="32524"/>
    <cellStyle name="Output 4 3 19 3" xfId="18240"/>
    <cellStyle name="Output 4 3 19 3 2" xfId="38308"/>
    <cellStyle name="Output 4 3 19 4" xfId="32523"/>
    <cellStyle name="Output 4 3 2" xfId="12345"/>
    <cellStyle name="Output 4 3 2 2" xfId="12346"/>
    <cellStyle name="Output 4 3 2 2 2" xfId="23181"/>
    <cellStyle name="Output 4 3 2 2 2 2" xfId="43249"/>
    <cellStyle name="Output 4 3 2 2 3" xfId="32526"/>
    <cellStyle name="Output 4 3 2 3" xfId="14708"/>
    <cellStyle name="Output 4 3 2 3 2" xfId="34776"/>
    <cellStyle name="Output 4 3 2 4" xfId="32525"/>
    <cellStyle name="Output 4 3 20" xfId="12347"/>
    <cellStyle name="Output 4 3 20 2" xfId="12348"/>
    <cellStyle name="Output 4 3 20 2 2" xfId="23182"/>
    <cellStyle name="Output 4 3 20 2 2 2" xfId="43250"/>
    <cellStyle name="Output 4 3 20 2 3" xfId="32528"/>
    <cellStyle name="Output 4 3 20 3" xfId="18315"/>
    <cellStyle name="Output 4 3 20 3 2" xfId="38383"/>
    <cellStyle name="Output 4 3 20 4" xfId="32527"/>
    <cellStyle name="Output 4 3 21" xfId="12349"/>
    <cellStyle name="Output 4 3 21 2" xfId="12350"/>
    <cellStyle name="Output 4 3 21 2 2" xfId="23183"/>
    <cellStyle name="Output 4 3 21 2 2 2" xfId="43251"/>
    <cellStyle name="Output 4 3 21 2 3" xfId="32530"/>
    <cellStyle name="Output 4 3 21 3" xfId="18445"/>
    <cellStyle name="Output 4 3 21 3 2" xfId="38513"/>
    <cellStyle name="Output 4 3 21 4" xfId="32529"/>
    <cellStyle name="Output 4 3 22" xfId="12351"/>
    <cellStyle name="Output 4 3 22 2" xfId="12352"/>
    <cellStyle name="Output 4 3 22 2 2" xfId="23184"/>
    <cellStyle name="Output 4 3 22 2 2 2" xfId="43252"/>
    <cellStyle name="Output 4 3 22 2 3" xfId="32532"/>
    <cellStyle name="Output 4 3 22 3" xfId="18578"/>
    <cellStyle name="Output 4 3 22 3 2" xfId="38646"/>
    <cellStyle name="Output 4 3 22 4" xfId="32531"/>
    <cellStyle name="Output 4 3 23" xfId="12353"/>
    <cellStyle name="Output 4 3 23 2" xfId="12354"/>
    <cellStyle name="Output 4 3 23 2 2" xfId="23185"/>
    <cellStyle name="Output 4 3 23 2 2 2" xfId="43253"/>
    <cellStyle name="Output 4 3 23 2 3" xfId="32534"/>
    <cellStyle name="Output 4 3 23 3" xfId="18689"/>
    <cellStyle name="Output 4 3 23 3 2" xfId="38757"/>
    <cellStyle name="Output 4 3 23 4" xfId="32533"/>
    <cellStyle name="Output 4 3 24" xfId="12355"/>
    <cellStyle name="Output 4 3 24 2" xfId="12356"/>
    <cellStyle name="Output 4 3 24 2 2" xfId="23186"/>
    <cellStyle name="Output 4 3 24 2 2 2" xfId="43254"/>
    <cellStyle name="Output 4 3 24 2 3" xfId="32536"/>
    <cellStyle name="Output 4 3 24 3" xfId="18789"/>
    <cellStyle name="Output 4 3 24 3 2" xfId="38857"/>
    <cellStyle name="Output 4 3 24 4" xfId="32535"/>
    <cellStyle name="Output 4 3 25" xfId="12357"/>
    <cellStyle name="Output 4 3 25 2" xfId="12358"/>
    <cellStyle name="Output 4 3 25 2 2" xfId="23187"/>
    <cellStyle name="Output 4 3 25 2 2 2" xfId="43255"/>
    <cellStyle name="Output 4 3 25 2 3" xfId="32538"/>
    <cellStyle name="Output 4 3 25 3" xfId="18889"/>
    <cellStyle name="Output 4 3 25 3 2" xfId="38957"/>
    <cellStyle name="Output 4 3 25 4" xfId="32537"/>
    <cellStyle name="Output 4 3 26" xfId="12359"/>
    <cellStyle name="Output 4 3 26 2" xfId="23170"/>
    <cellStyle name="Output 4 3 26 2 2" xfId="43238"/>
    <cellStyle name="Output 4 3 26 3" xfId="32539"/>
    <cellStyle name="Output 4 3 27" xfId="14210"/>
    <cellStyle name="Output 4 3 27 2" xfId="34278"/>
    <cellStyle name="Output 4 3 28" xfId="32504"/>
    <cellStyle name="Output 4 3 3" xfId="12360"/>
    <cellStyle name="Output 4 3 3 2" xfId="12361"/>
    <cellStyle name="Output 4 3 3 2 2" xfId="23188"/>
    <cellStyle name="Output 4 3 3 2 2 2" xfId="43256"/>
    <cellStyle name="Output 4 3 3 2 3" xfId="32541"/>
    <cellStyle name="Output 4 3 3 3" xfId="14832"/>
    <cellStyle name="Output 4 3 3 3 2" xfId="34900"/>
    <cellStyle name="Output 4 3 3 4" xfId="32540"/>
    <cellStyle name="Output 4 3 4" xfId="12362"/>
    <cellStyle name="Output 4 3 4 2" xfId="12363"/>
    <cellStyle name="Output 4 3 4 2 2" xfId="23189"/>
    <cellStyle name="Output 4 3 4 2 2 2" xfId="43257"/>
    <cellStyle name="Output 4 3 4 2 3" xfId="32543"/>
    <cellStyle name="Output 4 3 4 3" xfId="14957"/>
    <cellStyle name="Output 4 3 4 3 2" xfId="35025"/>
    <cellStyle name="Output 4 3 4 4" xfId="32542"/>
    <cellStyle name="Output 4 3 5" xfId="12364"/>
    <cellStyle name="Output 4 3 5 2" xfId="12365"/>
    <cellStyle name="Output 4 3 5 2 2" xfId="23190"/>
    <cellStyle name="Output 4 3 5 2 2 2" xfId="43258"/>
    <cellStyle name="Output 4 3 5 2 3" xfId="32545"/>
    <cellStyle name="Output 4 3 5 3" xfId="15126"/>
    <cellStyle name="Output 4 3 5 3 2" xfId="35194"/>
    <cellStyle name="Output 4 3 5 4" xfId="32544"/>
    <cellStyle name="Output 4 3 6" xfId="12366"/>
    <cellStyle name="Output 4 3 6 2" xfId="12367"/>
    <cellStyle name="Output 4 3 6 2 2" xfId="23191"/>
    <cellStyle name="Output 4 3 6 2 2 2" xfId="43259"/>
    <cellStyle name="Output 4 3 6 2 3" xfId="32547"/>
    <cellStyle name="Output 4 3 6 3" xfId="15022"/>
    <cellStyle name="Output 4 3 6 3 2" xfId="35090"/>
    <cellStyle name="Output 4 3 6 4" xfId="32546"/>
    <cellStyle name="Output 4 3 7" xfId="12368"/>
    <cellStyle name="Output 4 3 7 2" xfId="12369"/>
    <cellStyle name="Output 4 3 7 2 2" xfId="23192"/>
    <cellStyle name="Output 4 3 7 2 2 2" xfId="43260"/>
    <cellStyle name="Output 4 3 7 2 3" xfId="32549"/>
    <cellStyle name="Output 4 3 7 3" xfId="15258"/>
    <cellStyle name="Output 4 3 7 3 2" xfId="35326"/>
    <cellStyle name="Output 4 3 7 4" xfId="32548"/>
    <cellStyle name="Output 4 3 8" xfId="12370"/>
    <cellStyle name="Output 4 3 8 2" xfId="12371"/>
    <cellStyle name="Output 4 3 8 2 2" xfId="23193"/>
    <cellStyle name="Output 4 3 8 2 2 2" xfId="43261"/>
    <cellStyle name="Output 4 3 8 2 3" xfId="32551"/>
    <cellStyle name="Output 4 3 8 3" xfId="16623"/>
    <cellStyle name="Output 4 3 8 3 2" xfId="36691"/>
    <cellStyle name="Output 4 3 8 4" xfId="32550"/>
    <cellStyle name="Output 4 3 9" xfId="12372"/>
    <cellStyle name="Output 4 3 9 2" xfId="12373"/>
    <cellStyle name="Output 4 3 9 2 2" xfId="23194"/>
    <cellStyle name="Output 4 3 9 2 2 2" xfId="43262"/>
    <cellStyle name="Output 4 3 9 2 3" xfId="32553"/>
    <cellStyle name="Output 4 3 9 3" xfId="16827"/>
    <cellStyle name="Output 4 3 9 3 2" xfId="36895"/>
    <cellStyle name="Output 4 3 9 4" xfId="32552"/>
    <cellStyle name="Output 4 30" xfId="13939"/>
    <cellStyle name="Output 4 30 2" xfId="34007"/>
    <cellStyle name="Output 4 31" xfId="32362"/>
    <cellStyle name="Output 4 4" xfId="12374"/>
    <cellStyle name="Output 4 4 2" xfId="12375"/>
    <cellStyle name="Output 4 4 2 2" xfId="23195"/>
    <cellStyle name="Output 4 4 2 2 2" xfId="43263"/>
    <cellStyle name="Output 4 4 2 3" xfId="32555"/>
    <cellStyle name="Output 4 4 3" xfId="14008"/>
    <cellStyle name="Output 4 4 3 2" xfId="34076"/>
    <cellStyle name="Output 4 4 4" xfId="32554"/>
    <cellStyle name="Output 4 5" xfId="12376"/>
    <cellStyle name="Output 4 5 2" xfId="12377"/>
    <cellStyle name="Output 4 5 2 2" xfId="23196"/>
    <cellStyle name="Output 4 5 2 2 2" xfId="43264"/>
    <cellStyle name="Output 4 5 2 3" xfId="32557"/>
    <cellStyle name="Output 4 5 3" xfId="14470"/>
    <cellStyle name="Output 4 5 3 2" xfId="34538"/>
    <cellStyle name="Output 4 5 4" xfId="32556"/>
    <cellStyle name="Output 4 6" xfId="12378"/>
    <cellStyle name="Output 4 6 2" xfId="12379"/>
    <cellStyle name="Output 4 6 2 2" xfId="23197"/>
    <cellStyle name="Output 4 6 2 2 2" xfId="43265"/>
    <cellStyle name="Output 4 6 2 3" xfId="32559"/>
    <cellStyle name="Output 4 6 3" xfId="14592"/>
    <cellStyle name="Output 4 6 3 2" xfId="34660"/>
    <cellStyle name="Output 4 6 4" xfId="32558"/>
    <cellStyle name="Output 4 7" xfId="12380"/>
    <cellStyle name="Output 4 7 2" xfId="12381"/>
    <cellStyle name="Output 4 7 2 2" xfId="23198"/>
    <cellStyle name="Output 4 7 2 2 2" xfId="43266"/>
    <cellStyle name="Output 4 7 2 3" xfId="32561"/>
    <cellStyle name="Output 4 7 3" xfId="14992"/>
    <cellStyle name="Output 4 7 3 2" xfId="35060"/>
    <cellStyle name="Output 4 7 4" xfId="32560"/>
    <cellStyle name="Output 4 8" xfId="12382"/>
    <cellStyle name="Output 4 8 2" xfId="12383"/>
    <cellStyle name="Output 4 8 2 2" xfId="23199"/>
    <cellStyle name="Output 4 8 2 2 2" xfId="43267"/>
    <cellStyle name="Output 4 8 2 3" xfId="32563"/>
    <cellStyle name="Output 4 8 3" xfId="14857"/>
    <cellStyle name="Output 4 8 3 2" xfId="34925"/>
    <cellStyle name="Output 4 8 4" xfId="32562"/>
    <cellStyle name="Output 4 9" xfId="12384"/>
    <cellStyle name="Output 4 9 2" xfId="12385"/>
    <cellStyle name="Output 4 9 2 2" xfId="23200"/>
    <cellStyle name="Output 4 9 2 2 2" xfId="43268"/>
    <cellStyle name="Output 4 9 2 3" xfId="32565"/>
    <cellStyle name="Output 4 9 3" xfId="15166"/>
    <cellStyle name="Output 4 9 3 2" xfId="35234"/>
    <cellStyle name="Output 4 9 4" xfId="32564"/>
    <cellStyle name="Output 4_2011-2012" xfId="12386"/>
    <cellStyle name="Output 5" xfId="12387"/>
    <cellStyle name="Output 5 10" xfId="12388"/>
    <cellStyle name="Output 5 10 2" xfId="12389"/>
    <cellStyle name="Output 5 10 2 2" xfId="23202"/>
    <cellStyle name="Output 5 10 2 2 2" xfId="43270"/>
    <cellStyle name="Output 5 10 2 3" xfId="32568"/>
    <cellStyle name="Output 5 10 3" xfId="16490"/>
    <cellStyle name="Output 5 10 3 2" xfId="36558"/>
    <cellStyle name="Output 5 10 4" xfId="32567"/>
    <cellStyle name="Output 5 11" xfId="12390"/>
    <cellStyle name="Output 5 11 2" xfId="12391"/>
    <cellStyle name="Output 5 11 2 2" xfId="23203"/>
    <cellStyle name="Output 5 11 2 2 2" xfId="43271"/>
    <cellStyle name="Output 5 11 2 3" xfId="32570"/>
    <cellStyle name="Output 5 11 3" xfId="16683"/>
    <cellStyle name="Output 5 11 3 2" xfId="36751"/>
    <cellStyle name="Output 5 11 4" xfId="32569"/>
    <cellStyle name="Output 5 12" xfId="12392"/>
    <cellStyle name="Output 5 12 2" xfId="12393"/>
    <cellStyle name="Output 5 12 2 2" xfId="23204"/>
    <cellStyle name="Output 5 12 2 2 2" xfId="43272"/>
    <cellStyle name="Output 5 12 2 3" xfId="32572"/>
    <cellStyle name="Output 5 12 3" xfId="16862"/>
    <cellStyle name="Output 5 12 3 2" xfId="36930"/>
    <cellStyle name="Output 5 12 4" xfId="32571"/>
    <cellStyle name="Output 5 13" xfId="12394"/>
    <cellStyle name="Output 5 13 2" xfId="12395"/>
    <cellStyle name="Output 5 13 2 2" xfId="23205"/>
    <cellStyle name="Output 5 13 2 2 2" xfId="43273"/>
    <cellStyle name="Output 5 13 2 3" xfId="32574"/>
    <cellStyle name="Output 5 13 3" xfId="15694"/>
    <cellStyle name="Output 5 13 3 2" xfId="35762"/>
    <cellStyle name="Output 5 13 4" xfId="32573"/>
    <cellStyle name="Output 5 14" xfId="12396"/>
    <cellStyle name="Output 5 14 2" xfId="12397"/>
    <cellStyle name="Output 5 14 2 2" xfId="23206"/>
    <cellStyle name="Output 5 14 2 2 2" xfId="43274"/>
    <cellStyle name="Output 5 14 2 3" xfId="32576"/>
    <cellStyle name="Output 5 14 3" xfId="17167"/>
    <cellStyle name="Output 5 14 3 2" xfId="37235"/>
    <cellStyle name="Output 5 14 4" xfId="32575"/>
    <cellStyle name="Output 5 15" xfId="12398"/>
    <cellStyle name="Output 5 15 2" xfId="12399"/>
    <cellStyle name="Output 5 15 2 2" xfId="23207"/>
    <cellStyle name="Output 5 15 2 2 2" xfId="43275"/>
    <cellStyle name="Output 5 15 2 3" xfId="32578"/>
    <cellStyle name="Output 5 15 3" xfId="17343"/>
    <cellStyle name="Output 5 15 3 2" xfId="37411"/>
    <cellStyle name="Output 5 15 4" xfId="32577"/>
    <cellStyle name="Output 5 16" xfId="12400"/>
    <cellStyle name="Output 5 16 2" xfId="12401"/>
    <cellStyle name="Output 5 16 2 2" xfId="23208"/>
    <cellStyle name="Output 5 16 2 2 2" xfId="43276"/>
    <cellStyle name="Output 5 16 2 3" xfId="32580"/>
    <cellStyle name="Output 5 16 3" xfId="16728"/>
    <cellStyle name="Output 5 16 3 2" xfId="36796"/>
    <cellStyle name="Output 5 16 4" xfId="32579"/>
    <cellStyle name="Output 5 17" xfId="12402"/>
    <cellStyle name="Output 5 17 2" xfId="12403"/>
    <cellStyle name="Output 5 17 2 2" xfId="23209"/>
    <cellStyle name="Output 5 17 2 2 2" xfId="43277"/>
    <cellStyle name="Output 5 17 2 3" xfId="32582"/>
    <cellStyle name="Output 5 17 3" xfId="16163"/>
    <cellStyle name="Output 5 17 3 2" xfId="36231"/>
    <cellStyle name="Output 5 17 4" xfId="32581"/>
    <cellStyle name="Output 5 18" xfId="12404"/>
    <cellStyle name="Output 5 18 2" xfId="12405"/>
    <cellStyle name="Output 5 18 2 2" xfId="23210"/>
    <cellStyle name="Output 5 18 2 2 2" xfId="43278"/>
    <cellStyle name="Output 5 18 2 3" xfId="32584"/>
    <cellStyle name="Output 5 18 3" xfId="17732"/>
    <cellStyle name="Output 5 18 3 2" xfId="37800"/>
    <cellStyle name="Output 5 18 4" xfId="32583"/>
    <cellStyle name="Output 5 19" xfId="12406"/>
    <cellStyle name="Output 5 19 2" xfId="12407"/>
    <cellStyle name="Output 5 19 2 2" xfId="23211"/>
    <cellStyle name="Output 5 19 2 2 2" xfId="43279"/>
    <cellStyle name="Output 5 19 2 3" xfId="32586"/>
    <cellStyle name="Output 5 19 3" xfId="16495"/>
    <cellStyle name="Output 5 19 3 2" xfId="36563"/>
    <cellStyle name="Output 5 19 4" xfId="32585"/>
    <cellStyle name="Output 5 2" xfId="12408"/>
    <cellStyle name="Output 5 2 10" xfId="12409"/>
    <cellStyle name="Output 5 2 10 2" xfId="12410"/>
    <cellStyle name="Output 5 2 10 2 2" xfId="23213"/>
    <cellStyle name="Output 5 2 10 2 2 2" xfId="43281"/>
    <cellStyle name="Output 5 2 10 2 3" xfId="32589"/>
    <cellStyle name="Output 5 2 10 3" xfId="16990"/>
    <cellStyle name="Output 5 2 10 3 2" xfId="37058"/>
    <cellStyle name="Output 5 2 10 4" xfId="32588"/>
    <cellStyle name="Output 5 2 11" xfId="12411"/>
    <cellStyle name="Output 5 2 11 2" xfId="12412"/>
    <cellStyle name="Output 5 2 11 2 2" xfId="23214"/>
    <cellStyle name="Output 5 2 11 2 2 2" xfId="43282"/>
    <cellStyle name="Output 5 2 11 2 3" xfId="32591"/>
    <cellStyle name="Output 5 2 11 3" xfId="17135"/>
    <cellStyle name="Output 5 2 11 3 2" xfId="37203"/>
    <cellStyle name="Output 5 2 11 4" xfId="32590"/>
    <cellStyle name="Output 5 2 12" xfId="12413"/>
    <cellStyle name="Output 5 2 12 2" xfId="12414"/>
    <cellStyle name="Output 5 2 12 2 2" xfId="23215"/>
    <cellStyle name="Output 5 2 12 2 2 2" xfId="43283"/>
    <cellStyle name="Output 5 2 12 2 3" xfId="32593"/>
    <cellStyle name="Output 5 2 12 3" xfId="17307"/>
    <cellStyle name="Output 5 2 12 3 2" xfId="37375"/>
    <cellStyle name="Output 5 2 12 4" xfId="32592"/>
    <cellStyle name="Output 5 2 13" xfId="12415"/>
    <cellStyle name="Output 5 2 13 2" xfId="12416"/>
    <cellStyle name="Output 5 2 13 2 2" xfId="23216"/>
    <cellStyle name="Output 5 2 13 2 2 2" xfId="43284"/>
    <cellStyle name="Output 5 2 13 2 3" xfId="32595"/>
    <cellStyle name="Output 5 2 13 3" xfId="17471"/>
    <cellStyle name="Output 5 2 13 3 2" xfId="37539"/>
    <cellStyle name="Output 5 2 13 4" xfId="32594"/>
    <cellStyle name="Output 5 2 14" xfId="12417"/>
    <cellStyle name="Output 5 2 14 2" xfId="12418"/>
    <cellStyle name="Output 5 2 14 2 2" xfId="23217"/>
    <cellStyle name="Output 5 2 14 2 2 2" xfId="43285"/>
    <cellStyle name="Output 5 2 14 2 3" xfId="32597"/>
    <cellStyle name="Output 5 2 14 3" xfId="17597"/>
    <cellStyle name="Output 5 2 14 3 2" xfId="37665"/>
    <cellStyle name="Output 5 2 14 4" xfId="32596"/>
    <cellStyle name="Output 5 2 15" xfId="12419"/>
    <cellStyle name="Output 5 2 15 2" xfId="12420"/>
    <cellStyle name="Output 5 2 15 2 2" xfId="23218"/>
    <cellStyle name="Output 5 2 15 2 2 2" xfId="43286"/>
    <cellStyle name="Output 5 2 15 2 3" xfId="32599"/>
    <cellStyle name="Output 5 2 15 3" xfId="17009"/>
    <cellStyle name="Output 5 2 15 3 2" xfId="37077"/>
    <cellStyle name="Output 5 2 15 4" xfId="32598"/>
    <cellStyle name="Output 5 2 16" xfId="12421"/>
    <cellStyle name="Output 5 2 16 2" xfId="12422"/>
    <cellStyle name="Output 5 2 16 2 2" xfId="23219"/>
    <cellStyle name="Output 5 2 16 2 2 2" xfId="43287"/>
    <cellStyle name="Output 5 2 16 2 3" xfId="32601"/>
    <cellStyle name="Output 5 2 16 3" xfId="17847"/>
    <cellStyle name="Output 5 2 16 3 2" xfId="37915"/>
    <cellStyle name="Output 5 2 16 4" xfId="32600"/>
    <cellStyle name="Output 5 2 17" xfId="12423"/>
    <cellStyle name="Output 5 2 17 2" xfId="12424"/>
    <cellStyle name="Output 5 2 17 2 2" xfId="23220"/>
    <cellStyle name="Output 5 2 17 2 2 2" xfId="43288"/>
    <cellStyle name="Output 5 2 17 2 3" xfId="32603"/>
    <cellStyle name="Output 5 2 17 3" xfId="17985"/>
    <cellStyle name="Output 5 2 17 3 2" xfId="38053"/>
    <cellStyle name="Output 5 2 17 4" xfId="32602"/>
    <cellStyle name="Output 5 2 18" xfId="12425"/>
    <cellStyle name="Output 5 2 18 2" xfId="12426"/>
    <cellStyle name="Output 5 2 18 2 2" xfId="23221"/>
    <cellStyle name="Output 5 2 18 2 2 2" xfId="43289"/>
    <cellStyle name="Output 5 2 18 2 3" xfId="32605"/>
    <cellStyle name="Output 5 2 18 3" xfId="18124"/>
    <cellStyle name="Output 5 2 18 3 2" xfId="38192"/>
    <cellStyle name="Output 5 2 18 4" xfId="32604"/>
    <cellStyle name="Output 5 2 19" xfId="12427"/>
    <cellStyle name="Output 5 2 19 2" xfId="12428"/>
    <cellStyle name="Output 5 2 19 2 2" xfId="23222"/>
    <cellStyle name="Output 5 2 19 2 2 2" xfId="43290"/>
    <cellStyle name="Output 5 2 19 2 3" xfId="32607"/>
    <cellStyle name="Output 5 2 19 3" xfId="18242"/>
    <cellStyle name="Output 5 2 19 3 2" xfId="38310"/>
    <cellStyle name="Output 5 2 19 4" xfId="32606"/>
    <cellStyle name="Output 5 2 2" xfId="12429"/>
    <cellStyle name="Output 5 2 2 2" xfId="12430"/>
    <cellStyle name="Output 5 2 2 2 2" xfId="23223"/>
    <cellStyle name="Output 5 2 2 2 2 2" xfId="43291"/>
    <cellStyle name="Output 5 2 2 2 3" xfId="32609"/>
    <cellStyle name="Output 5 2 2 3" xfId="14710"/>
    <cellStyle name="Output 5 2 2 3 2" xfId="34778"/>
    <cellStyle name="Output 5 2 2 4" xfId="32608"/>
    <cellStyle name="Output 5 2 20" xfId="12431"/>
    <cellStyle name="Output 5 2 20 2" xfId="12432"/>
    <cellStyle name="Output 5 2 20 2 2" xfId="23224"/>
    <cellStyle name="Output 5 2 20 2 2 2" xfId="43292"/>
    <cellStyle name="Output 5 2 20 2 3" xfId="32611"/>
    <cellStyle name="Output 5 2 20 3" xfId="18317"/>
    <cellStyle name="Output 5 2 20 3 2" xfId="38385"/>
    <cellStyle name="Output 5 2 20 4" xfId="32610"/>
    <cellStyle name="Output 5 2 21" xfId="12433"/>
    <cellStyle name="Output 5 2 21 2" xfId="12434"/>
    <cellStyle name="Output 5 2 21 2 2" xfId="23225"/>
    <cellStyle name="Output 5 2 21 2 2 2" xfId="43293"/>
    <cellStyle name="Output 5 2 21 2 3" xfId="32613"/>
    <cellStyle name="Output 5 2 21 3" xfId="18447"/>
    <cellStyle name="Output 5 2 21 3 2" xfId="38515"/>
    <cellStyle name="Output 5 2 21 4" xfId="32612"/>
    <cellStyle name="Output 5 2 22" xfId="12435"/>
    <cellStyle name="Output 5 2 22 2" xfId="12436"/>
    <cellStyle name="Output 5 2 22 2 2" xfId="23226"/>
    <cellStyle name="Output 5 2 22 2 2 2" xfId="43294"/>
    <cellStyle name="Output 5 2 22 2 3" xfId="32615"/>
    <cellStyle name="Output 5 2 22 3" xfId="18580"/>
    <cellStyle name="Output 5 2 22 3 2" xfId="38648"/>
    <cellStyle name="Output 5 2 22 4" xfId="32614"/>
    <cellStyle name="Output 5 2 23" xfId="12437"/>
    <cellStyle name="Output 5 2 23 2" xfId="12438"/>
    <cellStyle name="Output 5 2 23 2 2" xfId="23227"/>
    <cellStyle name="Output 5 2 23 2 2 2" xfId="43295"/>
    <cellStyle name="Output 5 2 23 2 3" xfId="32617"/>
    <cellStyle name="Output 5 2 23 3" xfId="18691"/>
    <cellStyle name="Output 5 2 23 3 2" xfId="38759"/>
    <cellStyle name="Output 5 2 23 4" xfId="32616"/>
    <cellStyle name="Output 5 2 24" xfId="12439"/>
    <cellStyle name="Output 5 2 24 2" xfId="12440"/>
    <cellStyle name="Output 5 2 24 2 2" xfId="23228"/>
    <cellStyle name="Output 5 2 24 2 2 2" xfId="43296"/>
    <cellStyle name="Output 5 2 24 2 3" xfId="32619"/>
    <cellStyle name="Output 5 2 24 3" xfId="18791"/>
    <cellStyle name="Output 5 2 24 3 2" xfId="38859"/>
    <cellStyle name="Output 5 2 24 4" xfId="32618"/>
    <cellStyle name="Output 5 2 25" xfId="12441"/>
    <cellStyle name="Output 5 2 25 2" xfId="12442"/>
    <cellStyle name="Output 5 2 25 2 2" xfId="23229"/>
    <cellStyle name="Output 5 2 25 2 2 2" xfId="43297"/>
    <cellStyle name="Output 5 2 25 2 3" xfId="32621"/>
    <cellStyle name="Output 5 2 25 3" xfId="18891"/>
    <cellStyle name="Output 5 2 25 3 2" xfId="38959"/>
    <cellStyle name="Output 5 2 25 4" xfId="32620"/>
    <cellStyle name="Output 5 2 26" xfId="12443"/>
    <cellStyle name="Output 5 2 26 2" xfId="23212"/>
    <cellStyle name="Output 5 2 26 2 2" xfId="43280"/>
    <cellStyle name="Output 5 2 26 3" xfId="32622"/>
    <cellStyle name="Output 5 2 27" xfId="14099"/>
    <cellStyle name="Output 5 2 27 2" xfId="34167"/>
    <cellStyle name="Output 5 2 28" xfId="32587"/>
    <cellStyle name="Output 5 2 3" xfId="12444"/>
    <cellStyle name="Output 5 2 3 2" xfId="12445"/>
    <cellStyle name="Output 5 2 3 2 2" xfId="23230"/>
    <cellStyle name="Output 5 2 3 2 2 2" xfId="43298"/>
    <cellStyle name="Output 5 2 3 2 3" xfId="32624"/>
    <cellStyle name="Output 5 2 3 3" xfId="14834"/>
    <cellStyle name="Output 5 2 3 3 2" xfId="34902"/>
    <cellStyle name="Output 5 2 3 4" xfId="32623"/>
    <cellStyle name="Output 5 2 4" xfId="12446"/>
    <cellStyle name="Output 5 2 4 2" xfId="12447"/>
    <cellStyle name="Output 5 2 4 2 2" xfId="23231"/>
    <cellStyle name="Output 5 2 4 2 2 2" xfId="43299"/>
    <cellStyle name="Output 5 2 4 2 3" xfId="32626"/>
    <cellStyle name="Output 5 2 4 3" xfId="14959"/>
    <cellStyle name="Output 5 2 4 3 2" xfId="35027"/>
    <cellStyle name="Output 5 2 4 4" xfId="32625"/>
    <cellStyle name="Output 5 2 5" xfId="12448"/>
    <cellStyle name="Output 5 2 5 2" xfId="12449"/>
    <cellStyle name="Output 5 2 5 2 2" xfId="23232"/>
    <cellStyle name="Output 5 2 5 2 2 2" xfId="43300"/>
    <cellStyle name="Output 5 2 5 2 3" xfId="32628"/>
    <cellStyle name="Output 5 2 5 3" xfId="15128"/>
    <cellStyle name="Output 5 2 5 3 2" xfId="35196"/>
    <cellStyle name="Output 5 2 5 4" xfId="32627"/>
    <cellStyle name="Output 5 2 6" xfId="12450"/>
    <cellStyle name="Output 5 2 6 2" xfId="12451"/>
    <cellStyle name="Output 5 2 6 2 2" xfId="23233"/>
    <cellStyle name="Output 5 2 6 2 2 2" xfId="43301"/>
    <cellStyle name="Output 5 2 6 2 3" xfId="32630"/>
    <cellStyle name="Output 5 2 6 3" xfId="14532"/>
    <cellStyle name="Output 5 2 6 3 2" xfId="34600"/>
    <cellStyle name="Output 5 2 6 4" xfId="32629"/>
    <cellStyle name="Output 5 2 7" xfId="12452"/>
    <cellStyle name="Output 5 2 7 2" xfId="12453"/>
    <cellStyle name="Output 5 2 7 2 2" xfId="23234"/>
    <cellStyle name="Output 5 2 7 2 2 2" xfId="43302"/>
    <cellStyle name="Output 5 2 7 2 3" xfId="32632"/>
    <cellStyle name="Output 5 2 7 3" xfId="15260"/>
    <cellStyle name="Output 5 2 7 3 2" xfId="35328"/>
    <cellStyle name="Output 5 2 7 4" xfId="32631"/>
    <cellStyle name="Output 5 2 8" xfId="12454"/>
    <cellStyle name="Output 5 2 8 2" xfId="12455"/>
    <cellStyle name="Output 5 2 8 2 2" xfId="23235"/>
    <cellStyle name="Output 5 2 8 2 2 2" xfId="43303"/>
    <cellStyle name="Output 5 2 8 2 3" xfId="32634"/>
    <cellStyle name="Output 5 2 8 3" xfId="16625"/>
    <cellStyle name="Output 5 2 8 3 2" xfId="36693"/>
    <cellStyle name="Output 5 2 8 4" xfId="32633"/>
    <cellStyle name="Output 5 2 9" xfId="12456"/>
    <cellStyle name="Output 5 2 9 2" xfId="12457"/>
    <cellStyle name="Output 5 2 9 2 2" xfId="23236"/>
    <cellStyle name="Output 5 2 9 2 2 2" xfId="43304"/>
    <cellStyle name="Output 5 2 9 2 3" xfId="32636"/>
    <cellStyle name="Output 5 2 9 3" xfId="16829"/>
    <cellStyle name="Output 5 2 9 3 2" xfId="36897"/>
    <cellStyle name="Output 5 2 9 4" xfId="32635"/>
    <cellStyle name="Output 5 20" xfId="12458"/>
    <cellStyle name="Output 5 20 2" xfId="12459"/>
    <cellStyle name="Output 5 20 2 2" xfId="23237"/>
    <cellStyle name="Output 5 20 2 2 2" xfId="43305"/>
    <cellStyle name="Output 5 20 2 3" xfId="32638"/>
    <cellStyle name="Output 5 20 3" xfId="18015"/>
    <cellStyle name="Output 5 20 3 2" xfId="38083"/>
    <cellStyle name="Output 5 20 4" xfId="32637"/>
    <cellStyle name="Output 5 21" xfId="12460"/>
    <cellStyle name="Output 5 21 2" xfId="12461"/>
    <cellStyle name="Output 5 21 2 2" xfId="23238"/>
    <cellStyle name="Output 5 21 2 2 2" xfId="43306"/>
    <cellStyle name="Output 5 21 2 3" xfId="32640"/>
    <cellStyle name="Output 5 21 3" xfId="16894"/>
    <cellStyle name="Output 5 21 3 2" xfId="36962"/>
    <cellStyle name="Output 5 21 4" xfId="32639"/>
    <cellStyle name="Output 5 22" xfId="12462"/>
    <cellStyle name="Output 5 22 2" xfId="12463"/>
    <cellStyle name="Output 5 22 2 2" xfId="23239"/>
    <cellStyle name="Output 5 22 2 2 2" xfId="43307"/>
    <cellStyle name="Output 5 22 2 3" xfId="32642"/>
    <cellStyle name="Output 5 22 3" xfId="16500"/>
    <cellStyle name="Output 5 22 3 2" xfId="36568"/>
    <cellStyle name="Output 5 22 4" xfId="32641"/>
    <cellStyle name="Output 5 23" xfId="12464"/>
    <cellStyle name="Output 5 23 2" xfId="12465"/>
    <cellStyle name="Output 5 23 2 2" xfId="23240"/>
    <cellStyle name="Output 5 23 2 2 2" xfId="43308"/>
    <cellStyle name="Output 5 23 2 3" xfId="32644"/>
    <cellStyle name="Output 5 23 3" xfId="16185"/>
    <cellStyle name="Output 5 23 3 2" xfId="36253"/>
    <cellStyle name="Output 5 23 4" xfId="32643"/>
    <cellStyle name="Output 5 24" xfId="12466"/>
    <cellStyle name="Output 5 24 2" xfId="12467"/>
    <cellStyle name="Output 5 24 2 2" xfId="23241"/>
    <cellStyle name="Output 5 24 2 2 2" xfId="43309"/>
    <cellStyle name="Output 5 24 2 3" xfId="32646"/>
    <cellStyle name="Output 5 24 3" xfId="18475"/>
    <cellStyle name="Output 5 24 3 2" xfId="38543"/>
    <cellStyle name="Output 5 24 4" xfId="32645"/>
    <cellStyle name="Output 5 25" xfId="12468"/>
    <cellStyle name="Output 5 25 2" xfId="12469"/>
    <cellStyle name="Output 5 25 2 2" xfId="23242"/>
    <cellStyle name="Output 5 25 2 2 2" xfId="43310"/>
    <cellStyle name="Output 5 25 2 3" xfId="32648"/>
    <cellStyle name="Output 5 25 3" xfId="17736"/>
    <cellStyle name="Output 5 25 3 2" xfId="37804"/>
    <cellStyle name="Output 5 25 4" xfId="32647"/>
    <cellStyle name="Output 5 26" xfId="12470"/>
    <cellStyle name="Output 5 26 2" xfId="12471"/>
    <cellStyle name="Output 5 26 2 2" xfId="23243"/>
    <cellStyle name="Output 5 26 2 2 2" xfId="43311"/>
    <cellStyle name="Output 5 26 2 3" xfId="32650"/>
    <cellStyle name="Output 5 26 3" xfId="15458"/>
    <cellStyle name="Output 5 26 3 2" xfId="35526"/>
    <cellStyle name="Output 5 26 4" xfId="32649"/>
    <cellStyle name="Output 5 27" xfId="12472"/>
    <cellStyle name="Output 5 27 2" xfId="12473"/>
    <cellStyle name="Output 5 27 2 2" xfId="23244"/>
    <cellStyle name="Output 5 27 2 2 2" xfId="43312"/>
    <cellStyle name="Output 5 27 2 3" xfId="32652"/>
    <cellStyle name="Output 5 27 3" xfId="16254"/>
    <cellStyle name="Output 5 27 3 2" xfId="36322"/>
    <cellStyle name="Output 5 27 4" xfId="32651"/>
    <cellStyle name="Output 5 28" xfId="12474"/>
    <cellStyle name="Output 5 28 2" xfId="23201"/>
    <cellStyle name="Output 5 28 2 2" xfId="43269"/>
    <cellStyle name="Output 5 28 3" xfId="32653"/>
    <cellStyle name="Output 5 29" xfId="13941"/>
    <cellStyle name="Output 5 29 2" xfId="34009"/>
    <cellStyle name="Output 5 3" xfId="12475"/>
    <cellStyle name="Output 5 3 2" xfId="12476"/>
    <cellStyle name="Output 5 3 2 2" xfId="23245"/>
    <cellStyle name="Output 5 3 2 2 2" xfId="43313"/>
    <cellStyle name="Output 5 3 2 3" xfId="32655"/>
    <cellStyle name="Output 5 3 3" xfId="14517"/>
    <cellStyle name="Output 5 3 3 2" xfId="34585"/>
    <cellStyle name="Output 5 3 4" xfId="32654"/>
    <cellStyle name="Output 5 30" xfId="32566"/>
    <cellStyle name="Output 5 4" xfId="12477"/>
    <cellStyle name="Output 5 4 2" xfId="12478"/>
    <cellStyle name="Output 5 4 2 2" xfId="23246"/>
    <cellStyle name="Output 5 4 2 2 2" xfId="43314"/>
    <cellStyle name="Output 5 4 2 3" xfId="32657"/>
    <cellStyle name="Output 5 4 3" xfId="14170"/>
    <cellStyle name="Output 5 4 3 2" xfId="34238"/>
    <cellStyle name="Output 5 4 4" xfId="32656"/>
    <cellStyle name="Output 5 5" xfId="12479"/>
    <cellStyle name="Output 5 5 2" xfId="12480"/>
    <cellStyle name="Output 5 5 2 2" xfId="23247"/>
    <cellStyle name="Output 5 5 2 2 2" xfId="43315"/>
    <cellStyle name="Output 5 5 2 3" xfId="32659"/>
    <cellStyle name="Output 5 5 3" xfId="14028"/>
    <cellStyle name="Output 5 5 3 2" xfId="34096"/>
    <cellStyle name="Output 5 5 4" xfId="32658"/>
    <cellStyle name="Output 5 6" xfId="12481"/>
    <cellStyle name="Output 5 6 2" xfId="12482"/>
    <cellStyle name="Output 5 6 2 2" xfId="23248"/>
    <cellStyle name="Output 5 6 2 2 2" xfId="43316"/>
    <cellStyle name="Output 5 6 2 3" xfId="32661"/>
    <cellStyle name="Output 5 6 3" xfId="14994"/>
    <cellStyle name="Output 5 6 3 2" xfId="35062"/>
    <cellStyle name="Output 5 6 4" xfId="32660"/>
    <cellStyle name="Output 5 7" xfId="12483"/>
    <cellStyle name="Output 5 7 2" xfId="12484"/>
    <cellStyle name="Output 5 7 2 2" xfId="23249"/>
    <cellStyle name="Output 5 7 2 2 2" xfId="43317"/>
    <cellStyle name="Output 5 7 2 3" xfId="32663"/>
    <cellStyle name="Output 5 7 3" xfId="14408"/>
    <cellStyle name="Output 5 7 3 2" xfId="34476"/>
    <cellStyle name="Output 5 7 4" xfId="32662"/>
    <cellStyle name="Output 5 8" xfId="12485"/>
    <cellStyle name="Output 5 8 2" xfId="12486"/>
    <cellStyle name="Output 5 8 2 2" xfId="23250"/>
    <cellStyle name="Output 5 8 2 2 2" xfId="43318"/>
    <cellStyle name="Output 5 8 2 3" xfId="32665"/>
    <cellStyle name="Output 5 8 3" xfId="15168"/>
    <cellStyle name="Output 5 8 3 2" xfId="35236"/>
    <cellStyle name="Output 5 8 4" xfId="32664"/>
    <cellStyle name="Output 5 9" xfId="12487"/>
    <cellStyle name="Output 5 9 2" xfId="12488"/>
    <cellStyle name="Output 5 9 2 2" xfId="23251"/>
    <cellStyle name="Output 5 9 2 2 2" xfId="43319"/>
    <cellStyle name="Output 5 9 2 3" xfId="32667"/>
    <cellStyle name="Output 5 9 3" xfId="15347"/>
    <cellStyle name="Output 5 9 3 2" xfId="35415"/>
    <cellStyle name="Output 5 9 4" xfId="32666"/>
    <cellStyle name="Output 6" xfId="12489"/>
    <cellStyle name="Output 6 2" xfId="12490"/>
    <cellStyle name="Output 6 2 2" xfId="12491"/>
    <cellStyle name="Output 6 2 2 2" xfId="23253"/>
    <cellStyle name="Output 6 2 2 2 2" xfId="43321"/>
    <cellStyle name="Output 6 2 2 3" xfId="32670"/>
    <cellStyle name="Output 6 2 3" xfId="15366"/>
    <cellStyle name="Output 6 2 3 2" xfId="35434"/>
    <cellStyle name="Output 6 2 4" xfId="32669"/>
    <cellStyle name="Output 6 3" xfId="12492"/>
    <cellStyle name="Output 6 3 2" xfId="23252"/>
    <cellStyle name="Output 6 3 2 2" xfId="43320"/>
    <cellStyle name="Output 6 3 3" xfId="32671"/>
    <cellStyle name="Output 6 4" xfId="13960"/>
    <cellStyle name="Output 6 4 2" xfId="34028"/>
    <cellStyle name="Output 6 5" xfId="32668"/>
    <cellStyle name="Output 7" xfId="12493"/>
    <cellStyle name="Output 7 2" xfId="12494"/>
    <cellStyle name="Output 7 2 2" xfId="12495"/>
    <cellStyle name="Output 7 2 2 2" xfId="23255"/>
    <cellStyle name="Output 7 2 2 2 2" xfId="43323"/>
    <cellStyle name="Output 7 2 2 3" xfId="32674"/>
    <cellStyle name="Output 7 2 3" xfId="15367"/>
    <cellStyle name="Output 7 2 3 2" xfId="35435"/>
    <cellStyle name="Output 7 2 4" xfId="32673"/>
    <cellStyle name="Output 7 3" xfId="12496"/>
    <cellStyle name="Output 7 3 2" xfId="23254"/>
    <cellStyle name="Output 7 3 2 2" xfId="43322"/>
    <cellStyle name="Output 7 3 3" xfId="32675"/>
    <cellStyle name="Output 7 4" xfId="13961"/>
    <cellStyle name="Output 7 4 2" xfId="34029"/>
    <cellStyle name="Output 7 5" xfId="32672"/>
    <cellStyle name="Percent 10" xfId="12497"/>
    <cellStyle name="Percent 2" xfId="12498"/>
    <cellStyle name="Percent 2 2" xfId="12499"/>
    <cellStyle name="Percent 2 3" xfId="12500"/>
    <cellStyle name="Percent 2 4" xfId="12501"/>
    <cellStyle name="Percent 2 5" xfId="12502"/>
    <cellStyle name="Percent 3" xfId="12503"/>
    <cellStyle name="Percent 3 2" xfId="12504"/>
    <cellStyle name="Percent 3 3" xfId="12505"/>
    <cellStyle name="Percent 3 4" xfId="12506"/>
    <cellStyle name="Percent 3 5" xfId="12507"/>
    <cellStyle name="Percent 4" xfId="12508"/>
    <cellStyle name="Percent 4 2" xfId="12509"/>
    <cellStyle name="Percent 4 3" xfId="12510"/>
    <cellStyle name="Percent 4 4" xfId="12511"/>
    <cellStyle name="Percent 4 5" xfId="12512"/>
    <cellStyle name="Percent 5" xfId="12513"/>
    <cellStyle name="Percent 5 2" xfId="12514"/>
    <cellStyle name="Percent 5 3" xfId="12515"/>
    <cellStyle name="Percent 6" xfId="12516"/>
    <cellStyle name="Percent 6 2" xfId="12517"/>
    <cellStyle name="Percent 6 2 2" xfId="12518"/>
    <cellStyle name="Percent 6 2 2 2" xfId="12519"/>
    <cellStyle name="Percent 6 2 3" xfId="12520"/>
    <cellStyle name="Percent 6 3" xfId="12521"/>
    <cellStyle name="Percent 6 3 2" xfId="12522"/>
    <cellStyle name="Percent 6 3 2 2" xfId="12523"/>
    <cellStyle name="Percent 6 3 3" xfId="12524"/>
    <cellStyle name="Percent 6 4" xfId="12525"/>
    <cellStyle name="Percent 6 4 2" xfId="12526"/>
    <cellStyle name="Percent 6 5" xfId="12527"/>
    <cellStyle name="Percent 6 5 2" xfId="12528"/>
    <cellStyle name="Percent 6 6" xfId="12529"/>
    <cellStyle name="Percent 7" xfId="12530"/>
    <cellStyle name="Percent 7 2" xfId="12531"/>
    <cellStyle name="Percent 7 3" xfId="12532"/>
    <cellStyle name="Percent 7 4" xfId="12533"/>
    <cellStyle name="Percent 8" xfId="12534"/>
    <cellStyle name="Percent 8 2" xfId="12535"/>
    <cellStyle name="Percent 8 2 2" xfId="12536"/>
    <cellStyle name="Percent 8 2 2 2" xfId="12537"/>
    <cellStyle name="Percent 8 2 3" xfId="12538"/>
    <cellStyle name="Percent 8 3" xfId="12539"/>
    <cellStyle name="Percent 8 3 2" xfId="12540"/>
    <cellStyle name="Percent 8 3 2 2" xfId="12541"/>
    <cellStyle name="Percent 8 3 3" xfId="12542"/>
    <cellStyle name="Percent 8 4" xfId="12543"/>
    <cellStyle name="Percent 8 4 2" xfId="12544"/>
    <cellStyle name="Percent 8 5" xfId="12545"/>
    <cellStyle name="Percent 8 5 2" xfId="12546"/>
    <cellStyle name="Percent 8 6" xfId="12547"/>
    <cellStyle name="Percent 9" xfId="12548"/>
    <cellStyle name="PSChar" xfId="12549"/>
    <cellStyle name="PSChar 2" xfId="12550"/>
    <cellStyle name="PSChar 3" xfId="12551"/>
    <cellStyle name="Sageimport" xfId="12552"/>
    <cellStyle name="Sageimport 2" xfId="12553"/>
    <cellStyle name="Sageimport 3" xfId="12554"/>
    <cellStyle name="Satisfaisant" xfId="12555"/>
    <cellStyle name="Sortie" xfId="12556"/>
    <cellStyle name="Sortie 10" xfId="12557"/>
    <cellStyle name="Sortie 10 2" xfId="12558"/>
    <cellStyle name="Sortie 10 2 2" xfId="23257"/>
    <cellStyle name="Sortie 10 2 2 2" xfId="43325"/>
    <cellStyle name="Sortie 10 2 3" xfId="32678"/>
    <cellStyle name="Sortie 10 3" xfId="15564"/>
    <cellStyle name="Sortie 10 3 2" xfId="35632"/>
    <cellStyle name="Sortie 10 4" xfId="32677"/>
    <cellStyle name="Sortie 11" xfId="12559"/>
    <cellStyle name="Sortie 11 2" xfId="12560"/>
    <cellStyle name="Sortie 11 2 2" xfId="23258"/>
    <cellStyle name="Sortie 11 2 2 2" xfId="43326"/>
    <cellStyle name="Sortie 11 2 3" xfId="32680"/>
    <cellStyle name="Sortie 11 3" xfId="16301"/>
    <cellStyle name="Sortie 11 3 2" xfId="36369"/>
    <cellStyle name="Sortie 11 4" xfId="32679"/>
    <cellStyle name="Sortie 12" xfId="12561"/>
    <cellStyle name="Sortie 12 2" xfId="12562"/>
    <cellStyle name="Sortie 12 2 2" xfId="23259"/>
    <cellStyle name="Sortie 12 2 2 2" xfId="43327"/>
    <cellStyle name="Sortie 12 2 3" xfId="32682"/>
    <cellStyle name="Sortie 12 3" xfId="15856"/>
    <cellStyle name="Sortie 12 3 2" xfId="35924"/>
    <cellStyle name="Sortie 12 4" xfId="32681"/>
    <cellStyle name="Sortie 13" xfId="12563"/>
    <cellStyle name="Sortie 13 2" xfId="12564"/>
    <cellStyle name="Sortie 13 2 2" xfId="23260"/>
    <cellStyle name="Sortie 13 2 2 2" xfId="43328"/>
    <cellStyle name="Sortie 13 2 3" xfId="32684"/>
    <cellStyle name="Sortie 13 3" xfId="15586"/>
    <cellStyle name="Sortie 13 3 2" xfId="35654"/>
    <cellStyle name="Sortie 13 4" xfId="32683"/>
    <cellStyle name="Sortie 14" xfId="12565"/>
    <cellStyle name="Sortie 14 2" xfId="12566"/>
    <cellStyle name="Sortie 14 2 2" xfId="23261"/>
    <cellStyle name="Sortie 14 2 2 2" xfId="43329"/>
    <cellStyle name="Sortie 14 2 3" xfId="32686"/>
    <cellStyle name="Sortie 14 3" xfId="15592"/>
    <cellStyle name="Sortie 14 3 2" xfId="35660"/>
    <cellStyle name="Sortie 14 4" xfId="32685"/>
    <cellStyle name="Sortie 15" xfId="12567"/>
    <cellStyle name="Sortie 15 2" xfId="12568"/>
    <cellStyle name="Sortie 15 2 2" xfId="23262"/>
    <cellStyle name="Sortie 15 2 2 2" xfId="43330"/>
    <cellStyle name="Sortie 15 2 3" xfId="32688"/>
    <cellStyle name="Sortie 15 3" xfId="15992"/>
    <cellStyle name="Sortie 15 3 2" xfId="36060"/>
    <cellStyle name="Sortie 15 4" xfId="32687"/>
    <cellStyle name="Sortie 16" xfId="12569"/>
    <cellStyle name="Sortie 16 2" xfId="12570"/>
    <cellStyle name="Sortie 16 2 2" xfId="23263"/>
    <cellStyle name="Sortie 16 2 2 2" xfId="43331"/>
    <cellStyle name="Sortie 16 2 3" xfId="32690"/>
    <cellStyle name="Sortie 16 3" xfId="17002"/>
    <cellStyle name="Sortie 16 3 2" xfId="37070"/>
    <cellStyle name="Sortie 16 4" xfId="32689"/>
    <cellStyle name="Sortie 17" xfId="12571"/>
    <cellStyle name="Sortie 17 2" xfId="12572"/>
    <cellStyle name="Sortie 17 2 2" xfId="23264"/>
    <cellStyle name="Sortie 17 2 2 2" xfId="43332"/>
    <cellStyle name="Sortie 17 2 3" xfId="32692"/>
    <cellStyle name="Sortie 17 3" xfId="17373"/>
    <cellStyle name="Sortie 17 3 2" xfId="37441"/>
    <cellStyle name="Sortie 17 4" xfId="32691"/>
    <cellStyle name="Sortie 18" xfId="12573"/>
    <cellStyle name="Sortie 18 2" xfId="12574"/>
    <cellStyle name="Sortie 18 2 2" xfId="23265"/>
    <cellStyle name="Sortie 18 2 2 2" xfId="43333"/>
    <cellStyle name="Sortie 18 2 3" xfId="32694"/>
    <cellStyle name="Sortie 18 3" xfId="17017"/>
    <cellStyle name="Sortie 18 3 2" xfId="37085"/>
    <cellStyle name="Sortie 18 4" xfId="32693"/>
    <cellStyle name="Sortie 19" xfId="12575"/>
    <cellStyle name="Sortie 19 2" xfId="12576"/>
    <cellStyle name="Sortie 19 2 2" xfId="23266"/>
    <cellStyle name="Sortie 19 2 2 2" xfId="43334"/>
    <cellStyle name="Sortie 19 2 3" xfId="32696"/>
    <cellStyle name="Sortie 19 3" xfId="16286"/>
    <cellStyle name="Sortie 19 3 2" xfId="36354"/>
    <cellStyle name="Sortie 19 4" xfId="32695"/>
    <cellStyle name="Sortie 2" xfId="12577"/>
    <cellStyle name="Sortie 2 10" xfId="12578"/>
    <cellStyle name="Sortie 2 10 2" xfId="12579"/>
    <cellStyle name="Sortie 2 10 2 2" xfId="23268"/>
    <cellStyle name="Sortie 2 10 2 2 2" xfId="43336"/>
    <cellStyle name="Sortie 2 10 2 3" xfId="32699"/>
    <cellStyle name="Sortie 2 10 3" xfId="16738"/>
    <cellStyle name="Sortie 2 10 3 2" xfId="36806"/>
    <cellStyle name="Sortie 2 10 4" xfId="32698"/>
    <cellStyle name="Sortie 2 11" xfId="12580"/>
    <cellStyle name="Sortie 2 11 2" xfId="12581"/>
    <cellStyle name="Sortie 2 11 2 2" xfId="23269"/>
    <cellStyle name="Sortie 2 11 2 2 2" xfId="43337"/>
    <cellStyle name="Sortie 2 11 2 3" xfId="32701"/>
    <cellStyle name="Sortie 2 11 3" xfId="16909"/>
    <cellStyle name="Sortie 2 11 3 2" xfId="36977"/>
    <cellStyle name="Sortie 2 11 4" xfId="32700"/>
    <cellStyle name="Sortie 2 12" xfId="12582"/>
    <cellStyle name="Sortie 2 12 2" xfId="12583"/>
    <cellStyle name="Sortie 2 12 2 2" xfId="23270"/>
    <cellStyle name="Sortie 2 12 2 2 2" xfId="43338"/>
    <cellStyle name="Sortie 2 12 2 3" xfId="32703"/>
    <cellStyle name="Sortie 2 12 3" xfId="17044"/>
    <cellStyle name="Sortie 2 12 3 2" xfId="37112"/>
    <cellStyle name="Sortie 2 12 4" xfId="32702"/>
    <cellStyle name="Sortie 2 13" xfId="12584"/>
    <cellStyle name="Sortie 2 13 2" xfId="12585"/>
    <cellStyle name="Sortie 2 13 2 2" xfId="23271"/>
    <cellStyle name="Sortie 2 13 2 2 2" xfId="43339"/>
    <cellStyle name="Sortie 2 13 2 3" xfId="32705"/>
    <cellStyle name="Sortie 2 13 3" xfId="17216"/>
    <cellStyle name="Sortie 2 13 3 2" xfId="37284"/>
    <cellStyle name="Sortie 2 13 4" xfId="32704"/>
    <cellStyle name="Sortie 2 14" xfId="12586"/>
    <cellStyle name="Sortie 2 14 2" xfId="12587"/>
    <cellStyle name="Sortie 2 14 2 2" xfId="23272"/>
    <cellStyle name="Sortie 2 14 2 2 2" xfId="43340"/>
    <cellStyle name="Sortie 2 14 2 3" xfId="32707"/>
    <cellStyle name="Sortie 2 14 3" xfId="17386"/>
    <cellStyle name="Sortie 2 14 3 2" xfId="37454"/>
    <cellStyle name="Sortie 2 14 4" xfId="32706"/>
    <cellStyle name="Sortie 2 15" xfId="12588"/>
    <cellStyle name="Sortie 2 15 2" xfId="12589"/>
    <cellStyle name="Sortie 2 15 2 2" xfId="23273"/>
    <cellStyle name="Sortie 2 15 2 2 2" xfId="43341"/>
    <cellStyle name="Sortie 2 15 2 3" xfId="32709"/>
    <cellStyle name="Sortie 2 15 3" xfId="17514"/>
    <cellStyle name="Sortie 2 15 3 2" xfId="37582"/>
    <cellStyle name="Sortie 2 15 4" xfId="32708"/>
    <cellStyle name="Sortie 2 16" xfId="12590"/>
    <cellStyle name="Sortie 2 16 2" xfId="12591"/>
    <cellStyle name="Sortie 2 16 2 2" xfId="23274"/>
    <cellStyle name="Sortie 2 16 2 2 2" xfId="43342"/>
    <cellStyle name="Sortie 2 16 2 3" xfId="32711"/>
    <cellStyle name="Sortie 2 16 3" xfId="15444"/>
    <cellStyle name="Sortie 2 16 3 2" xfId="35512"/>
    <cellStyle name="Sortie 2 16 4" xfId="32710"/>
    <cellStyle name="Sortie 2 17" xfId="12592"/>
    <cellStyle name="Sortie 2 17 2" xfId="12593"/>
    <cellStyle name="Sortie 2 17 2 2" xfId="23275"/>
    <cellStyle name="Sortie 2 17 2 2 2" xfId="43343"/>
    <cellStyle name="Sortie 2 17 2 3" xfId="32713"/>
    <cellStyle name="Sortie 2 17 3" xfId="17765"/>
    <cellStyle name="Sortie 2 17 3 2" xfId="37833"/>
    <cellStyle name="Sortie 2 17 4" xfId="32712"/>
    <cellStyle name="Sortie 2 18" xfId="12594"/>
    <cellStyle name="Sortie 2 18 2" xfId="12595"/>
    <cellStyle name="Sortie 2 18 2 2" xfId="23276"/>
    <cellStyle name="Sortie 2 18 2 2 2" xfId="43344"/>
    <cellStyle name="Sortie 2 18 2 3" xfId="32715"/>
    <cellStyle name="Sortie 2 18 3" xfId="17894"/>
    <cellStyle name="Sortie 2 18 3 2" xfId="37962"/>
    <cellStyle name="Sortie 2 18 4" xfId="32714"/>
    <cellStyle name="Sortie 2 19" xfId="12596"/>
    <cellStyle name="Sortie 2 19 2" xfId="12597"/>
    <cellStyle name="Sortie 2 19 2 2" xfId="23277"/>
    <cellStyle name="Sortie 2 19 2 2 2" xfId="43345"/>
    <cellStyle name="Sortie 2 19 2 3" xfId="32717"/>
    <cellStyle name="Sortie 2 19 3" xfId="18044"/>
    <cellStyle name="Sortie 2 19 3 2" xfId="38112"/>
    <cellStyle name="Sortie 2 19 4" xfId="32716"/>
    <cellStyle name="Sortie 2 2" xfId="12598"/>
    <cellStyle name="Sortie 2 2 2" xfId="12599"/>
    <cellStyle name="Sortie 2 2 2 2" xfId="23278"/>
    <cellStyle name="Sortie 2 2 2 2 2" xfId="43346"/>
    <cellStyle name="Sortie 2 2 2 3" xfId="32719"/>
    <cellStyle name="Sortie 2 2 3" xfId="14630"/>
    <cellStyle name="Sortie 2 2 3 2" xfId="34698"/>
    <cellStyle name="Sortie 2 2 4" xfId="32718"/>
    <cellStyle name="Sortie 2 20" xfId="12600"/>
    <cellStyle name="Sortie 2 20 2" xfId="12601"/>
    <cellStyle name="Sortie 2 20 2 2" xfId="23279"/>
    <cellStyle name="Sortie 2 20 2 2 2" xfId="43347"/>
    <cellStyle name="Sortie 2 20 2 3" xfId="32721"/>
    <cellStyle name="Sortie 2 20 3" xfId="18161"/>
    <cellStyle name="Sortie 2 20 3 2" xfId="38229"/>
    <cellStyle name="Sortie 2 20 4" xfId="32720"/>
    <cellStyle name="Sortie 2 21" xfId="12602"/>
    <cellStyle name="Sortie 2 21 2" xfId="12603"/>
    <cellStyle name="Sortie 2 21 2 2" xfId="23280"/>
    <cellStyle name="Sortie 2 21 2 2 2" xfId="43348"/>
    <cellStyle name="Sortie 2 21 2 3" xfId="32723"/>
    <cellStyle name="Sortie 2 21 3" xfId="15452"/>
    <cellStyle name="Sortie 2 21 3 2" xfId="35520"/>
    <cellStyle name="Sortie 2 21 4" xfId="32722"/>
    <cellStyle name="Sortie 2 22" xfId="12604"/>
    <cellStyle name="Sortie 2 22 2" xfId="12605"/>
    <cellStyle name="Sortie 2 22 2 2" xfId="23281"/>
    <cellStyle name="Sortie 2 22 2 2 2" xfId="43349"/>
    <cellStyle name="Sortie 2 22 2 3" xfId="32725"/>
    <cellStyle name="Sortie 2 22 3" xfId="18356"/>
    <cellStyle name="Sortie 2 22 3 2" xfId="38424"/>
    <cellStyle name="Sortie 2 22 4" xfId="32724"/>
    <cellStyle name="Sortie 2 23" xfId="12606"/>
    <cellStyle name="Sortie 2 23 2" xfId="12607"/>
    <cellStyle name="Sortie 2 23 2 2" xfId="23282"/>
    <cellStyle name="Sortie 2 23 2 2 2" xfId="43350"/>
    <cellStyle name="Sortie 2 23 2 3" xfId="32727"/>
    <cellStyle name="Sortie 2 23 3" xfId="18500"/>
    <cellStyle name="Sortie 2 23 3 2" xfId="38568"/>
    <cellStyle name="Sortie 2 23 4" xfId="32726"/>
    <cellStyle name="Sortie 2 24" xfId="12608"/>
    <cellStyle name="Sortie 2 24 2" xfId="12609"/>
    <cellStyle name="Sortie 2 24 2 2" xfId="23283"/>
    <cellStyle name="Sortie 2 24 2 2 2" xfId="43351"/>
    <cellStyle name="Sortie 2 24 2 3" xfId="32729"/>
    <cellStyle name="Sortie 2 24 3" xfId="18611"/>
    <cellStyle name="Sortie 2 24 3 2" xfId="38679"/>
    <cellStyle name="Sortie 2 24 4" xfId="32728"/>
    <cellStyle name="Sortie 2 25" xfId="12610"/>
    <cellStyle name="Sortie 2 25 2" xfId="12611"/>
    <cellStyle name="Sortie 2 25 2 2" xfId="23284"/>
    <cellStyle name="Sortie 2 25 2 2 2" xfId="43352"/>
    <cellStyle name="Sortie 2 25 2 3" xfId="32731"/>
    <cellStyle name="Sortie 2 25 3" xfId="18711"/>
    <cellStyle name="Sortie 2 25 3 2" xfId="38779"/>
    <cellStyle name="Sortie 2 25 4" xfId="32730"/>
    <cellStyle name="Sortie 2 26" xfId="12612"/>
    <cellStyle name="Sortie 2 26 2" xfId="12613"/>
    <cellStyle name="Sortie 2 26 2 2" xfId="23285"/>
    <cellStyle name="Sortie 2 26 2 2 2" xfId="43353"/>
    <cellStyle name="Sortie 2 26 2 3" xfId="32733"/>
    <cellStyle name="Sortie 2 26 3" xfId="18811"/>
    <cellStyle name="Sortie 2 26 3 2" xfId="38879"/>
    <cellStyle name="Sortie 2 26 4" xfId="32732"/>
    <cellStyle name="Sortie 2 27" xfId="12614"/>
    <cellStyle name="Sortie 2 27 2" xfId="23267"/>
    <cellStyle name="Sortie 2 27 2 2" xfId="43335"/>
    <cellStyle name="Sortie 2 27 3" xfId="32734"/>
    <cellStyle name="Sortie 2 28" xfId="13962"/>
    <cellStyle name="Sortie 2 28 2" xfId="34030"/>
    <cellStyle name="Sortie 2 29" xfId="32697"/>
    <cellStyle name="Sortie 2 3" xfId="12615"/>
    <cellStyle name="Sortie 2 3 2" xfId="12616"/>
    <cellStyle name="Sortie 2 3 2 2" xfId="23286"/>
    <cellStyle name="Sortie 2 3 2 2 2" xfId="43354"/>
    <cellStyle name="Sortie 2 3 2 3" xfId="32736"/>
    <cellStyle name="Sortie 2 3 3" xfId="14749"/>
    <cellStyle name="Sortie 2 3 3 2" xfId="34817"/>
    <cellStyle name="Sortie 2 3 4" xfId="32735"/>
    <cellStyle name="Sortie 2 4" xfId="12617"/>
    <cellStyle name="Sortie 2 4 2" xfId="12618"/>
    <cellStyle name="Sortie 2 4 2 2" xfId="23287"/>
    <cellStyle name="Sortie 2 4 2 2 2" xfId="43355"/>
    <cellStyle name="Sortie 2 4 2 3" xfId="32738"/>
    <cellStyle name="Sortie 2 4 3" xfId="14868"/>
    <cellStyle name="Sortie 2 4 3 2" xfId="34936"/>
    <cellStyle name="Sortie 2 4 4" xfId="32737"/>
    <cellStyle name="Sortie 2 5" xfId="12619"/>
    <cellStyle name="Sortie 2 5 2" xfId="12620"/>
    <cellStyle name="Sortie 2 5 2 2" xfId="23288"/>
    <cellStyle name="Sortie 2 5 2 2 2" xfId="43356"/>
    <cellStyle name="Sortie 2 5 2 3" xfId="32740"/>
    <cellStyle name="Sortie 2 5 3" xfId="15037"/>
    <cellStyle name="Sortie 2 5 3 2" xfId="35105"/>
    <cellStyle name="Sortie 2 5 4" xfId="32739"/>
    <cellStyle name="Sortie 2 6" xfId="12621"/>
    <cellStyle name="Sortie 2 6 2" xfId="12622"/>
    <cellStyle name="Sortie 2 6 2 2" xfId="23289"/>
    <cellStyle name="Sortie 2 6 2 2 2" xfId="43357"/>
    <cellStyle name="Sortie 2 6 2 3" xfId="32742"/>
    <cellStyle name="Sortie 2 6 3" xfId="15001"/>
    <cellStyle name="Sortie 2 6 3 2" xfId="35069"/>
    <cellStyle name="Sortie 2 6 4" xfId="32741"/>
    <cellStyle name="Sortie 2 7" xfId="12623"/>
    <cellStyle name="Sortie 2 7 2" xfId="12624"/>
    <cellStyle name="Sortie 2 7 2 2" xfId="23290"/>
    <cellStyle name="Sortie 2 7 2 2 2" xfId="43358"/>
    <cellStyle name="Sortie 2 7 2 3" xfId="32744"/>
    <cellStyle name="Sortie 2 7 3" xfId="15180"/>
    <cellStyle name="Sortie 2 7 3 2" xfId="35248"/>
    <cellStyle name="Sortie 2 7 4" xfId="32743"/>
    <cellStyle name="Sortie 2 8" xfId="12625"/>
    <cellStyle name="Sortie 2 8 2" xfId="12626"/>
    <cellStyle name="Sortie 2 8 2 2" xfId="23291"/>
    <cellStyle name="Sortie 2 8 2 2 2" xfId="43359"/>
    <cellStyle name="Sortie 2 8 2 3" xfId="32746"/>
    <cellStyle name="Sortie 2 8 3" xfId="15368"/>
    <cellStyle name="Sortie 2 8 3 2" xfId="35436"/>
    <cellStyle name="Sortie 2 8 4" xfId="32745"/>
    <cellStyle name="Sortie 2 9" xfId="12627"/>
    <cellStyle name="Sortie 2 9 2" xfId="12628"/>
    <cellStyle name="Sortie 2 9 2 2" xfId="23292"/>
    <cellStyle name="Sortie 2 9 2 2 2" xfId="43360"/>
    <cellStyle name="Sortie 2 9 2 3" xfId="32748"/>
    <cellStyle name="Sortie 2 9 3" xfId="16534"/>
    <cellStyle name="Sortie 2 9 3 2" xfId="36602"/>
    <cellStyle name="Sortie 2 9 4" xfId="32747"/>
    <cellStyle name="Sortie 20" xfId="12629"/>
    <cellStyle name="Sortie 20 2" xfId="12630"/>
    <cellStyle name="Sortie 20 2 2" xfId="23293"/>
    <cellStyle name="Sortie 20 2 2 2" xfId="43361"/>
    <cellStyle name="Sortie 20 2 3" xfId="32750"/>
    <cellStyle name="Sortie 20 3" xfId="16089"/>
    <cellStyle name="Sortie 20 3 2" xfId="36157"/>
    <cellStyle name="Sortie 20 4" xfId="32749"/>
    <cellStyle name="Sortie 21" xfId="12631"/>
    <cellStyle name="Sortie 21 2" xfId="12632"/>
    <cellStyle name="Sortie 21 2 2" xfId="23294"/>
    <cellStyle name="Sortie 21 2 2 2" xfId="43362"/>
    <cellStyle name="Sortie 21 2 3" xfId="32752"/>
    <cellStyle name="Sortie 21 3" xfId="17318"/>
    <cellStyle name="Sortie 21 3 2" xfId="37386"/>
    <cellStyle name="Sortie 21 4" xfId="32751"/>
    <cellStyle name="Sortie 22" xfId="12633"/>
    <cellStyle name="Sortie 22 2" xfId="12634"/>
    <cellStyle name="Sortie 22 2 2" xfId="23295"/>
    <cellStyle name="Sortie 22 2 2 2" xfId="43363"/>
    <cellStyle name="Sortie 22 2 3" xfId="32754"/>
    <cellStyle name="Sortie 22 3" xfId="18294"/>
    <cellStyle name="Sortie 22 3 2" xfId="38362"/>
    <cellStyle name="Sortie 22 4" xfId="32753"/>
    <cellStyle name="Sortie 23" xfId="12635"/>
    <cellStyle name="Sortie 23 2" xfId="12636"/>
    <cellStyle name="Sortie 23 2 2" xfId="23296"/>
    <cellStyle name="Sortie 23 2 2 2" xfId="43364"/>
    <cellStyle name="Sortie 23 2 3" xfId="32756"/>
    <cellStyle name="Sortie 23 3" xfId="18016"/>
    <cellStyle name="Sortie 23 3 2" xfId="38084"/>
    <cellStyle name="Sortie 23 4" xfId="32755"/>
    <cellStyle name="Sortie 24" xfId="12637"/>
    <cellStyle name="Sortie 24 2" xfId="12638"/>
    <cellStyle name="Sortie 24 2 2" xfId="23297"/>
    <cellStyle name="Sortie 24 2 2 2" xfId="43365"/>
    <cellStyle name="Sortie 24 2 3" xfId="32758"/>
    <cellStyle name="Sortie 24 3" xfId="16385"/>
    <cellStyle name="Sortie 24 3 2" xfId="36453"/>
    <cellStyle name="Sortie 24 4" xfId="32757"/>
    <cellStyle name="Sortie 25" xfId="12639"/>
    <cellStyle name="Sortie 25 2" xfId="12640"/>
    <cellStyle name="Sortie 25 2 2" xfId="23298"/>
    <cellStyle name="Sortie 25 2 2 2" xfId="43366"/>
    <cellStyle name="Sortie 25 2 3" xfId="32760"/>
    <cellStyle name="Sortie 25 3" xfId="18262"/>
    <cellStyle name="Sortie 25 3 2" xfId="38330"/>
    <cellStyle name="Sortie 25 4" xfId="32759"/>
    <cellStyle name="Sortie 26" xfId="12641"/>
    <cellStyle name="Sortie 26 2" xfId="12642"/>
    <cellStyle name="Sortie 26 2 2" xfId="23299"/>
    <cellStyle name="Sortie 26 2 2 2" xfId="43367"/>
    <cellStyle name="Sortie 26 2 3" xfId="32762"/>
    <cellStyle name="Sortie 26 3" xfId="15918"/>
    <cellStyle name="Sortie 26 3 2" xfId="35986"/>
    <cellStyle name="Sortie 26 4" xfId="32761"/>
    <cellStyle name="Sortie 27" xfId="12643"/>
    <cellStyle name="Sortie 27 2" xfId="12644"/>
    <cellStyle name="Sortie 27 2 2" xfId="23300"/>
    <cellStyle name="Sortie 27 2 2 2" xfId="43368"/>
    <cellStyle name="Sortie 27 2 3" xfId="32764"/>
    <cellStyle name="Sortie 27 3" xfId="15944"/>
    <cellStyle name="Sortie 27 3 2" xfId="36012"/>
    <cellStyle name="Sortie 27 4" xfId="32763"/>
    <cellStyle name="Sortie 28" xfId="12645"/>
    <cellStyle name="Sortie 28 2" xfId="23256"/>
    <cellStyle name="Sortie 28 2 2" xfId="43324"/>
    <cellStyle name="Sortie 28 3" xfId="32765"/>
    <cellStyle name="Sortie 29" xfId="13942"/>
    <cellStyle name="Sortie 29 2" xfId="34010"/>
    <cellStyle name="Sortie 3" xfId="12646"/>
    <cellStyle name="Sortie 3 2" xfId="12647"/>
    <cellStyle name="Sortie 3 2 2" xfId="23301"/>
    <cellStyle name="Sortie 3 2 2 2" xfId="43369"/>
    <cellStyle name="Sortie 3 2 3" xfId="32767"/>
    <cellStyle name="Sortie 3 3" xfId="14190"/>
    <cellStyle name="Sortie 3 3 2" xfId="34258"/>
    <cellStyle name="Sortie 3 4" xfId="32766"/>
    <cellStyle name="Sortie 30" xfId="32676"/>
    <cellStyle name="Sortie 4" xfId="12648"/>
    <cellStyle name="Sortie 4 2" xfId="12649"/>
    <cellStyle name="Sortie 4 2 2" xfId="23302"/>
    <cellStyle name="Sortie 4 2 2 2" xfId="43370"/>
    <cellStyle name="Sortie 4 2 3" xfId="32769"/>
    <cellStyle name="Sortie 4 3" xfId="14472"/>
    <cellStyle name="Sortie 4 3 2" xfId="34540"/>
    <cellStyle name="Sortie 4 4" xfId="32768"/>
    <cellStyle name="Sortie 5" xfId="12650"/>
    <cellStyle name="Sortie 5 2" xfId="12651"/>
    <cellStyle name="Sortie 5 2 2" xfId="23303"/>
    <cellStyle name="Sortie 5 2 2 2" xfId="43371"/>
    <cellStyle name="Sortie 5 2 3" xfId="32771"/>
    <cellStyle name="Sortie 5 3" xfId="14313"/>
    <cellStyle name="Sortie 5 3 2" xfId="34381"/>
    <cellStyle name="Sortie 5 4" xfId="32770"/>
    <cellStyle name="Sortie 6" xfId="12652"/>
    <cellStyle name="Sortie 6 2" xfId="12653"/>
    <cellStyle name="Sortie 6 2 2" xfId="23304"/>
    <cellStyle name="Sortie 6 2 2 2" xfId="43372"/>
    <cellStyle name="Sortie 6 2 3" xfId="32773"/>
    <cellStyle name="Sortie 6 3" xfId="14259"/>
    <cellStyle name="Sortie 6 3 2" xfId="34327"/>
    <cellStyle name="Sortie 6 4" xfId="32772"/>
    <cellStyle name="Sortie 7" xfId="12654"/>
    <cellStyle name="Sortie 7 2" xfId="12655"/>
    <cellStyle name="Sortie 7 2 2" xfId="23305"/>
    <cellStyle name="Sortie 7 2 2 2" xfId="43373"/>
    <cellStyle name="Sortie 7 2 3" xfId="32775"/>
    <cellStyle name="Sortie 7 3" xfId="14285"/>
    <cellStyle name="Sortie 7 3 2" xfId="34353"/>
    <cellStyle name="Sortie 7 4" xfId="32774"/>
    <cellStyle name="Sortie 8" xfId="12656"/>
    <cellStyle name="Sortie 8 2" xfId="12657"/>
    <cellStyle name="Sortie 8 2 2" xfId="23306"/>
    <cellStyle name="Sortie 8 2 2 2" xfId="43374"/>
    <cellStyle name="Sortie 8 2 3" xfId="32777"/>
    <cellStyle name="Sortie 8 3" xfId="14780"/>
    <cellStyle name="Sortie 8 3 2" xfId="34848"/>
    <cellStyle name="Sortie 8 4" xfId="32776"/>
    <cellStyle name="Sortie 9" xfId="12658"/>
    <cellStyle name="Sortie 9 2" xfId="12659"/>
    <cellStyle name="Sortie 9 2 2" xfId="23307"/>
    <cellStyle name="Sortie 9 2 2 2" xfId="43375"/>
    <cellStyle name="Sortie 9 2 3" xfId="32779"/>
    <cellStyle name="Sortie 9 3" xfId="15348"/>
    <cellStyle name="Sortie 9 3 2" xfId="35416"/>
    <cellStyle name="Sortie 9 4" xfId="32778"/>
    <cellStyle name="Sortie_2012-2013" xfId="12660"/>
    <cellStyle name="Source" xfId="12661"/>
    <cellStyle name="Standard_Beispiel Budget" xfId="12662"/>
    <cellStyle name="Style 1" xfId="48"/>
    <cellStyle name="Style 1 10" xfId="12663"/>
    <cellStyle name="Style 1 2" xfId="12664"/>
    <cellStyle name="Style 1 2 2" xfId="12665"/>
    <cellStyle name="Style 1 2 3" xfId="12666"/>
    <cellStyle name="Style 1 2_ANC" xfId="12667"/>
    <cellStyle name="Style 1 3" xfId="12668"/>
    <cellStyle name="Style 1 4" xfId="12669"/>
    <cellStyle name="Style 1 5" xfId="12670"/>
    <cellStyle name="Style 1 6" xfId="12671"/>
    <cellStyle name="Style 1 7" xfId="12672"/>
    <cellStyle name="Style 1 8" xfId="12673"/>
    <cellStyle name="Style 1 9" xfId="12674"/>
    <cellStyle name="Style 1_ANC" xfId="12675"/>
    <cellStyle name="Texte explicatif" xfId="12676"/>
    <cellStyle name="Title" xfId="5" builtinId="15" customBuiltin="1"/>
    <cellStyle name="Title 2" xfId="12677"/>
    <cellStyle name="Title 2 2" xfId="12678"/>
    <cellStyle name="Title 2 3" xfId="12679"/>
    <cellStyle name="Title 2 4" xfId="12680"/>
    <cellStyle name="Title 2 5" xfId="12681"/>
    <cellStyle name="Title 2_IN" xfId="12682"/>
    <cellStyle name="Title 3" xfId="12683"/>
    <cellStyle name="Title 3 2" xfId="12684"/>
    <cellStyle name="Title 3 3" xfId="12685"/>
    <cellStyle name="Title 4" xfId="12686"/>
    <cellStyle name="Title 4 2" xfId="12687"/>
    <cellStyle name="Title 5" xfId="12688"/>
    <cellStyle name="Titre" xfId="12689"/>
    <cellStyle name="Titre 1" xfId="12690"/>
    <cellStyle name="Titre 2" xfId="12691"/>
    <cellStyle name="Titre 3" xfId="12692"/>
    <cellStyle name="Titre 4" xfId="12693"/>
    <cellStyle name="Total" xfId="20" builtinId="25" customBuiltin="1"/>
    <cellStyle name="Total 2" xfId="12694"/>
    <cellStyle name="Total 2 10" xfId="12695"/>
    <cellStyle name="Total 2 10 2" xfId="12696"/>
    <cellStyle name="Total 2 10 2 2" xfId="23309"/>
    <cellStyle name="Total 2 10 2 2 2" xfId="43377"/>
    <cellStyle name="Total 2 10 2 3" xfId="32782"/>
    <cellStyle name="Total 2 10 3" xfId="14511"/>
    <cellStyle name="Total 2 10 3 2" xfId="34579"/>
    <cellStyle name="Total 2 10 4" xfId="32781"/>
    <cellStyle name="Total 2 11" xfId="12697"/>
    <cellStyle name="Total 2 11 2" xfId="12698"/>
    <cellStyle name="Total 2 11 2 2" xfId="23310"/>
    <cellStyle name="Total 2 11 2 2 2" xfId="43378"/>
    <cellStyle name="Total 2 11 2 3" xfId="32784"/>
    <cellStyle name="Total 2 11 3" xfId="14845"/>
    <cellStyle name="Total 2 11 3 2" xfId="34913"/>
    <cellStyle name="Total 2 11 4" xfId="32783"/>
    <cellStyle name="Total 2 12" xfId="12699"/>
    <cellStyle name="Total 2 12 2" xfId="12700"/>
    <cellStyle name="Total 2 12 2 2" xfId="23311"/>
    <cellStyle name="Total 2 12 2 2 2" xfId="43379"/>
    <cellStyle name="Total 2 12 2 3" xfId="32786"/>
    <cellStyle name="Total 2 12 3" xfId="14193"/>
    <cellStyle name="Total 2 12 3 2" xfId="34261"/>
    <cellStyle name="Total 2 12 4" xfId="32785"/>
    <cellStyle name="Total 2 13" xfId="12701"/>
    <cellStyle name="Total 2 13 2" xfId="12702"/>
    <cellStyle name="Total 2 13 2 2" xfId="23312"/>
    <cellStyle name="Total 2 13 2 2 2" xfId="43380"/>
    <cellStyle name="Total 2 13 2 3" xfId="32788"/>
    <cellStyle name="Total 2 13 3" xfId="15349"/>
    <cellStyle name="Total 2 13 3 2" xfId="35417"/>
    <cellStyle name="Total 2 13 4" xfId="32787"/>
    <cellStyle name="Total 2 14" xfId="12703"/>
    <cellStyle name="Total 2 14 2" xfId="12704"/>
    <cellStyle name="Total 2 14 2 2" xfId="23313"/>
    <cellStyle name="Total 2 14 2 2 2" xfId="43381"/>
    <cellStyle name="Total 2 14 2 3" xfId="32790"/>
    <cellStyle name="Total 2 14 3" xfId="15570"/>
    <cellStyle name="Total 2 14 3 2" xfId="35638"/>
    <cellStyle name="Total 2 14 4" xfId="32789"/>
    <cellStyle name="Total 2 15" xfId="12705"/>
    <cellStyle name="Total 2 15 2" xfId="12706"/>
    <cellStyle name="Total 2 15 2 2" xfId="23314"/>
    <cellStyle name="Total 2 15 2 2 2" xfId="43382"/>
    <cellStyle name="Total 2 15 2 3" xfId="32792"/>
    <cellStyle name="Total 2 15 3" xfId="16293"/>
    <cellStyle name="Total 2 15 3 2" xfId="36361"/>
    <cellStyle name="Total 2 15 4" xfId="32791"/>
    <cellStyle name="Total 2 16" xfId="12707"/>
    <cellStyle name="Total 2 16 2" xfId="12708"/>
    <cellStyle name="Total 2 16 2 2" xfId="23315"/>
    <cellStyle name="Total 2 16 2 2 2" xfId="43383"/>
    <cellStyle name="Total 2 16 2 3" xfId="32794"/>
    <cellStyle name="Total 2 16 3" xfId="15436"/>
    <cellStyle name="Total 2 16 3 2" xfId="35504"/>
    <cellStyle name="Total 2 16 4" xfId="32793"/>
    <cellStyle name="Total 2 17" xfId="12709"/>
    <cellStyle name="Total 2 17 2" xfId="12710"/>
    <cellStyle name="Total 2 17 2 2" xfId="23316"/>
    <cellStyle name="Total 2 17 2 2 2" xfId="43384"/>
    <cellStyle name="Total 2 17 2 3" xfId="32796"/>
    <cellStyle name="Total 2 17 3" xfId="16417"/>
    <cellStyle name="Total 2 17 3 2" xfId="36485"/>
    <cellStyle name="Total 2 17 4" xfId="32795"/>
    <cellStyle name="Total 2 18" xfId="12711"/>
    <cellStyle name="Total 2 18 2" xfId="12712"/>
    <cellStyle name="Total 2 18 2 2" xfId="23317"/>
    <cellStyle name="Total 2 18 2 2 2" xfId="43385"/>
    <cellStyle name="Total 2 18 2 3" xfId="32798"/>
    <cellStyle name="Total 2 18 3" xfId="15597"/>
    <cellStyle name="Total 2 18 3 2" xfId="35665"/>
    <cellStyle name="Total 2 18 4" xfId="32797"/>
    <cellStyle name="Total 2 19" xfId="12713"/>
    <cellStyle name="Total 2 19 2" xfId="12714"/>
    <cellStyle name="Total 2 19 2 2" xfId="23318"/>
    <cellStyle name="Total 2 19 2 2 2" xfId="43386"/>
    <cellStyle name="Total 2 19 2 3" xfId="32800"/>
    <cellStyle name="Total 2 19 3" xfId="15755"/>
    <cellStyle name="Total 2 19 3 2" xfId="35823"/>
    <cellStyle name="Total 2 19 4" xfId="32799"/>
    <cellStyle name="Total 2 2" xfId="12715"/>
    <cellStyle name="Total 2 2 10" xfId="12716"/>
    <cellStyle name="Total 2 2 10 2" xfId="12717"/>
    <cellStyle name="Total 2 2 10 2 2" xfId="23320"/>
    <cellStyle name="Total 2 2 10 2 2 2" xfId="43388"/>
    <cellStyle name="Total 2 2 10 2 3" xfId="32803"/>
    <cellStyle name="Total 2 2 10 3" xfId="16510"/>
    <cellStyle name="Total 2 2 10 3 2" xfId="36578"/>
    <cellStyle name="Total 2 2 10 4" xfId="32802"/>
    <cellStyle name="Total 2 2 11" xfId="12718"/>
    <cellStyle name="Total 2 2 11 2" xfId="12719"/>
    <cellStyle name="Total 2 2 11 2 2" xfId="23321"/>
    <cellStyle name="Total 2 2 11 2 2 2" xfId="43389"/>
    <cellStyle name="Total 2 2 11 2 3" xfId="32805"/>
    <cellStyle name="Total 2 2 11 3" xfId="16715"/>
    <cellStyle name="Total 2 2 11 3 2" xfId="36783"/>
    <cellStyle name="Total 2 2 11 4" xfId="32804"/>
    <cellStyle name="Total 2 2 12" xfId="12720"/>
    <cellStyle name="Total 2 2 12 2" xfId="12721"/>
    <cellStyle name="Total 2 2 12 2 2" xfId="23322"/>
    <cellStyle name="Total 2 2 12 2 2 2" xfId="43390"/>
    <cellStyle name="Total 2 2 12 2 3" xfId="32807"/>
    <cellStyle name="Total 2 2 12 3" xfId="16885"/>
    <cellStyle name="Total 2 2 12 3 2" xfId="36953"/>
    <cellStyle name="Total 2 2 12 4" xfId="32806"/>
    <cellStyle name="Total 2 2 13" xfId="12722"/>
    <cellStyle name="Total 2 2 13 2" xfId="12723"/>
    <cellStyle name="Total 2 2 13 2 2" xfId="23323"/>
    <cellStyle name="Total 2 2 13 2 2 2" xfId="43391"/>
    <cellStyle name="Total 2 2 13 2 3" xfId="32809"/>
    <cellStyle name="Total 2 2 13 3" xfId="17023"/>
    <cellStyle name="Total 2 2 13 3 2" xfId="37091"/>
    <cellStyle name="Total 2 2 13 4" xfId="32808"/>
    <cellStyle name="Total 2 2 14" xfId="12724"/>
    <cellStyle name="Total 2 2 14 2" xfId="12725"/>
    <cellStyle name="Total 2 2 14 2 2" xfId="23324"/>
    <cellStyle name="Total 2 2 14 2 2 2" xfId="43392"/>
    <cellStyle name="Total 2 2 14 2 3" xfId="32811"/>
    <cellStyle name="Total 2 2 14 3" xfId="17194"/>
    <cellStyle name="Total 2 2 14 3 2" xfId="37262"/>
    <cellStyle name="Total 2 2 14 4" xfId="32810"/>
    <cellStyle name="Total 2 2 15" xfId="12726"/>
    <cellStyle name="Total 2 2 15 2" xfId="12727"/>
    <cellStyle name="Total 2 2 15 2 2" xfId="23325"/>
    <cellStyle name="Total 2 2 15 2 2 2" xfId="43393"/>
    <cellStyle name="Total 2 2 15 2 3" xfId="32813"/>
    <cellStyle name="Total 2 2 15 3" xfId="17362"/>
    <cellStyle name="Total 2 2 15 3 2" xfId="37430"/>
    <cellStyle name="Total 2 2 15 4" xfId="32812"/>
    <cellStyle name="Total 2 2 16" xfId="12728"/>
    <cellStyle name="Total 2 2 16 2" xfId="12729"/>
    <cellStyle name="Total 2 2 16 2 2" xfId="23326"/>
    <cellStyle name="Total 2 2 16 2 2 2" xfId="43394"/>
    <cellStyle name="Total 2 2 16 2 3" xfId="32815"/>
    <cellStyle name="Total 2 2 16 3" xfId="17497"/>
    <cellStyle name="Total 2 2 16 3 2" xfId="37565"/>
    <cellStyle name="Total 2 2 16 4" xfId="32814"/>
    <cellStyle name="Total 2 2 17" xfId="12730"/>
    <cellStyle name="Total 2 2 17 2" xfId="12731"/>
    <cellStyle name="Total 2 2 17 2 2" xfId="23327"/>
    <cellStyle name="Total 2 2 17 2 2 2" xfId="43395"/>
    <cellStyle name="Total 2 2 17 2 3" xfId="32817"/>
    <cellStyle name="Total 2 2 17 3" xfId="17622"/>
    <cellStyle name="Total 2 2 17 3 2" xfId="37690"/>
    <cellStyle name="Total 2 2 17 4" xfId="32816"/>
    <cellStyle name="Total 2 2 18" xfId="12732"/>
    <cellStyle name="Total 2 2 18 2" xfId="12733"/>
    <cellStyle name="Total 2 2 18 2 2" xfId="23328"/>
    <cellStyle name="Total 2 2 18 2 2 2" xfId="43396"/>
    <cellStyle name="Total 2 2 18 2 3" xfId="32819"/>
    <cellStyle name="Total 2 2 18 3" xfId="17743"/>
    <cellStyle name="Total 2 2 18 3 2" xfId="37811"/>
    <cellStyle name="Total 2 2 18 4" xfId="32818"/>
    <cellStyle name="Total 2 2 19" xfId="12734"/>
    <cellStyle name="Total 2 2 19 2" xfId="12735"/>
    <cellStyle name="Total 2 2 19 2 2" xfId="23329"/>
    <cellStyle name="Total 2 2 19 2 2 2" xfId="43397"/>
    <cellStyle name="Total 2 2 19 2 3" xfId="32821"/>
    <cellStyle name="Total 2 2 19 3" xfId="17877"/>
    <cellStyle name="Total 2 2 19 3 2" xfId="37945"/>
    <cellStyle name="Total 2 2 19 4" xfId="32820"/>
    <cellStyle name="Total 2 2 2" xfId="12736"/>
    <cellStyle name="Total 2 2 2 10" xfId="12737"/>
    <cellStyle name="Total 2 2 2 10 2" xfId="12738"/>
    <cellStyle name="Total 2 2 2 10 2 2" xfId="23331"/>
    <cellStyle name="Total 2 2 2 10 2 2 2" xfId="43399"/>
    <cellStyle name="Total 2 2 2 10 2 3" xfId="32824"/>
    <cellStyle name="Total 2 2 2 10 3" xfId="16991"/>
    <cellStyle name="Total 2 2 2 10 3 2" xfId="37059"/>
    <cellStyle name="Total 2 2 2 10 4" xfId="32823"/>
    <cellStyle name="Total 2 2 2 11" xfId="12739"/>
    <cellStyle name="Total 2 2 2 11 2" xfId="12740"/>
    <cellStyle name="Total 2 2 2 11 2 2" xfId="23332"/>
    <cellStyle name="Total 2 2 2 11 2 2 2" xfId="43400"/>
    <cellStyle name="Total 2 2 2 11 2 3" xfId="32826"/>
    <cellStyle name="Total 2 2 2 11 3" xfId="17136"/>
    <cellStyle name="Total 2 2 2 11 3 2" xfId="37204"/>
    <cellStyle name="Total 2 2 2 11 4" xfId="32825"/>
    <cellStyle name="Total 2 2 2 12" xfId="12741"/>
    <cellStyle name="Total 2 2 2 12 2" xfId="12742"/>
    <cellStyle name="Total 2 2 2 12 2 2" xfId="23333"/>
    <cellStyle name="Total 2 2 2 12 2 2 2" xfId="43401"/>
    <cellStyle name="Total 2 2 2 12 2 3" xfId="32828"/>
    <cellStyle name="Total 2 2 2 12 3" xfId="17308"/>
    <cellStyle name="Total 2 2 2 12 3 2" xfId="37376"/>
    <cellStyle name="Total 2 2 2 12 4" xfId="32827"/>
    <cellStyle name="Total 2 2 2 13" xfId="12743"/>
    <cellStyle name="Total 2 2 2 13 2" xfId="12744"/>
    <cellStyle name="Total 2 2 2 13 2 2" xfId="23334"/>
    <cellStyle name="Total 2 2 2 13 2 2 2" xfId="43402"/>
    <cellStyle name="Total 2 2 2 13 2 3" xfId="32830"/>
    <cellStyle name="Total 2 2 2 13 3" xfId="17472"/>
    <cellStyle name="Total 2 2 2 13 3 2" xfId="37540"/>
    <cellStyle name="Total 2 2 2 13 4" xfId="32829"/>
    <cellStyle name="Total 2 2 2 14" xfId="12745"/>
    <cellStyle name="Total 2 2 2 14 2" xfId="12746"/>
    <cellStyle name="Total 2 2 2 14 2 2" xfId="23335"/>
    <cellStyle name="Total 2 2 2 14 2 2 2" xfId="43403"/>
    <cellStyle name="Total 2 2 2 14 2 3" xfId="32832"/>
    <cellStyle name="Total 2 2 2 14 3" xfId="17598"/>
    <cellStyle name="Total 2 2 2 14 3 2" xfId="37666"/>
    <cellStyle name="Total 2 2 2 14 4" xfId="32831"/>
    <cellStyle name="Total 2 2 2 15" xfId="12747"/>
    <cellStyle name="Total 2 2 2 15 2" xfId="12748"/>
    <cellStyle name="Total 2 2 2 15 2 2" xfId="23336"/>
    <cellStyle name="Total 2 2 2 15 2 2 2" xfId="43404"/>
    <cellStyle name="Total 2 2 2 15 2 3" xfId="32834"/>
    <cellStyle name="Total 2 2 2 15 3" xfId="15659"/>
    <cellStyle name="Total 2 2 2 15 3 2" xfId="35727"/>
    <cellStyle name="Total 2 2 2 15 4" xfId="32833"/>
    <cellStyle name="Total 2 2 2 16" xfId="12749"/>
    <cellStyle name="Total 2 2 2 16 2" xfId="12750"/>
    <cellStyle name="Total 2 2 2 16 2 2" xfId="23337"/>
    <cellStyle name="Total 2 2 2 16 2 2 2" xfId="43405"/>
    <cellStyle name="Total 2 2 2 16 2 3" xfId="32836"/>
    <cellStyle name="Total 2 2 2 16 3" xfId="17848"/>
    <cellStyle name="Total 2 2 2 16 3 2" xfId="37916"/>
    <cellStyle name="Total 2 2 2 16 4" xfId="32835"/>
    <cellStyle name="Total 2 2 2 17" xfId="12751"/>
    <cellStyle name="Total 2 2 2 17 2" xfId="12752"/>
    <cellStyle name="Total 2 2 2 17 2 2" xfId="23338"/>
    <cellStyle name="Total 2 2 2 17 2 2 2" xfId="43406"/>
    <cellStyle name="Total 2 2 2 17 2 3" xfId="32838"/>
    <cellStyle name="Total 2 2 2 17 3" xfId="17986"/>
    <cellStyle name="Total 2 2 2 17 3 2" xfId="38054"/>
    <cellStyle name="Total 2 2 2 17 4" xfId="32837"/>
    <cellStyle name="Total 2 2 2 18" xfId="12753"/>
    <cellStyle name="Total 2 2 2 18 2" xfId="12754"/>
    <cellStyle name="Total 2 2 2 18 2 2" xfId="23339"/>
    <cellStyle name="Total 2 2 2 18 2 2 2" xfId="43407"/>
    <cellStyle name="Total 2 2 2 18 2 3" xfId="32840"/>
    <cellStyle name="Total 2 2 2 18 3" xfId="18125"/>
    <cellStyle name="Total 2 2 2 18 3 2" xfId="38193"/>
    <cellStyle name="Total 2 2 2 18 4" xfId="32839"/>
    <cellStyle name="Total 2 2 2 19" xfId="12755"/>
    <cellStyle name="Total 2 2 2 19 2" xfId="12756"/>
    <cellStyle name="Total 2 2 2 19 2 2" xfId="23340"/>
    <cellStyle name="Total 2 2 2 19 2 2 2" xfId="43408"/>
    <cellStyle name="Total 2 2 2 19 2 3" xfId="32842"/>
    <cellStyle name="Total 2 2 2 19 3" xfId="18243"/>
    <cellStyle name="Total 2 2 2 19 3 2" xfId="38311"/>
    <cellStyle name="Total 2 2 2 19 4" xfId="32841"/>
    <cellStyle name="Total 2 2 2 2" xfId="12757"/>
    <cellStyle name="Total 2 2 2 2 2" xfId="12758"/>
    <cellStyle name="Total 2 2 2 2 2 2" xfId="23341"/>
    <cellStyle name="Total 2 2 2 2 2 2 2" xfId="43409"/>
    <cellStyle name="Total 2 2 2 2 2 3" xfId="32844"/>
    <cellStyle name="Total 2 2 2 2 3" xfId="14711"/>
    <cellStyle name="Total 2 2 2 2 3 2" xfId="34779"/>
    <cellStyle name="Total 2 2 2 2 4" xfId="32843"/>
    <cellStyle name="Total 2 2 2 20" xfId="12759"/>
    <cellStyle name="Total 2 2 2 20 2" xfId="12760"/>
    <cellStyle name="Total 2 2 2 20 2 2" xfId="23342"/>
    <cellStyle name="Total 2 2 2 20 2 2 2" xfId="43410"/>
    <cellStyle name="Total 2 2 2 20 2 3" xfId="32846"/>
    <cellStyle name="Total 2 2 2 20 3" xfId="18318"/>
    <cellStyle name="Total 2 2 2 20 3 2" xfId="38386"/>
    <cellStyle name="Total 2 2 2 20 4" xfId="32845"/>
    <cellStyle name="Total 2 2 2 21" xfId="12761"/>
    <cellStyle name="Total 2 2 2 21 2" xfId="12762"/>
    <cellStyle name="Total 2 2 2 21 2 2" xfId="23343"/>
    <cellStyle name="Total 2 2 2 21 2 2 2" xfId="43411"/>
    <cellStyle name="Total 2 2 2 21 2 3" xfId="32848"/>
    <cellStyle name="Total 2 2 2 21 3" xfId="18448"/>
    <cellStyle name="Total 2 2 2 21 3 2" xfId="38516"/>
    <cellStyle name="Total 2 2 2 21 4" xfId="32847"/>
    <cellStyle name="Total 2 2 2 22" xfId="12763"/>
    <cellStyle name="Total 2 2 2 22 2" xfId="12764"/>
    <cellStyle name="Total 2 2 2 22 2 2" xfId="23344"/>
    <cellStyle name="Total 2 2 2 22 2 2 2" xfId="43412"/>
    <cellStyle name="Total 2 2 2 22 2 3" xfId="32850"/>
    <cellStyle name="Total 2 2 2 22 3" xfId="18581"/>
    <cellStyle name="Total 2 2 2 22 3 2" xfId="38649"/>
    <cellStyle name="Total 2 2 2 22 4" xfId="32849"/>
    <cellStyle name="Total 2 2 2 23" xfId="12765"/>
    <cellStyle name="Total 2 2 2 23 2" xfId="12766"/>
    <cellStyle name="Total 2 2 2 23 2 2" xfId="23345"/>
    <cellStyle name="Total 2 2 2 23 2 2 2" xfId="43413"/>
    <cellStyle name="Total 2 2 2 23 2 3" xfId="32852"/>
    <cellStyle name="Total 2 2 2 23 3" xfId="18692"/>
    <cellStyle name="Total 2 2 2 23 3 2" xfId="38760"/>
    <cellStyle name="Total 2 2 2 23 4" xfId="32851"/>
    <cellStyle name="Total 2 2 2 24" xfId="12767"/>
    <cellStyle name="Total 2 2 2 24 2" xfId="12768"/>
    <cellStyle name="Total 2 2 2 24 2 2" xfId="23346"/>
    <cellStyle name="Total 2 2 2 24 2 2 2" xfId="43414"/>
    <cellStyle name="Total 2 2 2 24 2 3" xfId="32854"/>
    <cellStyle name="Total 2 2 2 24 3" xfId="18792"/>
    <cellStyle name="Total 2 2 2 24 3 2" xfId="38860"/>
    <cellStyle name="Total 2 2 2 24 4" xfId="32853"/>
    <cellStyle name="Total 2 2 2 25" xfId="12769"/>
    <cellStyle name="Total 2 2 2 25 2" xfId="12770"/>
    <cellStyle name="Total 2 2 2 25 2 2" xfId="23347"/>
    <cellStyle name="Total 2 2 2 25 2 2 2" xfId="43415"/>
    <cellStyle name="Total 2 2 2 25 2 3" xfId="32856"/>
    <cellStyle name="Total 2 2 2 25 3" xfId="18892"/>
    <cellStyle name="Total 2 2 2 25 3 2" xfId="38960"/>
    <cellStyle name="Total 2 2 2 25 4" xfId="32855"/>
    <cellStyle name="Total 2 2 2 26" xfId="12771"/>
    <cellStyle name="Total 2 2 2 26 2" xfId="23330"/>
    <cellStyle name="Total 2 2 2 26 2 2" xfId="43398"/>
    <cellStyle name="Total 2 2 2 26 3" xfId="32857"/>
    <cellStyle name="Total 2 2 2 27" xfId="14403"/>
    <cellStyle name="Total 2 2 2 27 2" xfId="34471"/>
    <cellStyle name="Total 2 2 2 28" xfId="32822"/>
    <cellStyle name="Total 2 2 2 3" xfId="12772"/>
    <cellStyle name="Total 2 2 2 3 2" xfId="12773"/>
    <cellStyle name="Total 2 2 2 3 2 2" xfId="23348"/>
    <cellStyle name="Total 2 2 2 3 2 2 2" xfId="43416"/>
    <cellStyle name="Total 2 2 2 3 2 3" xfId="32859"/>
    <cellStyle name="Total 2 2 2 3 3" xfId="14835"/>
    <cellStyle name="Total 2 2 2 3 3 2" xfId="34903"/>
    <cellStyle name="Total 2 2 2 3 4" xfId="32858"/>
    <cellStyle name="Total 2 2 2 4" xfId="12774"/>
    <cellStyle name="Total 2 2 2 4 2" xfId="12775"/>
    <cellStyle name="Total 2 2 2 4 2 2" xfId="23349"/>
    <cellStyle name="Total 2 2 2 4 2 2 2" xfId="43417"/>
    <cellStyle name="Total 2 2 2 4 2 3" xfId="32861"/>
    <cellStyle name="Total 2 2 2 4 3" xfId="14960"/>
    <cellStyle name="Total 2 2 2 4 3 2" xfId="35028"/>
    <cellStyle name="Total 2 2 2 4 4" xfId="32860"/>
    <cellStyle name="Total 2 2 2 5" xfId="12776"/>
    <cellStyle name="Total 2 2 2 5 2" xfId="12777"/>
    <cellStyle name="Total 2 2 2 5 2 2" xfId="23350"/>
    <cellStyle name="Total 2 2 2 5 2 2 2" xfId="43418"/>
    <cellStyle name="Total 2 2 2 5 2 3" xfId="32863"/>
    <cellStyle name="Total 2 2 2 5 3" xfId="15129"/>
    <cellStyle name="Total 2 2 2 5 3 2" xfId="35197"/>
    <cellStyle name="Total 2 2 2 5 4" xfId="32862"/>
    <cellStyle name="Total 2 2 2 6" xfId="12778"/>
    <cellStyle name="Total 2 2 2 6 2" xfId="12779"/>
    <cellStyle name="Total 2 2 2 6 2 2" xfId="23351"/>
    <cellStyle name="Total 2 2 2 6 2 2 2" xfId="43419"/>
    <cellStyle name="Total 2 2 2 6 2 3" xfId="32865"/>
    <cellStyle name="Total 2 2 2 6 3" xfId="14515"/>
    <cellStyle name="Total 2 2 2 6 3 2" xfId="34583"/>
    <cellStyle name="Total 2 2 2 6 4" xfId="32864"/>
    <cellStyle name="Total 2 2 2 7" xfId="12780"/>
    <cellStyle name="Total 2 2 2 7 2" xfId="12781"/>
    <cellStyle name="Total 2 2 2 7 2 2" xfId="23352"/>
    <cellStyle name="Total 2 2 2 7 2 2 2" xfId="43420"/>
    <cellStyle name="Total 2 2 2 7 2 3" xfId="32867"/>
    <cellStyle name="Total 2 2 2 7 3" xfId="15261"/>
    <cellStyle name="Total 2 2 2 7 3 2" xfId="35329"/>
    <cellStyle name="Total 2 2 2 7 4" xfId="32866"/>
    <cellStyle name="Total 2 2 2 8" xfId="12782"/>
    <cellStyle name="Total 2 2 2 8 2" xfId="12783"/>
    <cellStyle name="Total 2 2 2 8 2 2" xfId="23353"/>
    <cellStyle name="Total 2 2 2 8 2 2 2" xfId="43421"/>
    <cellStyle name="Total 2 2 2 8 2 3" xfId="32869"/>
    <cellStyle name="Total 2 2 2 8 3" xfId="16626"/>
    <cellStyle name="Total 2 2 2 8 3 2" xfId="36694"/>
    <cellStyle name="Total 2 2 2 8 4" xfId="32868"/>
    <cellStyle name="Total 2 2 2 9" xfId="12784"/>
    <cellStyle name="Total 2 2 2 9 2" xfId="12785"/>
    <cellStyle name="Total 2 2 2 9 2 2" xfId="23354"/>
    <cellStyle name="Total 2 2 2 9 2 2 2" xfId="43422"/>
    <cellStyle name="Total 2 2 2 9 2 3" xfId="32871"/>
    <cellStyle name="Total 2 2 2 9 3" xfId="16830"/>
    <cellStyle name="Total 2 2 2 9 3 2" xfId="36898"/>
    <cellStyle name="Total 2 2 2 9 4" xfId="32870"/>
    <cellStyle name="Total 2 2 20" xfId="12786"/>
    <cellStyle name="Total 2 2 20 2" xfId="12787"/>
    <cellStyle name="Total 2 2 20 2 2" xfId="23355"/>
    <cellStyle name="Total 2 2 20 2 2 2" xfId="43423"/>
    <cellStyle name="Total 2 2 20 2 3" xfId="32873"/>
    <cellStyle name="Total 2 2 20 3" xfId="18024"/>
    <cellStyle name="Total 2 2 20 3 2" xfId="38092"/>
    <cellStyle name="Total 2 2 20 4" xfId="32872"/>
    <cellStyle name="Total 2 2 21" xfId="12788"/>
    <cellStyle name="Total 2 2 21 2" xfId="12789"/>
    <cellStyle name="Total 2 2 21 2 2" xfId="23356"/>
    <cellStyle name="Total 2 2 21 2 2 2" xfId="43424"/>
    <cellStyle name="Total 2 2 21 2 3" xfId="32875"/>
    <cellStyle name="Total 2 2 21 3" xfId="18147"/>
    <cellStyle name="Total 2 2 21 3 2" xfId="38215"/>
    <cellStyle name="Total 2 2 21 4" xfId="32874"/>
    <cellStyle name="Total 2 2 22" xfId="12790"/>
    <cellStyle name="Total 2 2 22 2" xfId="12791"/>
    <cellStyle name="Total 2 2 22 2 2" xfId="23357"/>
    <cellStyle name="Total 2 2 22 2 2 2" xfId="43425"/>
    <cellStyle name="Total 2 2 22 2 3" xfId="32877"/>
    <cellStyle name="Total 2 2 22 3" xfId="17700"/>
    <cellStyle name="Total 2 2 22 3 2" xfId="37768"/>
    <cellStyle name="Total 2 2 22 4" xfId="32876"/>
    <cellStyle name="Total 2 2 23" xfId="12792"/>
    <cellStyle name="Total 2 2 23 2" xfId="12793"/>
    <cellStyle name="Total 2 2 23 2 2" xfId="23358"/>
    <cellStyle name="Total 2 2 23 2 2 2" xfId="43426"/>
    <cellStyle name="Total 2 2 23 2 3" xfId="32879"/>
    <cellStyle name="Total 2 2 23 3" xfId="18342"/>
    <cellStyle name="Total 2 2 23 3 2" xfId="38410"/>
    <cellStyle name="Total 2 2 23 4" xfId="32878"/>
    <cellStyle name="Total 2 2 24" xfId="12794"/>
    <cellStyle name="Total 2 2 24 2" xfId="12795"/>
    <cellStyle name="Total 2 2 24 2 2" xfId="23359"/>
    <cellStyle name="Total 2 2 24 2 2 2" xfId="43427"/>
    <cellStyle name="Total 2 2 24 2 3" xfId="32881"/>
    <cellStyle name="Total 2 2 24 3" xfId="18487"/>
    <cellStyle name="Total 2 2 24 3 2" xfId="38555"/>
    <cellStyle name="Total 2 2 24 4" xfId="32880"/>
    <cellStyle name="Total 2 2 25" xfId="12796"/>
    <cellStyle name="Total 2 2 25 2" xfId="12797"/>
    <cellStyle name="Total 2 2 25 2 2" xfId="23360"/>
    <cellStyle name="Total 2 2 25 2 2 2" xfId="43428"/>
    <cellStyle name="Total 2 2 25 2 3" xfId="32883"/>
    <cellStyle name="Total 2 2 25 3" xfId="18600"/>
    <cellStyle name="Total 2 2 25 3 2" xfId="38668"/>
    <cellStyle name="Total 2 2 25 4" xfId="32882"/>
    <cellStyle name="Total 2 2 26" xfId="12798"/>
    <cellStyle name="Total 2 2 26 2" xfId="12799"/>
    <cellStyle name="Total 2 2 26 2 2" xfId="23361"/>
    <cellStyle name="Total 2 2 26 2 2 2" xfId="43429"/>
    <cellStyle name="Total 2 2 26 2 3" xfId="32885"/>
    <cellStyle name="Total 2 2 26 3" xfId="18700"/>
    <cellStyle name="Total 2 2 26 3 2" xfId="38768"/>
    <cellStyle name="Total 2 2 26 4" xfId="32884"/>
    <cellStyle name="Total 2 2 27" xfId="12800"/>
    <cellStyle name="Total 2 2 27 2" xfId="12801"/>
    <cellStyle name="Total 2 2 27 2 2" xfId="23362"/>
    <cellStyle name="Total 2 2 27 2 2 2" xfId="43430"/>
    <cellStyle name="Total 2 2 27 2 3" xfId="32887"/>
    <cellStyle name="Total 2 2 27 3" xfId="18800"/>
    <cellStyle name="Total 2 2 27 3 2" xfId="38868"/>
    <cellStyle name="Total 2 2 27 4" xfId="32886"/>
    <cellStyle name="Total 2 2 28" xfId="12802"/>
    <cellStyle name="Total 2 2 28 2" xfId="23319"/>
    <cellStyle name="Total 2 2 28 2 2" xfId="43387"/>
    <cellStyle name="Total 2 2 28 3" xfId="32888"/>
    <cellStyle name="Total 2 2 29" xfId="13944"/>
    <cellStyle name="Total 2 2 29 2" xfId="34012"/>
    <cellStyle name="Total 2 2 3" xfId="12803"/>
    <cellStyle name="Total 2 2 3 2" xfId="12804"/>
    <cellStyle name="Total 2 2 3 2 2" xfId="23363"/>
    <cellStyle name="Total 2 2 3 2 2 2" xfId="43431"/>
    <cellStyle name="Total 2 2 3 2 3" xfId="32890"/>
    <cellStyle name="Total 2 2 3 3" xfId="14610"/>
    <cellStyle name="Total 2 2 3 3 2" xfId="34678"/>
    <cellStyle name="Total 2 2 3 4" xfId="32889"/>
    <cellStyle name="Total 2 2 30" xfId="32801"/>
    <cellStyle name="Total 2 2 4" xfId="12805"/>
    <cellStyle name="Total 2 2 4 2" xfId="12806"/>
    <cellStyle name="Total 2 2 4 2 2" xfId="23364"/>
    <cellStyle name="Total 2 2 4 2 2 2" xfId="43432"/>
    <cellStyle name="Total 2 2 4 2 3" xfId="32892"/>
    <cellStyle name="Total 2 2 4 3" xfId="14736"/>
    <cellStyle name="Total 2 2 4 3 2" xfId="34804"/>
    <cellStyle name="Total 2 2 4 4" xfId="32891"/>
    <cellStyle name="Total 2 2 5" xfId="12807"/>
    <cellStyle name="Total 2 2 5 2" xfId="12808"/>
    <cellStyle name="Total 2 2 5 2 2" xfId="23365"/>
    <cellStyle name="Total 2 2 5 2 2 2" xfId="43433"/>
    <cellStyle name="Total 2 2 5 2 3" xfId="32894"/>
    <cellStyle name="Total 2 2 5 3" xfId="14848"/>
    <cellStyle name="Total 2 2 5 3 2" xfId="34916"/>
    <cellStyle name="Total 2 2 5 4" xfId="32893"/>
    <cellStyle name="Total 2 2 6" xfId="12809"/>
    <cellStyle name="Total 2 2 6 2" xfId="12810"/>
    <cellStyle name="Total 2 2 6 2 2" xfId="23366"/>
    <cellStyle name="Total 2 2 6 2 2 2" xfId="43434"/>
    <cellStyle name="Total 2 2 6 2 3" xfId="32896"/>
    <cellStyle name="Total 2 2 6 3" xfId="15025"/>
    <cellStyle name="Total 2 2 6 3 2" xfId="35093"/>
    <cellStyle name="Total 2 2 6 4" xfId="32895"/>
    <cellStyle name="Total 2 2 7" xfId="12811"/>
    <cellStyle name="Total 2 2 7 2" xfId="12812"/>
    <cellStyle name="Total 2 2 7 2 2" xfId="23367"/>
    <cellStyle name="Total 2 2 7 2 2 2" xfId="43435"/>
    <cellStyle name="Total 2 2 7 2 3" xfId="32898"/>
    <cellStyle name="Total 2 2 7 3" xfId="14995"/>
    <cellStyle name="Total 2 2 7 3 2" xfId="35063"/>
    <cellStyle name="Total 2 2 7 4" xfId="32897"/>
    <cellStyle name="Total 2 2 8" xfId="12813"/>
    <cellStyle name="Total 2 2 8 2" xfId="12814"/>
    <cellStyle name="Total 2 2 8 2 2" xfId="23368"/>
    <cellStyle name="Total 2 2 8 2 2 2" xfId="43436"/>
    <cellStyle name="Total 2 2 8 2 3" xfId="32900"/>
    <cellStyle name="Total 2 2 8 3" xfId="15169"/>
    <cellStyle name="Total 2 2 8 3 2" xfId="35237"/>
    <cellStyle name="Total 2 2 8 4" xfId="32899"/>
    <cellStyle name="Total 2 2 9" xfId="12815"/>
    <cellStyle name="Total 2 2 9 2" xfId="12816"/>
    <cellStyle name="Total 2 2 9 2 2" xfId="23369"/>
    <cellStyle name="Total 2 2 9 2 2 2" xfId="43437"/>
    <cellStyle name="Total 2 2 9 2 3" xfId="32902"/>
    <cellStyle name="Total 2 2 9 3" xfId="15350"/>
    <cellStyle name="Total 2 2 9 3 2" xfId="35418"/>
    <cellStyle name="Total 2 2 9 4" xfId="32901"/>
    <cellStyle name="Total 2 20" xfId="12817"/>
    <cellStyle name="Total 2 20 2" xfId="12818"/>
    <cellStyle name="Total 2 20 2 2" xfId="23370"/>
    <cellStyle name="Total 2 20 2 2 2" xfId="43438"/>
    <cellStyle name="Total 2 20 2 3" xfId="32904"/>
    <cellStyle name="Total 2 20 3" xfId="15721"/>
    <cellStyle name="Total 2 20 3 2" xfId="35789"/>
    <cellStyle name="Total 2 20 4" xfId="32903"/>
    <cellStyle name="Total 2 21" xfId="12819"/>
    <cellStyle name="Total 2 21 2" xfId="12820"/>
    <cellStyle name="Total 2 21 2 2" xfId="23371"/>
    <cellStyle name="Total 2 21 2 2 2" xfId="43439"/>
    <cellStyle name="Total 2 21 2 3" xfId="32906"/>
    <cellStyle name="Total 2 21 3" xfId="16030"/>
    <cellStyle name="Total 2 21 3 2" xfId="36098"/>
    <cellStyle name="Total 2 21 4" xfId="32905"/>
    <cellStyle name="Total 2 22" xfId="12821"/>
    <cellStyle name="Total 2 22 2" xfId="12822"/>
    <cellStyle name="Total 2 22 2 2" xfId="23372"/>
    <cellStyle name="Total 2 22 2 2 2" xfId="43440"/>
    <cellStyle name="Total 2 22 2 3" xfId="32908"/>
    <cellStyle name="Total 2 22 3" xfId="15690"/>
    <cellStyle name="Total 2 22 3 2" xfId="35758"/>
    <cellStyle name="Total 2 22 4" xfId="32907"/>
    <cellStyle name="Total 2 23" xfId="12823"/>
    <cellStyle name="Total 2 23 2" xfId="12824"/>
    <cellStyle name="Total 2 23 2 2" xfId="23373"/>
    <cellStyle name="Total 2 23 2 2 2" xfId="43441"/>
    <cellStyle name="Total 2 23 2 3" xfId="32910"/>
    <cellStyle name="Total 2 23 3" xfId="16080"/>
    <cellStyle name="Total 2 23 3 2" xfId="36148"/>
    <cellStyle name="Total 2 23 4" xfId="32909"/>
    <cellStyle name="Total 2 24" xfId="12825"/>
    <cellStyle name="Total 2 24 2" xfId="12826"/>
    <cellStyle name="Total 2 24 2 2" xfId="23374"/>
    <cellStyle name="Total 2 24 2 2 2" xfId="43442"/>
    <cellStyle name="Total 2 24 2 3" xfId="32912"/>
    <cellStyle name="Total 2 24 3" xfId="16090"/>
    <cellStyle name="Total 2 24 3 2" xfId="36158"/>
    <cellStyle name="Total 2 24 4" xfId="32911"/>
    <cellStyle name="Total 2 25" xfId="12827"/>
    <cellStyle name="Total 2 25 2" xfId="12828"/>
    <cellStyle name="Total 2 25 2 2" xfId="23375"/>
    <cellStyle name="Total 2 25 2 2 2" xfId="43443"/>
    <cellStyle name="Total 2 25 2 3" xfId="32914"/>
    <cellStyle name="Total 2 25 3" xfId="17511"/>
    <cellStyle name="Total 2 25 3 2" xfId="37579"/>
    <cellStyle name="Total 2 25 4" xfId="32913"/>
    <cellStyle name="Total 2 26" xfId="12829"/>
    <cellStyle name="Total 2 26 2" xfId="12830"/>
    <cellStyle name="Total 2 26 2 2" xfId="23376"/>
    <cellStyle name="Total 2 26 2 2 2" xfId="43444"/>
    <cellStyle name="Total 2 26 2 3" xfId="32916"/>
    <cellStyle name="Total 2 26 3" xfId="18291"/>
    <cellStyle name="Total 2 26 3 2" xfId="38359"/>
    <cellStyle name="Total 2 26 4" xfId="32915"/>
    <cellStyle name="Total 2 27" xfId="12831"/>
    <cellStyle name="Total 2 27 2" xfId="12832"/>
    <cellStyle name="Total 2 27 2 2" xfId="23377"/>
    <cellStyle name="Total 2 27 2 2 2" xfId="43445"/>
    <cellStyle name="Total 2 27 2 3" xfId="32918"/>
    <cellStyle name="Total 2 27 3" xfId="15993"/>
    <cellStyle name="Total 2 27 3 2" xfId="36061"/>
    <cellStyle name="Total 2 27 4" xfId="32917"/>
    <cellStyle name="Total 2 28" xfId="12833"/>
    <cellStyle name="Total 2 28 2" xfId="12834"/>
    <cellStyle name="Total 2 28 2 2" xfId="23378"/>
    <cellStyle name="Total 2 28 2 2 2" xfId="43446"/>
    <cellStyle name="Total 2 28 2 3" xfId="32920"/>
    <cellStyle name="Total 2 28 3" xfId="15971"/>
    <cellStyle name="Total 2 28 3 2" xfId="36039"/>
    <cellStyle name="Total 2 28 4" xfId="32919"/>
    <cellStyle name="Total 2 29" xfId="12835"/>
    <cellStyle name="Total 2 29 2" xfId="12836"/>
    <cellStyle name="Total 2 29 2 2" xfId="23379"/>
    <cellStyle name="Total 2 29 2 2 2" xfId="43447"/>
    <cellStyle name="Total 2 29 2 3" xfId="32922"/>
    <cellStyle name="Total 2 29 3" xfId="15843"/>
    <cellStyle name="Total 2 29 3 2" xfId="35911"/>
    <cellStyle name="Total 2 29 4" xfId="32921"/>
    <cellStyle name="Total 2 3" xfId="12837"/>
    <cellStyle name="Total 2 3 10" xfId="12838"/>
    <cellStyle name="Total 2 3 10 2" xfId="12839"/>
    <cellStyle name="Total 2 3 10 2 2" xfId="23381"/>
    <cellStyle name="Total 2 3 10 2 2 2" xfId="43449"/>
    <cellStyle name="Total 2 3 10 2 3" xfId="32925"/>
    <cellStyle name="Total 2 3 10 3" xfId="16511"/>
    <cellStyle name="Total 2 3 10 3 2" xfId="36579"/>
    <cellStyle name="Total 2 3 10 4" xfId="32924"/>
    <cellStyle name="Total 2 3 11" xfId="12840"/>
    <cellStyle name="Total 2 3 11 2" xfId="12841"/>
    <cellStyle name="Total 2 3 11 2 2" xfId="23382"/>
    <cellStyle name="Total 2 3 11 2 2 2" xfId="43450"/>
    <cellStyle name="Total 2 3 11 2 3" xfId="32927"/>
    <cellStyle name="Total 2 3 11 3" xfId="16716"/>
    <cellStyle name="Total 2 3 11 3 2" xfId="36784"/>
    <cellStyle name="Total 2 3 11 4" xfId="32926"/>
    <cellStyle name="Total 2 3 12" xfId="12842"/>
    <cellStyle name="Total 2 3 12 2" xfId="12843"/>
    <cellStyle name="Total 2 3 12 2 2" xfId="23383"/>
    <cellStyle name="Total 2 3 12 2 2 2" xfId="43451"/>
    <cellStyle name="Total 2 3 12 2 3" xfId="32929"/>
    <cellStyle name="Total 2 3 12 3" xfId="16886"/>
    <cellStyle name="Total 2 3 12 3 2" xfId="36954"/>
    <cellStyle name="Total 2 3 12 4" xfId="32928"/>
    <cellStyle name="Total 2 3 13" xfId="12844"/>
    <cellStyle name="Total 2 3 13 2" xfId="12845"/>
    <cellStyle name="Total 2 3 13 2 2" xfId="23384"/>
    <cellStyle name="Total 2 3 13 2 2 2" xfId="43452"/>
    <cellStyle name="Total 2 3 13 2 3" xfId="32931"/>
    <cellStyle name="Total 2 3 13 3" xfId="17024"/>
    <cellStyle name="Total 2 3 13 3 2" xfId="37092"/>
    <cellStyle name="Total 2 3 13 4" xfId="32930"/>
    <cellStyle name="Total 2 3 14" xfId="12846"/>
    <cellStyle name="Total 2 3 14 2" xfId="12847"/>
    <cellStyle name="Total 2 3 14 2 2" xfId="23385"/>
    <cellStyle name="Total 2 3 14 2 2 2" xfId="43453"/>
    <cellStyle name="Total 2 3 14 2 3" xfId="32933"/>
    <cellStyle name="Total 2 3 14 3" xfId="17195"/>
    <cellStyle name="Total 2 3 14 3 2" xfId="37263"/>
    <cellStyle name="Total 2 3 14 4" xfId="32932"/>
    <cellStyle name="Total 2 3 15" xfId="12848"/>
    <cellStyle name="Total 2 3 15 2" xfId="12849"/>
    <cellStyle name="Total 2 3 15 2 2" xfId="23386"/>
    <cellStyle name="Total 2 3 15 2 2 2" xfId="43454"/>
    <cellStyle name="Total 2 3 15 2 3" xfId="32935"/>
    <cellStyle name="Total 2 3 15 3" xfId="17363"/>
    <cellStyle name="Total 2 3 15 3 2" xfId="37431"/>
    <cellStyle name="Total 2 3 15 4" xfId="32934"/>
    <cellStyle name="Total 2 3 16" xfId="12850"/>
    <cellStyle name="Total 2 3 16 2" xfId="12851"/>
    <cellStyle name="Total 2 3 16 2 2" xfId="23387"/>
    <cellStyle name="Total 2 3 16 2 2 2" xfId="43455"/>
    <cellStyle name="Total 2 3 16 2 3" xfId="32937"/>
    <cellStyle name="Total 2 3 16 3" xfId="17498"/>
    <cellStyle name="Total 2 3 16 3 2" xfId="37566"/>
    <cellStyle name="Total 2 3 16 4" xfId="32936"/>
    <cellStyle name="Total 2 3 17" xfId="12852"/>
    <cellStyle name="Total 2 3 17 2" xfId="12853"/>
    <cellStyle name="Total 2 3 17 2 2" xfId="23388"/>
    <cellStyle name="Total 2 3 17 2 2 2" xfId="43456"/>
    <cellStyle name="Total 2 3 17 2 3" xfId="32939"/>
    <cellStyle name="Total 2 3 17 3" xfId="15402"/>
    <cellStyle name="Total 2 3 17 3 2" xfId="35470"/>
    <cellStyle name="Total 2 3 17 4" xfId="32938"/>
    <cellStyle name="Total 2 3 18" xfId="12854"/>
    <cellStyle name="Total 2 3 18 2" xfId="12855"/>
    <cellStyle name="Total 2 3 18 2 2" xfId="23389"/>
    <cellStyle name="Total 2 3 18 2 2 2" xfId="43457"/>
    <cellStyle name="Total 2 3 18 2 3" xfId="32941"/>
    <cellStyle name="Total 2 3 18 3" xfId="17744"/>
    <cellStyle name="Total 2 3 18 3 2" xfId="37812"/>
    <cellStyle name="Total 2 3 18 4" xfId="32940"/>
    <cellStyle name="Total 2 3 19" xfId="12856"/>
    <cellStyle name="Total 2 3 19 2" xfId="12857"/>
    <cellStyle name="Total 2 3 19 2 2" xfId="23390"/>
    <cellStyle name="Total 2 3 19 2 2 2" xfId="43458"/>
    <cellStyle name="Total 2 3 19 2 3" xfId="32943"/>
    <cellStyle name="Total 2 3 19 3" xfId="17878"/>
    <cellStyle name="Total 2 3 19 3 2" xfId="37946"/>
    <cellStyle name="Total 2 3 19 4" xfId="32942"/>
    <cellStyle name="Total 2 3 2" xfId="12858"/>
    <cellStyle name="Total 2 3 2 10" xfId="12859"/>
    <cellStyle name="Total 2 3 2 10 2" xfId="12860"/>
    <cellStyle name="Total 2 3 2 10 2 2" xfId="23392"/>
    <cellStyle name="Total 2 3 2 10 2 2 2" xfId="43460"/>
    <cellStyle name="Total 2 3 2 10 2 3" xfId="32946"/>
    <cellStyle name="Total 2 3 2 10 3" xfId="16992"/>
    <cellStyle name="Total 2 3 2 10 3 2" xfId="37060"/>
    <cellStyle name="Total 2 3 2 10 4" xfId="32945"/>
    <cellStyle name="Total 2 3 2 11" xfId="12861"/>
    <cellStyle name="Total 2 3 2 11 2" xfId="12862"/>
    <cellStyle name="Total 2 3 2 11 2 2" xfId="23393"/>
    <cellStyle name="Total 2 3 2 11 2 2 2" xfId="43461"/>
    <cellStyle name="Total 2 3 2 11 2 3" xfId="32948"/>
    <cellStyle name="Total 2 3 2 11 3" xfId="17137"/>
    <cellStyle name="Total 2 3 2 11 3 2" xfId="37205"/>
    <cellStyle name="Total 2 3 2 11 4" xfId="32947"/>
    <cellStyle name="Total 2 3 2 12" xfId="12863"/>
    <cellStyle name="Total 2 3 2 12 2" xfId="12864"/>
    <cellStyle name="Total 2 3 2 12 2 2" xfId="23394"/>
    <cellStyle name="Total 2 3 2 12 2 2 2" xfId="43462"/>
    <cellStyle name="Total 2 3 2 12 2 3" xfId="32950"/>
    <cellStyle name="Total 2 3 2 12 3" xfId="17309"/>
    <cellStyle name="Total 2 3 2 12 3 2" xfId="37377"/>
    <cellStyle name="Total 2 3 2 12 4" xfId="32949"/>
    <cellStyle name="Total 2 3 2 13" xfId="12865"/>
    <cellStyle name="Total 2 3 2 13 2" xfId="12866"/>
    <cellStyle name="Total 2 3 2 13 2 2" xfId="23395"/>
    <cellStyle name="Total 2 3 2 13 2 2 2" xfId="43463"/>
    <cellStyle name="Total 2 3 2 13 2 3" xfId="32952"/>
    <cellStyle name="Total 2 3 2 13 3" xfId="17473"/>
    <cellStyle name="Total 2 3 2 13 3 2" xfId="37541"/>
    <cellStyle name="Total 2 3 2 13 4" xfId="32951"/>
    <cellStyle name="Total 2 3 2 14" xfId="12867"/>
    <cellStyle name="Total 2 3 2 14 2" xfId="12868"/>
    <cellStyle name="Total 2 3 2 14 2 2" xfId="23396"/>
    <cellStyle name="Total 2 3 2 14 2 2 2" xfId="43464"/>
    <cellStyle name="Total 2 3 2 14 2 3" xfId="32954"/>
    <cellStyle name="Total 2 3 2 14 3" xfId="17599"/>
    <cellStyle name="Total 2 3 2 14 3 2" xfId="37667"/>
    <cellStyle name="Total 2 3 2 14 4" xfId="32953"/>
    <cellStyle name="Total 2 3 2 15" xfId="12869"/>
    <cellStyle name="Total 2 3 2 15 2" xfId="12870"/>
    <cellStyle name="Total 2 3 2 15 2 2" xfId="23397"/>
    <cellStyle name="Total 2 3 2 15 2 2 2" xfId="43465"/>
    <cellStyle name="Total 2 3 2 15 2 3" xfId="32956"/>
    <cellStyle name="Total 2 3 2 15 3" xfId="15581"/>
    <cellStyle name="Total 2 3 2 15 3 2" xfId="35649"/>
    <cellStyle name="Total 2 3 2 15 4" xfId="32955"/>
    <cellStyle name="Total 2 3 2 16" xfId="12871"/>
    <cellStyle name="Total 2 3 2 16 2" xfId="12872"/>
    <cellStyle name="Total 2 3 2 16 2 2" xfId="23398"/>
    <cellStyle name="Total 2 3 2 16 2 2 2" xfId="43466"/>
    <cellStyle name="Total 2 3 2 16 2 3" xfId="32958"/>
    <cellStyle name="Total 2 3 2 16 3" xfId="17849"/>
    <cellStyle name="Total 2 3 2 16 3 2" xfId="37917"/>
    <cellStyle name="Total 2 3 2 16 4" xfId="32957"/>
    <cellStyle name="Total 2 3 2 17" xfId="12873"/>
    <cellStyle name="Total 2 3 2 17 2" xfId="12874"/>
    <cellStyle name="Total 2 3 2 17 2 2" xfId="23399"/>
    <cellStyle name="Total 2 3 2 17 2 2 2" xfId="43467"/>
    <cellStyle name="Total 2 3 2 17 2 3" xfId="32960"/>
    <cellStyle name="Total 2 3 2 17 3" xfId="17987"/>
    <cellStyle name="Total 2 3 2 17 3 2" xfId="38055"/>
    <cellStyle name="Total 2 3 2 17 4" xfId="32959"/>
    <cellStyle name="Total 2 3 2 18" xfId="12875"/>
    <cellStyle name="Total 2 3 2 18 2" xfId="12876"/>
    <cellStyle name="Total 2 3 2 18 2 2" xfId="23400"/>
    <cellStyle name="Total 2 3 2 18 2 2 2" xfId="43468"/>
    <cellStyle name="Total 2 3 2 18 2 3" xfId="32962"/>
    <cellStyle name="Total 2 3 2 18 3" xfId="18126"/>
    <cellStyle name="Total 2 3 2 18 3 2" xfId="38194"/>
    <cellStyle name="Total 2 3 2 18 4" xfId="32961"/>
    <cellStyle name="Total 2 3 2 19" xfId="12877"/>
    <cellStyle name="Total 2 3 2 19 2" xfId="12878"/>
    <cellStyle name="Total 2 3 2 19 2 2" xfId="23401"/>
    <cellStyle name="Total 2 3 2 19 2 2 2" xfId="43469"/>
    <cellStyle name="Total 2 3 2 19 2 3" xfId="32964"/>
    <cellStyle name="Total 2 3 2 19 3" xfId="18244"/>
    <cellStyle name="Total 2 3 2 19 3 2" xfId="38312"/>
    <cellStyle name="Total 2 3 2 19 4" xfId="32963"/>
    <cellStyle name="Total 2 3 2 2" xfId="12879"/>
    <cellStyle name="Total 2 3 2 2 2" xfId="12880"/>
    <cellStyle name="Total 2 3 2 2 2 2" xfId="23402"/>
    <cellStyle name="Total 2 3 2 2 2 2 2" xfId="43470"/>
    <cellStyle name="Total 2 3 2 2 2 3" xfId="32966"/>
    <cellStyle name="Total 2 3 2 2 3" xfId="14712"/>
    <cellStyle name="Total 2 3 2 2 3 2" xfId="34780"/>
    <cellStyle name="Total 2 3 2 2 4" xfId="32965"/>
    <cellStyle name="Total 2 3 2 20" xfId="12881"/>
    <cellStyle name="Total 2 3 2 20 2" xfId="12882"/>
    <cellStyle name="Total 2 3 2 20 2 2" xfId="23403"/>
    <cellStyle name="Total 2 3 2 20 2 2 2" xfId="43471"/>
    <cellStyle name="Total 2 3 2 20 2 3" xfId="32968"/>
    <cellStyle name="Total 2 3 2 20 3" xfId="18319"/>
    <cellStyle name="Total 2 3 2 20 3 2" xfId="38387"/>
    <cellStyle name="Total 2 3 2 20 4" xfId="32967"/>
    <cellStyle name="Total 2 3 2 21" xfId="12883"/>
    <cellStyle name="Total 2 3 2 21 2" xfId="12884"/>
    <cellStyle name="Total 2 3 2 21 2 2" xfId="23404"/>
    <cellStyle name="Total 2 3 2 21 2 2 2" xfId="43472"/>
    <cellStyle name="Total 2 3 2 21 2 3" xfId="32970"/>
    <cellStyle name="Total 2 3 2 21 3" xfId="18449"/>
    <cellStyle name="Total 2 3 2 21 3 2" xfId="38517"/>
    <cellStyle name="Total 2 3 2 21 4" xfId="32969"/>
    <cellStyle name="Total 2 3 2 22" xfId="12885"/>
    <cellStyle name="Total 2 3 2 22 2" xfId="12886"/>
    <cellStyle name="Total 2 3 2 22 2 2" xfId="23405"/>
    <cellStyle name="Total 2 3 2 22 2 2 2" xfId="43473"/>
    <cellStyle name="Total 2 3 2 22 2 3" xfId="32972"/>
    <cellStyle name="Total 2 3 2 22 3" xfId="18582"/>
    <cellStyle name="Total 2 3 2 22 3 2" xfId="38650"/>
    <cellStyle name="Total 2 3 2 22 4" xfId="32971"/>
    <cellStyle name="Total 2 3 2 23" xfId="12887"/>
    <cellStyle name="Total 2 3 2 23 2" xfId="12888"/>
    <cellStyle name="Total 2 3 2 23 2 2" xfId="23406"/>
    <cellStyle name="Total 2 3 2 23 2 2 2" xfId="43474"/>
    <cellStyle name="Total 2 3 2 23 2 3" xfId="32974"/>
    <cellStyle name="Total 2 3 2 23 3" xfId="18693"/>
    <cellStyle name="Total 2 3 2 23 3 2" xfId="38761"/>
    <cellStyle name="Total 2 3 2 23 4" xfId="32973"/>
    <cellStyle name="Total 2 3 2 24" xfId="12889"/>
    <cellStyle name="Total 2 3 2 24 2" xfId="12890"/>
    <cellStyle name="Total 2 3 2 24 2 2" xfId="23407"/>
    <cellStyle name="Total 2 3 2 24 2 2 2" xfId="43475"/>
    <cellStyle name="Total 2 3 2 24 2 3" xfId="32976"/>
    <cellStyle name="Total 2 3 2 24 3" xfId="18793"/>
    <cellStyle name="Total 2 3 2 24 3 2" xfId="38861"/>
    <cellStyle name="Total 2 3 2 24 4" xfId="32975"/>
    <cellStyle name="Total 2 3 2 25" xfId="12891"/>
    <cellStyle name="Total 2 3 2 25 2" xfId="12892"/>
    <cellStyle name="Total 2 3 2 25 2 2" xfId="23408"/>
    <cellStyle name="Total 2 3 2 25 2 2 2" xfId="43476"/>
    <cellStyle name="Total 2 3 2 25 2 3" xfId="32978"/>
    <cellStyle name="Total 2 3 2 25 3" xfId="18893"/>
    <cellStyle name="Total 2 3 2 25 3 2" xfId="38961"/>
    <cellStyle name="Total 2 3 2 25 4" xfId="32977"/>
    <cellStyle name="Total 2 3 2 26" xfId="12893"/>
    <cellStyle name="Total 2 3 2 26 2" xfId="23391"/>
    <cellStyle name="Total 2 3 2 26 2 2" xfId="43459"/>
    <cellStyle name="Total 2 3 2 26 3" xfId="32979"/>
    <cellStyle name="Total 2 3 2 27" xfId="14045"/>
    <cellStyle name="Total 2 3 2 27 2" xfId="34113"/>
    <cellStyle name="Total 2 3 2 28" xfId="32944"/>
    <cellStyle name="Total 2 3 2 3" xfId="12894"/>
    <cellStyle name="Total 2 3 2 3 2" xfId="12895"/>
    <cellStyle name="Total 2 3 2 3 2 2" xfId="23409"/>
    <cellStyle name="Total 2 3 2 3 2 2 2" xfId="43477"/>
    <cellStyle name="Total 2 3 2 3 2 3" xfId="32981"/>
    <cellStyle name="Total 2 3 2 3 3" xfId="14836"/>
    <cellStyle name="Total 2 3 2 3 3 2" xfId="34904"/>
    <cellStyle name="Total 2 3 2 3 4" xfId="32980"/>
    <cellStyle name="Total 2 3 2 4" xfId="12896"/>
    <cellStyle name="Total 2 3 2 4 2" xfId="12897"/>
    <cellStyle name="Total 2 3 2 4 2 2" xfId="23410"/>
    <cellStyle name="Total 2 3 2 4 2 2 2" xfId="43478"/>
    <cellStyle name="Total 2 3 2 4 2 3" xfId="32983"/>
    <cellStyle name="Total 2 3 2 4 3" xfId="14961"/>
    <cellStyle name="Total 2 3 2 4 3 2" xfId="35029"/>
    <cellStyle name="Total 2 3 2 4 4" xfId="32982"/>
    <cellStyle name="Total 2 3 2 5" xfId="12898"/>
    <cellStyle name="Total 2 3 2 5 2" xfId="12899"/>
    <cellStyle name="Total 2 3 2 5 2 2" xfId="23411"/>
    <cellStyle name="Total 2 3 2 5 2 2 2" xfId="43479"/>
    <cellStyle name="Total 2 3 2 5 2 3" xfId="32985"/>
    <cellStyle name="Total 2 3 2 5 3" xfId="15130"/>
    <cellStyle name="Total 2 3 2 5 3 2" xfId="35198"/>
    <cellStyle name="Total 2 3 2 5 4" xfId="32984"/>
    <cellStyle name="Total 2 3 2 6" xfId="12900"/>
    <cellStyle name="Total 2 3 2 6 2" xfId="12901"/>
    <cellStyle name="Total 2 3 2 6 2 2" xfId="23412"/>
    <cellStyle name="Total 2 3 2 6 2 2 2" xfId="43480"/>
    <cellStyle name="Total 2 3 2 6 2 3" xfId="32987"/>
    <cellStyle name="Total 2 3 2 6 3" xfId="15023"/>
    <cellStyle name="Total 2 3 2 6 3 2" xfId="35091"/>
    <cellStyle name="Total 2 3 2 6 4" xfId="32986"/>
    <cellStyle name="Total 2 3 2 7" xfId="12902"/>
    <cellStyle name="Total 2 3 2 7 2" xfId="12903"/>
    <cellStyle name="Total 2 3 2 7 2 2" xfId="23413"/>
    <cellStyle name="Total 2 3 2 7 2 2 2" xfId="43481"/>
    <cellStyle name="Total 2 3 2 7 2 3" xfId="32989"/>
    <cellStyle name="Total 2 3 2 7 3" xfId="15262"/>
    <cellStyle name="Total 2 3 2 7 3 2" xfId="35330"/>
    <cellStyle name="Total 2 3 2 7 4" xfId="32988"/>
    <cellStyle name="Total 2 3 2 8" xfId="12904"/>
    <cellStyle name="Total 2 3 2 8 2" xfId="12905"/>
    <cellStyle name="Total 2 3 2 8 2 2" xfId="23414"/>
    <cellStyle name="Total 2 3 2 8 2 2 2" xfId="43482"/>
    <cellStyle name="Total 2 3 2 8 2 3" xfId="32991"/>
    <cellStyle name="Total 2 3 2 8 3" xfId="16627"/>
    <cellStyle name="Total 2 3 2 8 3 2" xfId="36695"/>
    <cellStyle name="Total 2 3 2 8 4" xfId="32990"/>
    <cellStyle name="Total 2 3 2 9" xfId="12906"/>
    <cellStyle name="Total 2 3 2 9 2" xfId="12907"/>
    <cellStyle name="Total 2 3 2 9 2 2" xfId="23415"/>
    <cellStyle name="Total 2 3 2 9 2 2 2" xfId="43483"/>
    <cellStyle name="Total 2 3 2 9 2 3" xfId="32993"/>
    <cellStyle name="Total 2 3 2 9 3" xfId="16831"/>
    <cellStyle name="Total 2 3 2 9 3 2" xfId="36899"/>
    <cellStyle name="Total 2 3 2 9 4" xfId="32992"/>
    <cellStyle name="Total 2 3 20" xfId="12908"/>
    <cellStyle name="Total 2 3 20 2" xfId="12909"/>
    <cellStyle name="Total 2 3 20 2 2" xfId="23416"/>
    <cellStyle name="Total 2 3 20 2 2 2" xfId="43484"/>
    <cellStyle name="Total 2 3 20 2 3" xfId="32995"/>
    <cellStyle name="Total 2 3 20 3" xfId="18025"/>
    <cellStyle name="Total 2 3 20 3 2" xfId="38093"/>
    <cellStyle name="Total 2 3 20 4" xfId="32994"/>
    <cellStyle name="Total 2 3 21" xfId="12910"/>
    <cellStyle name="Total 2 3 21 2" xfId="12911"/>
    <cellStyle name="Total 2 3 21 2 2" xfId="23417"/>
    <cellStyle name="Total 2 3 21 2 2 2" xfId="43485"/>
    <cellStyle name="Total 2 3 21 2 3" xfId="32997"/>
    <cellStyle name="Total 2 3 21 3" xfId="18148"/>
    <cellStyle name="Total 2 3 21 3 2" xfId="38216"/>
    <cellStyle name="Total 2 3 21 4" xfId="32996"/>
    <cellStyle name="Total 2 3 22" xfId="12912"/>
    <cellStyle name="Total 2 3 22 2" xfId="12913"/>
    <cellStyle name="Total 2 3 22 2 2" xfId="23418"/>
    <cellStyle name="Total 2 3 22 2 2 2" xfId="43486"/>
    <cellStyle name="Total 2 3 22 2 3" xfId="32999"/>
    <cellStyle name="Total 2 3 22 3" xfId="16065"/>
    <cellStyle name="Total 2 3 22 3 2" xfId="36133"/>
    <cellStyle name="Total 2 3 22 4" xfId="32998"/>
    <cellStyle name="Total 2 3 23" xfId="12914"/>
    <cellStyle name="Total 2 3 23 2" xfId="12915"/>
    <cellStyle name="Total 2 3 23 2 2" xfId="23419"/>
    <cellStyle name="Total 2 3 23 2 2 2" xfId="43487"/>
    <cellStyle name="Total 2 3 23 2 3" xfId="33001"/>
    <cellStyle name="Total 2 3 23 3" xfId="18343"/>
    <cellStyle name="Total 2 3 23 3 2" xfId="38411"/>
    <cellStyle name="Total 2 3 23 4" xfId="33000"/>
    <cellStyle name="Total 2 3 24" xfId="12916"/>
    <cellStyle name="Total 2 3 24 2" xfId="12917"/>
    <cellStyle name="Total 2 3 24 2 2" xfId="23420"/>
    <cellStyle name="Total 2 3 24 2 2 2" xfId="43488"/>
    <cellStyle name="Total 2 3 24 2 3" xfId="33003"/>
    <cellStyle name="Total 2 3 24 3" xfId="18488"/>
    <cellStyle name="Total 2 3 24 3 2" xfId="38556"/>
    <cellStyle name="Total 2 3 24 4" xfId="33002"/>
    <cellStyle name="Total 2 3 25" xfId="12918"/>
    <cellStyle name="Total 2 3 25 2" xfId="12919"/>
    <cellStyle name="Total 2 3 25 2 2" xfId="23421"/>
    <cellStyle name="Total 2 3 25 2 2 2" xfId="43489"/>
    <cellStyle name="Total 2 3 25 2 3" xfId="33005"/>
    <cellStyle name="Total 2 3 25 3" xfId="18601"/>
    <cellStyle name="Total 2 3 25 3 2" xfId="38669"/>
    <cellStyle name="Total 2 3 25 4" xfId="33004"/>
    <cellStyle name="Total 2 3 26" xfId="12920"/>
    <cellStyle name="Total 2 3 26 2" xfId="12921"/>
    <cellStyle name="Total 2 3 26 2 2" xfId="23422"/>
    <cellStyle name="Total 2 3 26 2 2 2" xfId="43490"/>
    <cellStyle name="Total 2 3 26 2 3" xfId="33007"/>
    <cellStyle name="Total 2 3 26 3" xfId="18701"/>
    <cellStyle name="Total 2 3 26 3 2" xfId="38769"/>
    <cellStyle name="Total 2 3 26 4" xfId="33006"/>
    <cellStyle name="Total 2 3 27" xfId="12922"/>
    <cellStyle name="Total 2 3 27 2" xfId="12923"/>
    <cellStyle name="Total 2 3 27 2 2" xfId="23423"/>
    <cellStyle name="Total 2 3 27 2 2 2" xfId="43491"/>
    <cellStyle name="Total 2 3 27 2 3" xfId="33009"/>
    <cellStyle name="Total 2 3 27 3" xfId="18801"/>
    <cellStyle name="Total 2 3 27 3 2" xfId="38869"/>
    <cellStyle name="Total 2 3 27 4" xfId="33008"/>
    <cellStyle name="Total 2 3 28" xfId="12924"/>
    <cellStyle name="Total 2 3 28 2" xfId="23380"/>
    <cellStyle name="Total 2 3 28 2 2" xfId="43448"/>
    <cellStyle name="Total 2 3 28 3" xfId="33010"/>
    <cellStyle name="Total 2 3 29" xfId="13945"/>
    <cellStyle name="Total 2 3 29 2" xfId="34013"/>
    <cellStyle name="Total 2 3 3" xfId="12925"/>
    <cellStyle name="Total 2 3 3 2" xfId="12926"/>
    <cellStyle name="Total 2 3 3 2 2" xfId="23424"/>
    <cellStyle name="Total 2 3 3 2 2 2" xfId="43492"/>
    <cellStyle name="Total 2 3 3 2 3" xfId="33012"/>
    <cellStyle name="Total 2 3 3 3" xfId="14382"/>
    <cellStyle name="Total 2 3 3 3 2" xfId="34450"/>
    <cellStyle name="Total 2 3 3 4" xfId="33011"/>
    <cellStyle name="Total 2 3 30" xfId="32923"/>
    <cellStyle name="Total 2 3 4" xfId="12927"/>
    <cellStyle name="Total 2 3 4 2" xfId="12928"/>
    <cellStyle name="Total 2 3 4 2 2" xfId="23425"/>
    <cellStyle name="Total 2 3 4 2 2 2" xfId="43493"/>
    <cellStyle name="Total 2 3 4 2 3" xfId="33014"/>
    <cellStyle name="Total 2 3 4 3" xfId="14737"/>
    <cellStyle name="Total 2 3 4 3 2" xfId="34805"/>
    <cellStyle name="Total 2 3 4 4" xfId="33013"/>
    <cellStyle name="Total 2 3 5" xfId="12929"/>
    <cellStyle name="Total 2 3 5 2" xfId="12930"/>
    <cellStyle name="Total 2 3 5 2 2" xfId="23426"/>
    <cellStyle name="Total 2 3 5 2 2 2" xfId="43494"/>
    <cellStyle name="Total 2 3 5 2 3" xfId="33016"/>
    <cellStyle name="Total 2 3 5 3" xfId="14849"/>
    <cellStyle name="Total 2 3 5 3 2" xfId="34917"/>
    <cellStyle name="Total 2 3 5 4" xfId="33015"/>
    <cellStyle name="Total 2 3 6" xfId="12931"/>
    <cellStyle name="Total 2 3 6 2" xfId="12932"/>
    <cellStyle name="Total 2 3 6 2 2" xfId="23427"/>
    <cellStyle name="Total 2 3 6 2 2 2" xfId="43495"/>
    <cellStyle name="Total 2 3 6 2 3" xfId="33018"/>
    <cellStyle name="Total 2 3 6 3" xfId="15026"/>
    <cellStyle name="Total 2 3 6 3 2" xfId="35094"/>
    <cellStyle name="Total 2 3 6 4" xfId="33017"/>
    <cellStyle name="Total 2 3 7" xfId="12933"/>
    <cellStyle name="Total 2 3 7 2" xfId="12934"/>
    <cellStyle name="Total 2 3 7 2 2" xfId="23428"/>
    <cellStyle name="Total 2 3 7 2 2 2" xfId="43496"/>
    <cellStyle name="Total 2 3 7 2 3" xfId="33020"/>
    <cellStyle name="Total 2 3 7 3" xfId="14996"/>
    <cellStyle name="Total 2 3 7 3 2" xfId="35064"/>
    <cellStyle name="Total 2 3 7 4" xfId="33019"/>
    <cellStyle name="Total 2 3 8" xfId="12935"/>
    <cellStyle name="Total 2 3 8 2" xfId="12936"/>
    <cellStyle name="Total 2 3 8 2 2" xfId="23429"/>
    <cellStyle name="Total 2 3 8 2 2 2" xfId="43497"/>
    <cellStyle name="Total 2 3 8 2 3" xfId="33022"/>
    <cellStyle name="Total 2 3 8 3" xfId="15170"/>
    <cellStyle name="Total 2 3 8 3 2" xfId="35238"/>
    <cellStyle name="Total 2 3 8 4" xfId="33021"/>
    <cellStyle name="Total 2 3 9" xfId="12937"/>
    <cellStyle name="Total 2 3 9 2" xfId="12938"/>
    <cellStyle name="Total 2 3 9 2 2" xfId="23430"/>
    <cellStyle name="Total 2 3 9 2 2 2" xfId="43498"/>
    <cellStyle name="Total 2 3 9 2 3" xfId="33024"/>
    <cellStyle name="Total 2 3 9 3" xfId="15351"/>
    <cellStyle name="Total 2 3 9 3 2" xfId="35419"/>
    <cellStyle name="Total 2 3 9 4" xfId="33023"/>
    <cellStyle name="Total 2 30" xfId="12939"/>
    <cellStyle name="Total 2 30 2" xfId="12940"/>
    <cellStyle name="Total 2 30 2 2" xfId="23431"/>
    <cellStyle name="Total 2 30 2 2 2" xfId="43499"/>
    <cellStyle name="Total 2 30 2 3" xfId="33026"/>
    <cellStyle name="Total 2 30 3" xfId="16349"/>
    <cellStyle name="Total 2 30 3 2" xfId="36417"/>
    <cellStyle name="Total 2 30 4" xfId="33025"/>
    <cellStyle name="Total 2 31" xfId="12941"/>
    <cellStyle name="Total 2 31 2" xfId="12942"/>
    <cellStyle name="Total 2 31 2 2" xfId="23432"/>
    <cellStyle name="Total 2 31 2 2 2" xfId="43500"/>
    <cellStyle name="Total 2 31 2 3" xfId="33028"/>
    <cellStyle name="Total 2 31 3" xfId="15958"/>
    <cellStyle name="Total 2 31 3 2" xfId="36026"/>
    <cellStyle name="Total 2 31 4" xfId="33027"/>
    <cellStyle name="Total 2 32" xfId="12943"/>
    <cellStyle name="Total 2 32 2" xfId="23308"/>
    <cellStyle name="Total 2 32 2 2" xfId="43376"/>
    <cellStyle name="Total 2 32 3" xfId="33029"/>
    <cellStyle name="Total 2 33" xfId="13943"/>
    <cellStyle name="Total 2 33 2" xfId="34011"/>
    <cellStyle name="Total 2 34" xfId="32780"/>
    <cellStyle name="Total 2 4" xfId="12944"/>
    <cellStyle name="Total 2 4 10" xfId="12945"/>
    <cellStyle name="Total 2 4 10 2" xfId="12946"/>
    <cellStyle name="Total 2 4 10 2 2" xfId="23434"/>
    <cellStyle name="Total 2 4 10 2 2 2" xfId="43502"/>
    <cellStyle name="Total 2 4 10 2 3" xfId="33032"/>
    <cellStyle name="Total 2 4 10 3" xfId="16512"/>
    <cellStyle name="Total 2 4 10 3 2" xfId="36580"/>
    <cellStyle name="Total 2 4 10 4" xfId="33031"/>
    <cellStyle name="Total 2 4 11" xfId="12947"/>
    <cellStyle name="Total 2 4 11 2" xfId="12948"/>
    <cellStyle name="Total 2 4 11 2 2" xfId="23435"/>
    <cellStyle name="Total 2 4 11 2 2 2" xfId="43503"/>
    <cellStyle name="Total 2 4 11 2 3" xfId="33034"/>
    <cellStyle name="Total 2 4 11 3" xfId="16717"/>
    <cellStyle name="Total 2 4 11 3 2" xfId="36785"/>
    <cellStyle name="Total 2 4 11 4" xfId="33033"/>
    <cellStyle name="Total 2 4 12" xfId="12949"/>
    <cellStyle name="Total 2 4 12 2" xfId="12950"/>
    <cellStyle name="Total 2 4 12 2 2" xfId="23436"/>
    <cellStyle name="Total 2 4 12 2 2 2" xfId="43504"/>
    <cellStyle name="Total 2 4 12 2 3" xfId="33036"/>
    <cellStyle name="Total 2 4 12 3" xfId="16887"/>
    <cellStyle name="Total 2 4 12 3 2" xfId="36955"/>
    <cellStyle name="Total 2 4 12 4" xfId="33035"/>
    <cellStyle name="Total 2 4 13" xfId="12951"/>
    <cellStyle name="Total 2 4 13 2" xfId="12952"/>
    <cellStyle name="Total 2 4 13 2 2" xfId="23437"/>
    <cellStyle name="Total 2 4 13 2 2 2" xfId="43505"/>
    <cellStyle name="Total 2 4 13 2 3" xfId="33038"/>
    <cellStyle name="Total 2 4 13 3" xfId="17025"/>
    <cellStyle name="Total 2 4 13 3 2" xfId="37093"/>
    <cellStyle name="Total 2 4 13 4" xfId="33037"/>
    <cellStyle name="Total 2 4 14" xfId="12953"/>
    <cellStyle name="Total 2 4 14 2" xfId="12954"/>
    <cellStyle name="Total 2 4 14 2 2" xfId="23438"/>
    <cellStyle name="Total 2 4 14 2 2 2" xfId="43506"/>
    <cellStyle name="Total 2 4 14 2 3" xfId="33040"/>
    <cellStyle name="Total 2 4 14 3" xfId="17196"/>
    <cellStyle name="Total 2 4 14 3 2" xfId="37264"/>
    <cellStyle name="Total 2 4 14 4" xfId="33039"/>
    <cellStyle name="Total 2 4 15" xfId="12955"/>
    <cellStyle name="Total 2 4 15 2" xfId="12956"/>
    <cellStyle name="Total 2 4 15 2 2" xfId="23439"/>
    <cellStyle name="Total 2 4 15 2 2 2" xfId="43507"/>
    <cellStyle name="Total 2 4 15 2 3" xfId="33042"/>
    <cellStyle name="Total 2 4 15 3" xfId="17364"/>
    <cellStyle name="Total 2 4 15 3 2" xfId="37432"/>
    <cellStyle name="Total 2 4 15 4" xfId="33041"/>
    <cellStyle name="Total 2 4 16" xfId="12957"/>
    <cellStyle name="Total 2 4 16 2" xfId="12958"/>
    <cellStyle name="Total 2 4 16 2 2" xfId="23440"/>
    <cellStyle name="Total 2 4 16 2 2 2" xfId="43508"/>
    <cellStyle name="Total 2 4 16 2 3" xfId="33044"/>
    <cellStyle name="Total 2 4 16 3" xfId="17499"/>
    <cellStyle name="Total 2 4 16 3 2" xfId="37567"/>
    <cellStyle name="Total 2 4 16 4" xfId="33043"/>
    <cellStyle name="Total 2 4 17" xfId="12959"/>
    <cellStyle name="Total 2 4 17 2" xfId="12960"/>
    <cellStyle name="Total 2 4 17 2 2" xfId="23441"/>
    <cellStyle name="Total 2 4 17 2 2 2" xfId="43509"/>
    <cellStyle name="Total 2 4 17 2 3" xfId="33046"/>
    <cellStyle name="Total 2 4 17 3" xfId="17623"/>
    <cellStyle name="Total 2 4 17 3 2" xfId="37691"/>
    <cellStyle name="Total 2 4 17 4" xfId="33045"/>
    <cellStyle name="Total 2 4 18" xfId="12961"/>
    <cellStyle name="Total 2 4 18 2" xfId="12962"/>
    <cellStyle name="Total 2 4 18 2 2" xfId="23442"/>
    <cellStyle name="Total 2 4 18 2 2 2" xfId="43510"/>
    <cellStyle name="Total 2 4 18 2 3" xfId="33048"/>
    <cellStyle name="Total 2 4 18 3" xfId="17745"/>
    <cellStyle name="Total 2 4 18 3 2" xfId="37813"/>
    <cellStyle name="Total 2 4 18 4" xfId="33047"/>
    <cellStyle name="Total 2 4 19" xfId="12963"/>
    <cellStyle name="Total 2 4 19 2" xfId="12964"/>
    <cellStyle name="Total 2 4 19 2 2" xfId="23443"/>
    <cellStyle name="Total 2 4 19 2 2 2" xfId="43511"/>
    <cellStyle name="Total 2 4 19 2 3" xfId="33050"/>
    <cellStyle name="Total 2 4 19 3" xfId="17879"/>
    <cellStyle name="Total 2 4 19 3 2" xfId="37947"/>
    <cellStyle name="Total 2 4 19 4" xfId="33049"/>
    <cellStyle name="Total 2 4 2" xfId="12965"/>
    <cellStyle name="Total 2 4 2 10" xfId="12966"/>
    <cellStyle name="Total 2 4 2 10 2" xfId="12967"/>
    <cellStyle name="Total 2 4 2 10 2 2" xfId="23445"/>
    <cellStyle name="Total 2 4 2 10 2 2 2" xfId="43513"/>
    <cellStyle name="Total 2 4 2 10 2 3" xfId="33053"/>
    <cellStyle name="Total 2 4 2 10 3" xfId="16993"/>
    <cellStyle name="Total 2 4 2 10 3 2" xfId="37061"/>
    <cellStyle name="Total 2 4 2 10 4" xfId="33052"/>
    <cellStyle name="Total 2 4 2 11" xfId="12968"/>
    <cellStyle name="Total 2 4 2 11 2" xfId="12969"/>
    <cellStyle name="Total 2 4 2 11 2 2" xfId="23446"/>
    <cellStyle name="Total 2 4 2 11 2 2 2" xfId="43514"/>
    <cellStyle name="Total 2 4 2 11 2 3" xfId="33055"/>
    <cellStyle name="Total 2 4 2 11 3" xfId="17138"/>
    <cellStyle name="Total 2 4 2 11 3 2" xfId="37206"/>
    <cellStyle name="Total 2 4 2 11 4" xfId="33054"/>
    <cellStyle name="Total 2 4 2 12" xfId="12970"/>
    <cellStyle name="Total 2 4 2 12 2" xfId="12971"/>
    <cellStyle name="Total 2 4 2 12 2 2" xfId="23447"/>
    <cellStyle name="Total 2 4 2 12 2 2 2" xfId="43515"/>
    <cellStyle name="Total 2 4 2 12 2 3" xfId="33057"/>
    <cellStyle name="Total 2 4 2 12 3" xfId="17310"/>
    <cellStyle name="Total 2 4 2 12 3 2" xfId="37378"/>
    <cellStyle name="Total 2 4 2 12 4" xfId="33056"/>
    <cellStyle name="Total 2 4 2 13" xfId="12972"/>
    <cellStyle name="Total 2 4 2 13 2" xfId="12973"/>
    <cellStyle name="Total 2 4 2 13 2 2" xfId="23448"/>
    <cellStyle name="Total 2 4 2 13 2 2 2" xfId="43516"/>
    <cellStyle name="Total 2 4 2 13 2 3" xfId="33059"/>
    <cellStyle name="Total 2 4 2 13 3" xfId="17474"/>
    <cellStyle name="Total 2 4 2 13 3 2" xfId="37542"/>
    <cellStyle name="Total 2 4 2 13 4" xfId="33058"/>
    <cellStyle name="Total 2 4 2 14" xfId="12974"/>
    <cellStyle name="Total 2 4 2 14 2" xfId="12975"/>
    <cellStyle name="Total 2 4 2 14 2 2" xfId="23449"/>
    <cellStyle name="Total 2 4 2 14 2 2 2" xfId="43517"/>
    <cellStyle name="Total 2 4 2 14 2 3" xfId="33061"/>
    <cellStyle name="Total 2 4 2 14 3" xfId="17600"/>
    <cellStyle name="Total 2 4 2 14 3 2" xfId="37668"/>
    <cellStyle name="Total 2 4 2 14 4" xfId="33060"/>
    <cellStyle name="Total 2 4 2 15" xfId="12976"/>
    <cellStyle name="Total 2 4 2 15 2" xfId="12977"/>
    <cellStyle name="Total 2 4 2 15 2 2" xfId="23450"/>
    <cellStyle name="Total 2 4 2 15 2 2 2" xfId="43518"/>
    <cellStyle name="Total 2 4 2 15 2 3" xfId="33063"/>
    <cellStyle name="Total 2 4 2 15 3" xfId="16239"/>
    <cellStyle name="Total 2 4 2 15 3 2" xfId="36307"/>
    <cellStyle name="Total 2 4 2 15 4" xfId="33062"/>
    <cellStyle name="Total 2 4 2 16" xfId="12978"/>
    <cellStyle name="Total 2 4 2 16 2" xfId="12979"/>
    <cellStyle name="Total 2 4 2 16 2 2" xfId="23451"/>
    <cellStyle name="Total 2 4 2 16 2 2 2" xfId="43519"/>
    <cellStyle name="Total 2 4 2 16 2 3" xfId="33065"/>
    <cellStyle name="Total 2 4 2 16 3" xfId="17850"/>
    <cellStyle name="Total 2 4 2 16 3 2" xfId="37918"/>
    <cellStyle name="Total 2 4 2 16 4" xfId="33064"/>
    <cellStyle name="Total 2 4 2 17" xfId="12980"/>
    <cellStyle name="Total 2 4 2 17 2" xfId="12981"/>
    <cellStyle name="Total 2 4 2 17 2 2" xfId="23452"/>
    <cellStyle name="Total 2 4 2 17 2 2 2" xfId="43520"/>
    <cellStyle name="Total 2 4 2 17 2 3" xfId="33067"/>
    <cellStyle name="Total 2 4 2 17 3" xfId="17988"/>
    <cellStyle name="Total 2 4 2 17 3 2" xfId="38056"/>
    <cellStyle name="Total 2 4 2 17 4" xfId="33066"/>
    <cellStyle name="Total 2 4 2 18" xfId="12982"/>
    <cellStyle name="Total 2 4 2 18 2" xfId="12983"/>
    <cellStyle name="Total 2 4 2 18 2 2" xfId="23453"/>
    <cellStyle name="Total 2 4 2 18 2 2 2" xfId="43521"/>
    <cellStyle name="Total 2 4 2 18 2 3" xfId="33069"/>
    <cellStyle name="Total 2 4 2 18 3" xfId="18127"/>
    <cellStyle name="Total 2 4 2 18 3 2" xfId="38195"/>
    <cellStyle name="Total 2 4 2 18 4" xfId="33068"/>
    <cellStyle name="Total 2 4 2 19" xfId="12984"/>
    <cellStyle name="Total 2 4 2 19 2" xfId="12985"/>
    <cellStyle name="Total 2 4 2 19 2 2" xfId="23454"/>
    <cellStyle name="Total 2 4 2 19 2 2 2" xfId="43522"/>
    <cellStyle name="Total 2 4 2 19 2 3" xfId="33071"/>
    <cellStyle name="Total 2 4 2 19 3" xfId="18245"/>
    <cellStyle name="Total 2 4 2 19 3 2" xfId="38313"/>
    <cellStyle name="Total 2 4 2 19 4" xfId="33070"/>
    <cellStyle name="Total 2 4 2 2" xfId="12986"/>
    <cellStyle name="Total 2 4 2 2 2" xfId="12987"/>
    <cellStyle name="Total 2 4 2 2 2 2" xfId="23455"/>
    <cellStyle name="Total 2 4 2 2 2 2 2" xfId="43523"/>
    <cellStyle name="Total 2 4 2 2 2 3" xfId="33073"/>
    <cellStyle name="Total 2 4 2 2 3" xfId="14713"/>
    <cellStyle name="Total 2 4 2 2 3 2" xfId="34781"/>
    <cellStyle name="Total 2 4 2 2 4" xfId="33072"/>
    <cellStyle name="Total 2 4 2 20" xfId="12988"/>
    <cellStyle name="Total 2 4 2 20 2" xfId="12989"/>
    <cellStyle name="Total 2 4 2 20 2 2" xfId="23456"/>
    <cellStyle name="Total 2 4 2 20 2 2 2" xfId="43524"/>
    <cellStyle name="Total 2 4 2 20 2 3" xfId="33075"/>
    <cellStyle name="Total 2 4 2 20 3" xfId="18320"/>
    <cellStyle name="Total 2 4 2 20 3 2" xfId="38388"/>
    <cellStyle name="Total 2 4 2 20 4" xfId="33074"/>
    <cellStyle name="Total 2 4 2 21" xfId="12990"/>
    <cellStyle name="Total 2 4 2 21 2" xfId="12991"/>
    <cellStyle name="Total 2 4 2 21 2 2" xfId="23457"/>
    <cellStyle name="Total 2 4 2 21 2 2 2" xfId="43525"/>
    <cellStyle name="Total 2 4 2 21 2 3" xfId="33077"/>
    <cellStyle name="Total 2 4 2 21 3" xfId="18450"/>
    <cellStyle name="Total 2 4 2 21 3 2" xfId="38518"/>
    <cellStyle name="Total 2 4 2 21 4" xfId="33076"/>
    <cellStyle name="Total 2 4 2 22" xfId="12992"/>
    <cellStyle name="Total 2 4 2 22 2" xfId="12993"/>
    <cellStyle name="Total 2 4 2 22 2 2" xfId="23458"/>
    <cellStyle name="Total 2 4 2 22 2 2 2" xfId="43526"/>
    <cellStyle name="Total 2 4 2 22 2 3" xfId="33079"/>
    <cellStyle name="Total 2 4 2 22 3" xfId="18583"/>
    <cellStyle name="Total 2 4 2 22 3 2" xfId="38651"/>
    <cellStyle name="Total 2 4 2 22 4" xfId="33078"/>
    <cellStyle name="Total 2 4 2 23" xfId="12994"/>
    <cellStyle name="Total 2 4 2 23 2" xfId="12995"/>
    <cellStyle name="Total 2 4 2 23 2 2" xfId="23459"/>
    <cellStyle name="Total 2 4 2 23 2 2 2" xfId="43527"/>
    <cellStyle name="Total 2 4 2 23 2 3" xfId="33081"/>
    <cellStyle name="Total 2 4 2 23 3" xfId="18694"/>
    <cellStyle name="Total 2 4 2 23 3 2" xfId="38762"/>
    <cellStyle name="Total 2 4 2 23 4" xfId="33080"/>
    <cellStyle name="Total 2 4 2 24" xfId="12996"/>
    <cellStyle name="Total 2 4 2 24 2" xfId="12997"/>
    <cellStyle name="Total 2 4 2 24 2 2" xfId="23460"/>
    <cellStyle name="Total 2 4 2 24 2 2 2" xfId="43528"/>
    <cellStyle name="Total 2 4 2 24 2 3" xfId="33083"/>
    <cellStyle name="Total 2 4 2 24 3" xfId="18794"/>
    <cellStyle name="Total 2 4 2 24 3 2" xfId="38862"/>
    <cellStyle name="Total 2 4 2 24 4" xfId="33082"/>
    <cellStyle name="Total 2 4 2 25" xfId="12998"/>
    <cellStyle name="Total 2 4 2 25 2" xfId="12999"/>
    <cellStyle name="Total 2 4 2 25 2 2" xfId="23461"/>
    <cellStyle name="Total 2 4 2 25 2 2 2" xfId="43529"/>
    <cellStyle name="Total 2 4 2 25 2 3" xfId="33085"/>
    <cellStyle name="Total 2 4 2 25 3" xfId="18894"/>
    <cellStyle name="Total 2 4 2 25 3 2" xfId="38962"/>
    <cellStyle name="Total 2 4 2 25 4" xfId="33084"/>
    <cellStyle name="Total 2 4 2 26" xfId="13000"/>
    <cellStyle name="Total 2 4 2 26 2" xfId="23444"/>
    <cellStyle name="Total 2 4 2 26 2 2" xfId="43512"/>
    <cellStyle name="Total 2 4 2 26 3" xfId="33086"/>
    <cellStyle name="Total 2 4 2 27" xfId="14250"/>
    <cellStyle name="Total 2 4 2 27 2" xfId="34318"/>
    <cellStyle name="Total 2 4 2 28" xfId="33051"/>
    <cellStyle name="Total 2 4 2 3" xfId="13001"/>
    <cellStyle name="Total 2 4 2 3 2" xfId="13002"/>
    <cellStyle name="Total 2 4 2 3 2 2" xfId="23462"/>
    <cellStyle name="Total 2 4 2 3 2 2 2" xfId="43530"/>
    <cellStyle name="Total 2 4 2 3 2 3" xfId="33088"/>
    <cellStyle name="Total 2 4 2 3 3" xfId="14837"/>
    <cellStyle name="Total 2 4 2 3 3 2" xfId="34905"/>
    <cellStyle name="Total 2 4 2 3 4" xfId="33087"/>
    <cellStyle name="Total 2 4 2 4" xfId="13003"/>
    <cellStyle name="Total 2 4 2 4 2" xfId="13004"/>
    <cellStyle name="Total 2 4 2 4 2 2" xfId="23463"/>
    <cellStyle name="Total 2 4 2 4 2 2 2" xfId="43531"/>
    <cellStyle name="Total 2 4 2 4 2 3" xfId="33090"/>
    <cellStyle name="Total 2 4 2 4 3" xfId="14962"/>
    <cellStyle name="Total 2 4 2 4 3 2" xfId="35030"/>
    <cellStyle name="Total 2 4 2 4 4" xfId="33089"/>
    <cellStyle name="Total 2 4 2 5" xfId="13005"/>
    <cellStyle name="Total 2 4 2 5 2" xfId="13006"/>
    <cellStyle name="Total 2 4 2 5 2 2" xfId="23464"/>
    <cellStyle name="Total 2 4 2 5 2 2 2" xfId="43532"/>
    <cellStyle name="Total 2 4 2 5 2 3" xfId="33092"/>
    <cellStyle name="Total 2 4 2 5 3" xfId="15131"/>
    <cellStyle name="Total 2 4 2 5 3 2" xfId="35199"/>
    <cellStyle name="Total 2 4 2 5 4" xfId="33091"/>
    <cellStyle name="Total 2 4 2 6" xfId="13007"/>
    <cellStyle name="Total 2 4 2 6 2" xfId="13008"/>
    <cellStyle name="Total 2 4 2 6 2 2" xfId="23465"/>
    <cellStyle name="Total 2 4 2 6 2 2 2" xfId="43533"/>
    <cellStyle name="Total 2 4 2 6 2 3" xfId="33094"/>
    <cellStyle name="Total 2 4 2 6 3" xfId="14376"/>
    <cellStyle name="Total 2 4 2 6 3 2" xfId="34444"/>
    <cellStyle name="Total 2 4 2 6 4" xfId="33093"/>
    <cellStyle name="Total 2 4 2 7" xfId="13009"/>
    <cellStyle name="Total 2 4 2 7 2" xfId="13010"/>
    <cellStyle name="Total 2 4 2 7 2 2" xfId="23466"/>
    <cellStyle name="Total 2 4 2 7 2 2 2" xfId="43534"/>
    <cellStyle name="Total 2 4 2 7 2 3" xfId="33096"/>
    <cellStyle name="Total 2 4 2 7 3" xfId="15263"/>
    <cellStyle name="Total 2 4 2 7 3 2" xfId="35331"/>
    <cellStyle name="Total 2 4 2 7 4" xfId="33095"/>
    <cellStyle name="Total 2 4 2 8" xfId="13011"/>
    <cellStyle name="Total 2 4 2 8 2" xfId="13012"/>
    <cellStyle name="Total 2 4 2 8 2 2" xfId="23467"/>
    <cellStyle name="Total 2 4 2 8 2 2 2" xfId="43535"/>
    <cellStyle name="Total 2 4 2 8 2 3" xfId="33098"/>
    <cellStyle name="Total 2 4 2 8 3" xfId="16628"/>
    <cellStyle name="Total 2 4 2 8 3 2" xfId="36696"/>
    <cellStyle name="Total 2 4 2 8 4" xfId="33097"/>
    <cellStyle name="Total 2 4 2 9" xfId="13013"/>
    <cellStyle name="Total 2 4 2 9 2" xfId="13014"/>
    <cellStyle name="Total 2 4 2 9 2 2" xfId="23468"/>
    <cellStyle name="Total 2 4 2 9 2 2 2" xfId="43536"/>
    <cellStyle name="Total 2 4 2 9 2 3" xfId="33100"/>
    <cellStyle name="Total 2 4 2 9 3" xfId="16832"/>
    <cellStyle name="Total 2 4 2 9 3 2" xfId="36900"/>
    <cellStyle name="Total 2 4 2 9 4" xfId="33099"/>
    <cellStyle name="Total 2 4 20" xfId="13015"/>
    <cellStyle name="Total 2 4 20 2" xfId="13016"/>
    <cellStyle name="Total 2 4 20 2 2" xfId="23469"/>
    <cellStyle name="Total 2 4 20 2 2 2" xfId="43537"/>
    <cellStyle name="Total 2 4 20 2 3" xfId="33102"/>
    <cellStyle name="Total 2 4 20 3" xfId="18026"/>
    <cellStyle name="Total 2 4 20 3 2" xfId="38094"/>
    <cellStyle name="Total 2 4 20 4" xfId="33101"/>
    <cellStyle name="Total 2 4 21" xfId="13017"/>
    <cellStyle name="Total 2 4 21 2" xfId="13018"/>
    <cellStyle name="Total 2 4 21 2 2" xfId="23470"/>
    <cellStyle name="Total 2 4 21 2 2 2" xfId="43538"/>
    <cellStyle name="Total 2 4 21 2 3" xfId="33104"/>
    <cellStyle name="Total 2 4 21 3" xfId="18149"/>
    <cellStyle name="Total 2 4 21 3 2" xfId="38217"/>
    <cellStyle name="Total 2 4 21 4" xfId="33103"/>
    <cellStyle name="Total 2 4 22" xfId="13019"/>
    <cellStyle name="Total 2 4 22 2" xfId="13020"/>
    <cellStyle name="Total 2 4 22 2 2" xfId="23471"/>
    <cellStyle name="Total 2 4 22 2 2 2" xfId="43539"/>
    <cellStyle name="Total 2 4 22 2 3" xfId="33106"/>
    <cellStyle name="Total 2 4 22 3" xfId="16303"/>
    <cellStyle name="Total 2 4 22 3 2" xfId="36371"/>
    <cellStyle name="Total 2 4 22 4" xfId="33105"/>
    <cellStyle name="Total 2 4 23" xfId="13021"/>
    <cellStyle name="Total 2 4 23 2" xfId="13022"/>
    <cellStyle name="Total 2 4 23 2 2" xfId="23472"/>
    <cellStyle name="Total 2 4 23 2 2 2" xfId="43540"/>
    <cellStyle name="Total 2 4 23 2 3" xfId="33108"/>
    <cellStyle name="Total 2 4 23 3" xfId="18344"/>
    <cellStyle name="Total 2 4 23 3 2" xfId="38412"/>
    <cellStyle name="Total 2 4 23 4" xfId="33107"/>
    <cellStyle name="Total 2 4 24" xfId="13023"/>
    <cellStyle name="Total 2 4 24 2" xfId="13024"/>
    <cellStyle name="Total 2 4 24 2 2" xfId="23473"/>
    <cellStyle name="Total 2 4 24 2 2 2" xfId="43541"/>
    <cellStyle name="Total 2 4 24 2 3" xfId="33110"/>
    <cellStyle name="Total 2 4 24 3" xfId="18489"/>
    <cellStyle name="Total 2 4 24 3 2" xfId="38557"/>
    <cellStyle name="Total 2 4 24 4" xfId="33109"/>
    <cellStyle name="Total 2 4 25" xfId="13025"/>
    <cellStyle name="Total 2 4 25 2" xfId="13026"/>
    <cellStyle name="Total 2 4 25 2 2" xfId="23474"/>
    <cellStyle name="Total 2 4 25 2 2 2" xfId="43542"/>
    <cellStyle name="Total 2 4 25 2 3" xfId="33112"/>
    <cellStyle name="Total 2 4 25 3" xfId="18602"/>
    <cellStyle name="Total 2 4 25 3 2" xfId="38670"/>
    <cellStyle name="Total 2 4 25 4" xfId="33111"/>
    <cellStyle name="Total 2 4 26" xfId="13027"/>
    <cellStyle name="Total 2 4 26 2" xfId="13028"/>
    <cellStyle name="Total 2 4 26 2 2" xfId="23475"/>
    <cellStyle name="Total 2 4 26 2 2 2" xfId="43543"/>
    <cellStyle name="Total 2 4 26 2 3" xfId="33114"/>
    <cellStyle name="Total 2 4 26 3" xfId="18702"/>
    <cellStyle name="Total 2 4 26 3 2" xfId="38770"/>
    <cellStyle name="Total 2 4 26 4" xfId="33113"/>
    <cellStyle name="Total 2 4 27" xfId="13029"/>
    <cellStyle name="Total 2 4 27 2" xfId="13030"/>
    <cellStyle name="Total 2 4 27 2 2" xfId="23476"/>
    <cellStyle name="Total 2 4 27 2 2 2" xfId="43544"/>
    <cellStyle name="Total 2 4 27 2 3" xfId="33116"/>
    <cellStyle name="Total 2 4 27 3" xfId="18802"/>
    <cellStyle name="Total 2 4 27 3 2" xfId="38870"/>
    <cellStyle name="Total 2 4 27 4" xfId="33115"/>
    <cellStyle name="Total 2 4 28" xfId="13031"/>
    <cellStyle name="Total 2 4 28 2" xfId="23433"/>
    <cellStyle name="Total 2 4 28 2 2" xfId="43501"/>
    <cellStyle name="Total 2 4 28 3" xfId="33117"/>
    <cellStyle name="Total 2 4 29" xfId="13946"/>
    <cellStyle name="Total 2 4 29 2" xfId="34014"/>
    <cellStyle name="Total 2 4 3" xfId="13032"/>
    <cellStyle name="Total 2 4 3 2" xfId="13033"/>
    <cellStyle name="Total 2 4 3 2 2" xfId="23477"/>
    <cellStyle name="Total 2 4 3 2 2 2" xfId="43545"/>
    <cellStyle name="Total 2 4 3 2 3" xfId="33119"/>
    <cellStyle name="Total 2 4 3 3" xfId="14131"/>
    <cellStyle name="Total 2 4 3 3 2" xfId="34199"/>
    <cellStyle name="Total 2 4 3 4" xfId="33118"/>
    <cellStyle name="Total 2 4 30" xfId="33030"/>
    <cellStyle name="Total 2 4 4" xfId="13034"/>
    <cellStyle name="Total 2 4 4 2" xfId="13035"/>
    <cellStyle name="Total 2 4 4 2 2" xfId="23478"/>
    <cellStyle name="Total 2 4 4 2 2 2" xfId="43546"/>
    <cellStyle name="Total 2 4 4 2 3" xfId="33121"/>
    <cellStyle name="Total 2 4 4 3" xfId="14738"/>
    <cellStyle name="Total 2 4 4 3 2" xfId="34806"/>
    <cellStyle name="Total 2 4 4 4" xfId="33120"/>
    <cellStyle name="Total 2 4 5" xfId="13036"/>
    <cellStyle name="Total 2 4 5 2" xfId="13037"/>
    <cellStyle name="Total 2 4 5 2 2" xfId="23479"/>
    <cellStyle name="Total 2 4 5 2 2 2" xfId="43547"/>
    <cellStyle name="Total 2 4 5 2 3" xfId="33123"/>
    <cellStyle name="Total 2 4 5 3" xfId="14850"/>
    <cellStyle name="Total 2 4 5 3 2" xfId="34918"/>
    <cellStyle name="Total 2 4 5 4" xfId="33122"/>
    <cellStyle name="Total 2 4 6" xfId="13038"/>
    <cellStyle name="Total 2 4 6 2" xfId="13039"/>
    <cellStyle name="Total 2 4 6 2 2" xfId="23480"/>
    <cellStyle name="Total 2 4 6 2 2 2" xfId="43548"/>
    <cellStyle name="Total 2 4 6 2 3" xfId="33125"/>
    <cellStyle name="Total 2 4 6 3" xfId="15027"/>
    <cellStyle name="Total 2 4 6 3 2" xfId="35095"/>
    <cellStyle name="Total 2 4 6 4" xfId="33124"/>
    <cellStyle name="Total 2 4 7" xfId="13040"/>
    <cellStyle name="Total 2 4 7 2" xfId="13041"/>
    <cellStyle name="Total 2 4 7 2 2" xfId="23481"/>
    <cellStyle name="Total 2 4 7 2 2 2" xfId="43549"/>
    <cellStyle name="Total 2 4 7 2 3" xfId="33127"/>
    <cellStyle name="Total 2 4 7 3" xfId="14997"/>
    <cellStyle name="Total 2 4 7 3 2" xfId="35065"/>
    <cellStyle name="Total 2 4 7 4" xfId="33126"/>
    <cellStyle name="Total 2 4 8" xfId="13042"/>
    <cellStyle name="Total 2 4 8 2" xfId="13043"/>
    <cellStyle name="Total 2 4 8 2 2" xfId="23482"/>
    <cellStyle name="Total 2 4 8 2 2 2" xfId="43550"/>
    <cellStyle name="Total 2 4 8 2 3" xfId="33129"/>
    <cellStyle name="Total 2 4 8 3" xfId="15171"/>
    <cellStyle name="Total 2 4 8 3 2" xfId="35239"/>
    <cellStyle name="Total 2 4 8 4" xfId="33128"/>
    <cellStyle name="Total 2 4 9" xfId="13044"/>
    <cellStyle name="Total 2 4 9 2" xfId="13045"/>
    <cellStyle name="Total 2 4 9 2 2" xfId="23483"/>
    <cellStyle name="Total 2 4 9 2 2 2" xfId="43551"/>
    <cellStyle name="Total 2 4 9 2 3" xfId="33131"/>
    <cellStyle name="Total 2 4 9 3" xfId="15352"/>
    <cellStyle name="Total 2 4 9 3 2" xfId="35420"/>
    <cellStyle name="Total 2 4 9 4" xfId="33130"/>
    <cellStyle name="Total 2 5" xfId="13046"/>
    <cellStyle name="Total 2 5 10" xfId="13047"/>
    <cellStyle name="Total 2 5 10 2" xfId="13048"/>
    <cellStyle name="Total 2 5 10 2 2" xfId="23485"/>
    <cellStyle name="Total 2 5 10 2 2 2" xfId="43553"/>
    <cellStyle name="Total 2 5 10 2 3" xfId="33134"/>
    <cellStyle name="Total 2 5 10 3" xfId="16513"/>
    <cellStyle name="Total 2 5 10 3 2" xfId="36581"/>
    <cellStyle name="Total 2 5 10 4" xfId="33133"/>
    <cellStyle name="Total 2 5 11" xfId="13049"/>
    <cellStyle name="Total 2 5 11 2" xfId="13050"/>
    <cellStyle name="Total 2 5 11 2 2" xfId="23486"/>
    <cellStyle name="Total 2 5 11 2 2 2" xfId="43554"/>
    <cellStyle name="Total 2 5 11 2 3" xfId="33136"/>
    <cellStyle name="Total 2 5 11 3" xfId="16718"/>
    <cellStyle name="Total 2 5 11 3 2" xfId="36786"/>
    <cellStyle name="Total 2 5 11 4" xfId="33135"/>
    <cellStyle name="Total 2 5 12" xfId="13051"/>
    <cellStyle name="Total 2 5 12 2" xfId="13052"/>
    <cellStyle name="Total 2 5 12 2 2" xfId="23487"/>
    <cellStyle name="Total 2 5 12 2 2 2" xfId="43555"/>
    <cellStyle name="Total 2 5 12 2 3" xfId="33138"/>
    <cellStyle name="Total 2 5 12 3" xfId="16888"/>
    <cellStyle name="Total 2 5 12 3 2" xfId="36956"/>
    <cellStyle name="Total 2 5 12 4" xfId="33137"/>
    <cellStyle name="Total 2 5 13" xfId="13053"/>
    <cellStyle name="Total 2 5 13 2" xfId="13054"/>
    <cellStyle name="Total 2 5 13 2 2" xfId="23488"/>
    <cellStyle name="Total 2 5 13 2 2 2" xfId="43556"/>
    <cellStyle name="Total 2 5 13 2 3" xfId="33140"/>
    <cellStyle name="Total 2 5 13 3" xfId="17026"/>
    <cellStyle name="Total 2 5 13 3 2" xfId="37094"/>
    <cellStyle name="Total 2 5 13 4" xfId="33139"/>
    <cellStyle name="Total 2 5 14" xfId="13055"/>
    <cellStyle name="Total 2 5 14 2" xfId="13056"/>
    <cellStyle name="Total 2 5 14 2 2" xfId="23489"/>
    <cellStyle name="Total 2 5 14 2 2 2" xfId="43557"/>
    <cellStyle name="Total 2 5 14 2 3" xfId="33142"/>
    <cellStyle name="Total 2 5 14 3" xfId="17197"/>
    <cellStyle name="Total 2 5 14 3 2" xfId="37265"/>
    <cellStyle name="Total 2 5 14 4" xfId="33141"/>
    <cellStyle name="Total 2 5 15" xfId="13057"/>
    <cellStyle name="Total 2 5 15 2" xfId="13058"/>
    <cellStyle name="Total 2 5 15 2 2" xfId="23490"/>
    <cellStyle name="Total 2 5 15 2 2 2" xfId="43558"/>
    <cellStyle name="Total 2 5 15 2 3" xfId="33144"/>
    <cellStyle name="Total 2 5 15 3" xfId="17365"/>
    <cellStyle name="Total 2 5 15 3 2" xfId="37433"/>
    <cellStyle name="Total 2 5 15 4" xfId="33143"/>
    <cellStyle name="Total 2 5 16" xfId="13059"/>
    <cellStyle name="Total 2 5 16 2" xfId="13060"/>
    <cellStyle name="Total 2 5 16 2 2" xfId="23491"/>
    <cellStyle name="Total 2 5 16 2 2 2" xfId="43559"/>
    <cellStyle name="Total 2 5 16 2 3" xfId="33146"/>
    <cellStyle name="Total 2 5 16 3" xfId="17500"/>
    <cellStyle name="Total 2 5 16 3 2" xfId="37568"/>
    <cellStyle name="Total 2 5 16 4" xfId="33145"/>
    <cellStyle name="Total 2 5 17" xfId="13061"/>
    <cellStyle name="Total 2 5 17 2" xfId="13062"/>
    <cellStyle name="Total 2 5 17 2 2" xfId="23492"/>
    <cellStyle name="Total 2 5 17 2 2 2" xfId="43560"/>
    <cellStyle name="Total 2 5 17 2 3" xfId="33148"/>
    <cellStyle name="Total 2 5 17 3" xfId="15497"/>
    <cellStyle name="Total 2 5 17 3 2" xfId="35565"/>
    <cellStyle name="Total 2 5 17 4" xfId="33147"/>
    <cellStyle name="Total 2 5 18" xfId="13063"/>
    <cellStyle name="Total 2 5 18 2" xfId="13064"/>
    <cellStyle name="Total 2 5 18 2 2" xfId="23493"/>
    <cellStyle name="Total 2 5 18 2 2 2" xfId="43561"/>
    <cellStyle name="Total 2 5 18 2 3" xfId="33150"/>
    <cellStyle name="Total 2 5 18 3" xfId="17746"/>
    <cellStyle name="Total 2 5 18 3 2" xfId="37814"/>
    <cellStyle name="Total 2 5 18 4" xfId="33149"/>
    <cellStyle name="Total 2 5 19" xfId="13065"/>
    <cellStyle name="Total 2 5 19 2" xfId="13066"/>
    <cellStyle name="Total 2 5 19 2 2" xfId="23494"/>
    <cellStyle name="Total 2 5 19 2 2 2" xfId="43562"/>
    <cellStyle name="Total 2 5 19 2 3" xfId="33152"/>
    <cellStyle name="Total 2 5 19 3" xfId="17880"/>
    <cellStyle name="Total 2 5 19 3 2" xfId="37948"/>
    <cellStyle name="Total 2 5 19 4" xfId="33151"/>
    <cellStyle name="Total 2 5 2" xfId="13067"/>
    <cellStyle name="Total 2 5 2 10" xfId="13068"/>
    <cellStyle name="Total 2 5 2 10 2" xfId="13069"/>
    <cellStyle name="Total 2 5 2 10 2 2" xfId="23496"/>
    <cellStyle name="Total 2 5 2 10 2 2 2" xfId="43564"/>
    <cellStyle name="Total 2 5 2 10 2 3" xfId="33155"/>
    <cellStyle name="Total 2 5 2 10 3" xfId="16994"/>
    <cellStyle name="Total 2 5 2 10 3 2" xfId="37062"/>
    <cellStyle name="Total 2 5 2 10 4" xfId="33154"/>
    <cellStyle name="Total 2 5 2 11" xfId="13070"/>
    <cellStyle name="Total 2 5 2 11 2" xfId="13071"/>
    <cellStyle name="Total 2 5 2 11 2 2" xfId="23497"/>
    <cellStyle name="Total 2 5 2 11 2 2 2" xfId="43565"/>
    <cellStyle name="Total 2 5 2 11 2 3" xfId="33157"/>
    <cellStyle name="Total 2 5 2 11 3" xfId="17139"/>
    <cellStyle name="Total 2 5 2 11 3 2" xfId="37207"/>
    <cellStyle name="Total 2 5 2 11 4" xfId="33156"/>
    <cellStyle name="Total 2 5 2 12" xfId="13072"/>
    <cellStyle name="Total 2 5 2 12 2" xfId="13073"/>
    <cellStyle name="Total 2 5 2 12 2 2" xfId="23498"/>
    <cellStyle name="Total 2 5 2 12 2 2 2" xfId="43566"/>
    <cellStyle name="Total 2 5 2 12 2 3" xfId="33159"/>
    <cellStyle name="Total 2 5 2 12 3" xfId="17311"/>
    <cellStyle name="Total 2 5 2 12 3 2" xfId="37379"/>
    <cellStyle name="Total 2 5 2 12 4" xfId="33158"/>
    <cellStyle name="Total 2 5 2 13" xfId="13074"/>
    <cellStyle name="Total 2 5 2 13 2" xfId="13075"/>
    <cellStyle name="Total 2 5 2 13 2 2" xfId="23499"/>
    <cellStyle name="Total 2 5 2 13 2 2 2" xfId="43567"/>
    <cellStyle name="Total 2 5 2 13 2 3" xfId="33161"/>
    <cellStyle name="Total 2 5 2 13 3" xfId="17475"/>
    <cellStyle name="Total 2 5 2 13 3 2" xfId="37543"/>
    <cellStyle name="Total 2 5 2 13 4" xfId="33160"/>
    <cellStyle name="Total 2 5 2 14" xfId="13076"/>
    <cellStyle name="Total 2 5 2 14 2" xfId="13077"/>
    <cellStyle name="Total 2 5 2 14 2 2" xfId="23500"/>
    <cellStyle name="Total 2 5 2 14 2 2 2" xfId="43568"/>
    <cellStyle name="Total 2 5 2 14 2 3" xfId="33163"/>
    <cellStyle name="Total 2 5 2 14 3" xfId="17601"/>
    <cellStyle name="Total 2 5 2 14 3 2" xfId="37669"/>
    <cellStyle name="Total 2 5 2 14 4" xfId="33162"/>
    <cellStyle name="Total 2 5 2 15" xfId="13078"/>
    <cellStyle name="Total 2 5 2 15 2" xfId="13079"/>
    <cellStyle name="Total 2 5 2 15 2 2" xfId="23501"/>
    <cellStyle name="Total 2 5 2 15 2 2 2" xfId="43569"/>
    <cellStyle name="Total 2 5 2 15 2 3" xfId="33165"/>
    <cellStyle name="Total 2 5 2 15 3" xfId="16899"/>
    <cellStyle name="Total 2 5 2 15 3 2" xfId="36967"/>
    <cellStyle name="Total 2 5 2 15 4" xfId="33164"/>
    <cellStyle name="Total 2 5 2 16" xfId="13080"/>
    <cellStyle name="Total 2 5 2 16 2" xfId="13081"/>
    <cellStyle name="Total 2 5 2 16 2 2" xfId="23502"/>
    <cellStyle name="Total 2 5 2 16 2 2 2" xfId="43570"/>
    <cellStyle name="Total 2 5 2 16 2 3" xfId="33167"/>
    <cellStyle name="Total 2 5 2 16 3" xfId="17851"/>
    <cellStyle name="Total 2 5 2 16 3 2" xfId="37919"/>
    <cellStyle name="Total 2 5 2 16 4" xfId="33166"/>
    <cellStyle name="Total 2 5 2 17" xfId="13082"/>
    <cellStyle name="Total 2 5 2 17 2" xfId="13083"/>
    <cellStyle name="Total 2 5 2 17 2 2" xfId="23503"/>
    <cellStyle name="Total 2 5 2 17 2 2 2" xfId="43571"/>
    <cellStyle name="Total 2 5 2 17 2 3" xfId="33169"/>
    <cellStyle name="Total 2 5 2 17 3" xfId="17989"/>
    <cellStyle name="Total 2 5 2 17 3 2" xfId="38057"/>
    <cellStyle name="Total 2 5 2 17 4" xfId="33168"/>
    <cellStyle name="Total 2 5 2 18" xfId="13084"/>
    <cellStyle name="Total 2 5 2 18 2" xfId="13085"/>
    <cellStyle name="Total 2 5 2 18 2 2" xfId="23504"/>
    <cellStyle name="Total 2 5 2 18 2 2 2" xfId="43572"/>
    <cellStyle name="Total 2 5 2 18 2 3" xfId="33171"/>
    <cellStyle name="Total 2 5 2 18 3" xfId="18128"/>
    <cellStyle name="Total 2 5 2 18 3 2" xfId="38196"/>
    <cellStyle name="Total 2 5 2 18 4" xfId="33170"/>
    <cellStyle name="Total 2 5 2 19" xfId="13086"/>
    <cellStyle name="Total 2 5 2 19 2" xfId="13087"/>
    <cellStyle name="Total 2 5 2 19 2 2" xfId="23505"/>
    <cellStyle name="Total 2 5 2 19 2 2 2" xfId="43573"/>
    <cellStyle name="Total 2 5 2 19 2 3" xfId="33173"/>
    <cellStyle name="Total 2 5 2 19 3" xfId="18246"/>
    <cellStyle name="Total 2 5 2 19 3 2" xfId="38314"/>
    <cellStyle name="Total 2 5 2 19 4" xfId="33172"/>
    <cellStyle name="Total 2 5 2 2" xfId="13088"/>
    <cellStyle name="Total 2 5 2 2 2" xfId="13089"/>
    <cellStyle name="Total 2 5 2 2 2 2" xfId="23506"/>
    <cellStyle name="Total 2 5 2 2 2 2 2" xfId="43574"/>
    <cellStyle name="Total 2 5 2 2 2 3" xfId="33175"/>
    <cellStyle name="Total 2 5 2 2 3" xfId="14714"/>
    <cellStyle name="Total 2 5 2 2 3 2" xfId="34782"/>
    <cellStyle name="Total 2 5 2 2 4" xfId="33174"/>
    <cellStyle name="Total 2 5 2 20" xfId="13090"/>
    <cellStyle name="Total 2 5 2 20 2" xfId="13091"/>
    <cellStyle name="Total 2 5 2 20 2 2" xfId="23507"/>
    <cellStyle name="Total 2 5 2 20 2 2 2" xfId="43575"/>
    <cellStyle name="Total 2 5 2 20 2 3" xfId="33177"/>
    <cellStyle name="Total 2 5 2 20 3" xfId="18321"/>
    <cellStyle name="Total 2 5 2 20 3 2" xfId="38389"/>
    <cellStyle name="Total 2 5 2 20 4" xfId="33176"/>
    <cellStyle name="Total 2 5 2 21" xfId="13092"/>
    <cellStyle name="Total 2 5 2 21 2" xfId="13093"/>
    <cellStyle name="Total 2 5 2 21 2 2" xfId="23508"/>
    <cellStyle name="Total 2 5 2 21 2 2 2" xfId="43576"/>
    <cellStyle name="Total 2 5 2 21 2 3" xfId="33179"/>
    <cellStyle name="Total 2 5 2 21 3" xfId="18451"/>
    <cellStyle name="Total 2 5 2 21 3 2" xfId="38519"/>
    <cellStyle name="Total 2 5 2 21 4" xfId="33178"/>
    <cellStyle name="Total 2 5 2 22" xfId="13094"/>
    <cellStyle name="Total 2 5 2 22 2" xfId="13095"/>
    <cellStyle name="Total 2 5 2 22 2 2" xfId="23509"/>
    <cellStyle name="Total 2 5 2 22 2 2 2" xfId="43577"/>
    <cellStyle name="Total 2 5 2 22 2 3" xfId="33181"/>
    <cellStyle name="Total 2 5 2 22 3" xfId="18584"/>
    <cellStyle name="Total 2 5 2 22 3 2" xfId="38652"/>
    <cellStyle name="Total 2 5 2 22 4" xfId="33180"/>
    <cellStyle name="Total 2 5 2 23" xfId="13096"/>
    <cellStyle name="Total 2 5 2 23 2" xfId="13097"/>
    <cellStyle name="Total 2 5 2 23 2 2" xfId="23510"/>
    <cellStyle name="Total 2 5 2 23 2 2 2" xfId="43578"/>
    <cellStyle name="Total 2 5 2 23 2 3" xfId="33183"/>
    <cellStyle name="Total 2 5 2 23 3" xfId="18695"/>
    <cellStyle name="Total 2 5 2 23 3 2" xfId="38763"/>
    <cellStyle name="Total 2 5 2 23 4" xfId="33182"/>
    <cellStyle name="Total 2 5 2 24" xfId="13098"/>
    <cellStyle name="Total 2 5 2 24 2" xfId="13099"/>
    <cellStyle name="Total 2 5 2 24 2 2" xfId="23511"/>
    <cellStyle name="Total 2 5 2 24 2 2 2" xfId="43579"/>
    <cellStyle name="Total 2 5 2 24 2 3" xfId="33185"/>
    <cellStyle name="Total 2 5 2 24 3" xfId="18795"/>
    <cellStyle name="Total 2 5 2 24 3 2" xfId="38863"/>
    <cellStyle name="Total 2 5 2 24 4" xfId="33184"/>
    <cellStyle name="Total 2 5 2 25" xfId="13100"/>
    <cellStyle name="Total 2 5 2 25 2" xfId="13101"/>
    <cellStyle name="Total 2 5 2 25 2 2" xfId="23512"/>
    <cellStyle name="Total 2 5 2 25 2 2 2" xfId="43580"/>
    <cellStyle name="Total 2 5 2 25 2 3" xfId="33187"/>
    <cellStyle name="Total 2 5 2 25 3" xfId="18895"/>
    <cellStyle name="Total 2 5 2 25 3 2" xfId="38963"/>
    <cellStyle name="Total 2 5 2 25 4" xfId="33186"/>
    <cellStyle name="Total 2 5 2 26" xfId="13102"/>
    <cellStyle name="Total 2 5 2 26 2" xfId="23495"/>
    <cellStyle name="Total 2 5 2 26 2 2" xfId="43563"/>
    <cellStyle name="Total 2 5 2 26 3" xfId="33188"/>
    <cellStyle name="Total 2 5 2 27" xfId="14576"/>
    <cellStyle name="Total 2 5 2 27 2" xfId="34644"/>
    <cellStyle name="Total 2 5 2 28" xfId="33153"/>
    <cellStyle name="Total 2 5 2 3" xfId="13103"/>
    <cellStyle name="Total 2 5 2 3 2" xfId="13104"/>
    <cellStyle name="Total 2 5 2 3 2 2" xfId="23513"/>
    <cellStyle name="Total 2 5 2 3 2 2 2" xfId="43581"/>
    <cellStyle name="Total 2 5 2 3 2 3" xfId="33190"/>
    <cellStyle name="Total 2 5 2 3 3" xfId="14838"/>
    <cellStyle name="Total 2 5 2 3 3 2" xfId="34906"/>
    <cellStyle name="Total 2 5 2 3 4" xfId="33189"/>
    <cellStyle name="Total 2 5 2 4" xfId="13105"/>
    <cellStyle name="Total 2 5 2 4 2" xfId="13106"/>
    <cellStyle name="Total 2 5 2 4 2 2" xfId="23514"/>
    <cellStyle name="Total 2 5 2 4 2 2 2" xfId="43582"/>
    <cellStyle name="Total 2 5 2 4 2 3" xfId="33192"/>
    <cellStyle name="Total 2 5 2 4 3" xfId="14963"/>
    <cellStyle name="Total 2 5 2 4 3 2" xfId="35031"/>
    <cellStyle name="Total 2 5 2 4 4" xfId="33191"/>
    <cellStyle name="Total 2 5 2 5" xfId="13107"/>
    <cellStyle name="Total 2 5 2 5 2" xfId="13108"/>
    <cellStyle name="Total 2 5 2 5 2 2" xfId="23515"/>
    <cellStyle name="Total 2 5 2 5 2 2 2" xfId="43583"/>
    <cellStyle name="Total 2 5 2 5 2 3" xfId="33194"/>
    <cellStyle name="Total 2 5 2 5 3" xfId="15132"/>
    <cellStyle name="Total 2 5 2 5 3 2" xfId="35200"/>
    <cellStyle name="Total 2 5 2 5 4" xfId="33193"/>
    <cellStyle name="Total 2 5 2 6" xfId="13109"/>
    <cellStyle name="Total 2 5 2 6 2" xfId="13110"/>
    <cellStyle name="Total 2 5 2 6 2 2" xfId="23516"/>
    <cellStyle name="Total 2 5 2 6 2 2 2" xfId="43584"/>
    <cellStyle name="Total 2 5 2 6 2 3" xfId="33196"/>
    <cellStyle name="Total 2 5 2 6 3" xfId="14445"/>
    <cellStyle name="Total 2 5 2 6 3 2" xfId="34513"/>
    <cellStyle name="Total 2 5 2 6 4" xfId="33195"/>
    <cellStyle name="Total 2 5 2 7" xfId="13111"/>
    <cellStyle name="Total 2 5 2 7 2" xfId="13112"/>
    <cellStyle name="Total 2 5 2 7 2 2" xfId="23517"/>
    <cellStyle name="Total 2 5 2 7 2 2 2" xfId="43585"/>
    <cellStyle name="Total 2 5 2 7 2 3" xfId="33198"/>
    <cellStyle name="Total 2 5 2 7 3" xfId="15264"/>
    <cellStyle name="Total 2 5 2 7 3 2" xfId="35332"/>
    <cellStyle name="Total 2 5 2 7 4" xfId="33197"/>
    <cellStyle name="Total 2 5 2 8" xfId="13113"/>
    <cellStyle name="Total 2 5 2 8 2" xfId="13114"/>
    <cellStyle name="Total 2 5 2 8 2 2" xfId="23518"/>
    <cellStyle name="Total 2 5 2 8 2 2 2" xfId="43586"/>
    <cellStyle name="Total 2 5 2 8 2 3" xfId="33200"/>
    <cellStyle name="Total 2 5 2 8 3" xfId="16629"/>
    <cellStyle name="Total 2 5 2 8 3 2" xfId="36697"/>
    <cellStyle name="Total 2 5 2 8 4" xfId="33199"/>
    <cellStyle name="Total 2 5 2 9" xfId="13115"/>
    <cellStyle name="Total 2 5 2 9 2" xfId="13116"/>
    <cellStyle name="Total 2 5 2 9 2 2" xfId="23519"/>
    <cellStyle name="Total 2 5 2 9 2 2 2" xfId="43587"/>
    <cellStyle name="Total 2 5 2 9 2 3" xfId="33202"/>
    <cellStyle name="Total 2 5 2 9 3" xfId="16833"/>
    <cellStyle name="Total 2 5 2 9 3 2" xfId="36901"/>
    <cellStyle name="Total 2 5 2 9 4" xfId="33201"/>
    <cellStyle name="Total 2 5 20" xfId="13117"/>
    <cellStyle name="Total 2 5 20 2" xfId="13118"/>
    <cellStyle name="Total 2 5 20 2 2" xfId="23520"/>
    <cellStyle name="Total 2 5 20 2 2 2" xfId="43588"/>
    <cellStyle name="Total 2 5 20 2 3" xfId="33204"/>
    <cellStyle name="Total 2 5 20 3" xfId="18027"/>
    <cellStyle name="Total 2 5 20 3 2" xfId="38095"/>
    <cellStyle name="Total 2 5 20 4" xfId="33203"/>
    <cellStyle name="Total 2 5 21" xfId="13119"/>
    <cellStyle name="Total 2 5 21 2" xfId="13120"/>
    <cellStyle name="Total 2 5 21 2 2" xfId="23521"/>
    <cellStyle name="Total 2 5 21 2 2 2" xfId="43589"/>
    <cellStyle name="Total 2 5 21 2 3" xfId="33206"/>
    <cellStyle name="Total 2 5 21 3" xfId="18150"/>
    <cellStyle name="Total 2 5 21 3 2" xfId="38218"/>
    <cellStyle name="Total 2 5 21 4" xfId="33205"/>
    <cellStyle name="Total 2 5 22" xfId="13121"/>
    <cellStyle name="Total 2 5 22 2" xfId="13122"/>
    <cellStyle name="Total 2 5 22 2 2" xfId="23522"/>
    <cellStyle name="Total 2 5 22 2 2 2" xfId="43590"/>
    <cellStyle name="Total 2 5 22 2 3" xfId="33208"/>
    <cellStyle name="Total 2 5 22 3" xfId="15800"/>
    <cellStyle name="Total 2 5 22 3 2" xfId="35868"/>
    <cellStyle name="Total 2 5 22 4" xfId="33207"/>
    <cellStyle name="Total 2 5 23" xfId="13123"/>
    <cellStyle name="Total 2 5 23 2" xfId="13124"/>
    <cellStyle name="Total 2 5 23 2 2" xfId="23523"/>
    <cellStyle name="Total 2 5 23 2 2 2" xfId="43591"/>
    <cellStyle name="Total 2 5 23 2 3" xfId="33210"/>
    <cellStyle name="Total 2 5 23 3" xfId="18345"/>
    <cellStyle name="Total 2 5 23 3 2" xfId="38413"/>
    <cellStyle name="Total 2 5 23 4" xfId="33209"/>
    <cellStyle name="Total 2 5 24" xfId="13125"/>
    <cellStyle name="Total 2 5 24 2" xfId="13126"/>
    <cellStyle name="Total 2 5 24 2 2" xfId="23524"/>
    <cellStyle name="Total 2 5 24 2 2 2" xfId="43592"/>
    <cellStyle name="Total 2 5 24 2 3" xfId="33212"/>
    <cellStyle name="Total 2 5 24 3" xfId="18490"/>
    <cellStyle name="Total 2 5 24 3 2" xfId="38558"/>
    <cellStyle name="Total 2 5 24 4" xfId="33211"/>
    <cellStyle name="Total 2 5 25" xfId="13127"/>
    <cellStyle name="Total 2 5 25 2" xfId="13128"/>
    <cellStyle name="Total 2 5 25 2 2" xfId="23525"/>
    <cellStyle name="Total 2 5 25 2 2 2" xfId="43593"/>
    <cellStyle name="Total 2 5 25 2 3" xfId="33214"/>
    <cellStyle name="Total 2 5 25 3" xfId="18603"/>
    <cellStyle name="Total 2 5 25 3 2" xfId="38671"/>
    <cellStyle name="Total 2 5 25 4" xfId="33213"/>
    <cellStyle name="Total 2 5 26" xfId="13129"/>
    <cellStyle name="Total 2 5 26 2" xfId="13130"/>
    <cellStyle name="Total 2 5 26 2 2" xfId="23526"/>
    <cellStyle name="Total 2 5 26 2 2 2" xfId="43594"/>
    <cellStyle name="Total 2 5 26 2 3" xfId="33216"/>
    <cellStyle name="Total 2 5 26 3" xfId="18703"/>
    <cellStyle name="Total 2 5 26 3 2" xfId="38771"/>
    <cellStyle name="Total 2 5 26 4" xfId="33215"/>
    <cellStyle name="Total 2 5 27" xfId="13131"/>
    <cellStyle name="Total 2 5 27 2" xfId="13132"/>
    <cellStyle name="Total 2 5 27 2 2" xfId="23527"/>
    <cellStyle name="Total 2 5 27 2 2 2" xfId="43595"/>
    <cellStyle name="Total 2 5 27 2 3" xfId="33218"/>
    <cellStyle name="Total 2 5 27 3" xfId="18803"/>
    <cellStyle name="Total 2 5 27 3 2" xfId="38871"/>
    <cellStyle name="Total 2 5 27 4" xfId="33217"/>
    <cellStyle name="Total 2 5 28" xfId="13133"/>
    <cellStyle name="Total 2 5 28 2" xfId="23484"/>
    <cellStyle name="Total 2 5 28 2 2" xfId="43552"/>
    <cellStyle name="Total 2 5 28 3" xfId="33219"/>
    <cellStyle name="Total 2 5 29" xfId="13947"/>
    <cellStyle name="Total 2 5 29 2" xfId="34015"/>
    <cellStyle name="Total 2 5 3" xfId="13134"/>
    <cellStyle name="Total 2 5 3 2" xfId="13135"/>
    <cellStyle name="Total 2 5 3 2 2" xfId="23528"/>
    <cellStyle name="Total 2 5 3 2 2 2" xfId="43596"/>
    <cellStyle name="Total 2 5 3 2 3" xfId="33221"/>
    <cellStyle name="Total 2 5 3 3" xfId="14380"/>
    <cellStyle name="Total 2 5 3 3 2" xfId="34448"/>
    <cellStyle name="Total 2 5 3 4" xfId="33220"/>
    <cellStyle name="Total 2 5 30" xfId="33132"/>
    <cellStyle name="Total 2 5 4" xfId="13136"/>
    <cellStyle name="Total 2 5 4 2" xfId="13137"/>
    <cellStyle name="Total 2 5 4 2 2" xfId="23529"/>
    <cellStyle name="Total 2 5 4 2 2 2" xfId="43597"/>
    <cellStyle name="Total 2 5 4 2 3" xfId="33223"/>
    <cellStyle name="Total 2 5 4 3" xfId="14739"/>
    <cellStyle name="Total 2 5 4 3 2" xfId="34807"/>
    <cellStyle name="Total 2 5 4 4" xfId="33222"/>
    <cellStyle name="Total 2 5 5" xfId="13138"/>
    <cellStyle name="Total 2 5 5 2" xfId="13139"/>
    <cellStyle name="Total 2 5 5 2 2" xfId="23530"/>
    <cellStyle name="Total 2 5 5 2 2 2" xfId="43598"/>
    <cellStyle name="Total 2 5 5 2 3" xfId="33225"/>
    <cellStyle name="Total 2 5 5 3" xfId="14851"/>
    <cellStyle name="Total 2 5 5 3 2" xfId="34919"/>
    <cellStyle name="Total 2 5 5 4" xfId="33224"/>
    <cellStyle name="Total 2 5 6" xfId="13140"/>
    <cellStyle name="Total 2 5 6 2" xfId="13141"/>
    <cellStyle name="Total 2 5 6 2 2" xfId="23531"/>
    <cellStyle name="Total 2 5 6 2 2 2" xfId="43599"/>
    <cellStyle name="Total 2 5 6 2 3" xfId="33227"/>
    <cellStyle name="Total 2 5 6 3" xfId="15028"/>
    <cellStyle name="Total 2 5 6 3 2" xfId="35096"/>
    <cellStyle name="Total 2 5 6 4" xfId="33226"/>
    <cellStyle name="Total 2 5 7" xfId="13142"/>
    <cellStyle name="Total 2 5 7 2" xfId="13143"/>
    <cellStyle name="Total 2 5 7 2 2" xfId="23532"/>
    <cellStyle name="Total 2 5 7 2 2 2" xfId="43600"/>
    <cellStyle name="Total 2 5 7 2 3" xfId="33229"/>
    <cellStyle name="Total 2 5 7 3" xfId="14261"/>
    <cellStyle name="Total 2 5 7 3 2" xfId="34329"/>
    <cellStyle name="Total 2 5 7 4" xfId="33228"/>
    <cellStyle name="Total 2 5 8" xfId="13144"/>
    <cellStyle name="Total 2 5 8 2" xfId="13145"/>
    <cellStyle name="Total 2 5 8 2 2" xfId="23533"/>
    <cellStyle name="Total 2 5 8 2 2 2" xfId="43601"/>
    <cellStyle name="Total 2 5 8 2 3" xfId="33231"/>
    <cellStyle name="Total 2 5 8 3" xfId="15172"/>
    <cellStyle name="Total 2 5 8 3 2" xfId="35240"/>
    <cellStyle name="Total 2 5 8 4" xfId="33230"/>
    <cellStyle name="Total 2 5 9" xfId="13146"/>
    <cellStyle name="Total 2 5 9 2" xfId="13147"/>
    <cellStyle name="Total 2 5 9 2 2" xfId="23534"/>
    <cellStyle name="Total 2 5 9 2 2 2" xfId="43602"/>
    <cellStyle name="Total 2 5 9 2 3" xfId="33233"/>
    <cellStyle name="Total 2 5 9 3" xfId="15353"/>
    <cellStyle name="Total 2 5 9 3 2" xfId="35421"/>
    <cellStyle name="Total 2 5 9 4" xfId="33232"/>
    <cellStyle name="Total 2 6" xfId="13148"/>
    <cellStyle name="Total 2 6 10" xfId="13149"/>
    <cellStyle name="Total 2 6 10 2" xfId="13150"/>
    <cellStyle name="Total 2 6 10 2 2" xfId="23536"/>
    <cellStyle name="Total 2 6 10 2 2 2" xfId="43604"/>
    <cellStyle name="Total 2 6 10 2 3" xfId="33236"/>
    <cellStyle name="Total 2 6 10 3" xfId="16739"/>
    <cellStyle name="Total 2 6 10 3 2" xfId="36807"/>
    <cellStyle name="Total 2 6 10 4" xfId="33235"/>
    <cellStyle name="Total 2 6 11" xfId="13151"/>
    <cellStyle name="Total 2 6 11 2" xfId="13152"/>
    <cellStyle name="Total 2 6 11 2 2" xfId="23537"/>
    <cellStyle name="Total 2 6 11 2 2 2" xfId="43605"/>
    <cellStyle name="Total 2 6 11 2 3" xfId="33238"/>
    <cellStyle name="Total 2 6 11 3" xfId="16910"/>
    <cellStyle name="Total 2 6 11 3 2" xfId="36978"/>
    <cellStyle name="Total 2 6 11 4" xfId="33237"/>
    <cellStyle name="Total 2 6 12" xfId="13153"/>
    <cellStyle name="Total 2 6 12 2" xfId="13154"/>
    <cellStyle name="Total 2 6 12 2 2" xfId="23538"/>
    <cellStyle name="Total 2 6 12 2 2 2" xfId="43606"/>
    <cellStyle name="Total 2 6 12 2 3" xfId="33240"/>
    <cellStyle name="Total 2 6 12 3" xfId="17045"/>
    <cellStyle name="Total 2 6 12 3 2" xfId="37113"/>
    <cellStyle name="Total 2 6 12 4" xfId="33239"/>
    <cellStyle name="Total 2 6 13" xfId="13155"/>
    <cellStyle name="Total 2 6 13 2" xfId="13156"/>
    <cellStyle name="Total 2 6 13 2 2" xfId="23539"/>
    <cellStyle name="Total 2 6 13 2 2 2" xfId="43607"/>
    <cellStyle name="Total 2 6 13 2 3" xfId="33242"/>
    <cellStyle name="Total 2 6 13 3" xfId="17217"/>
    <cellStyle name="Total 2 6 13 3 2" xfId="37285"/>
    <cellStyle name="Total 2 6 13 4" xfId="33241"/>
    <cellStyle name="Total 2 6 14" xfId="13157"/>
    <cellStyle name="Total 2 6 14 2" xfId="13158"/>
    <cellStyle name="Total 2 6 14 2 2" xfId="23540"/>
    <cellStyle name="Total 2 6 14 2 2 2" xfId="43608"/>
    <cellStyle name="Total 2 6 14 2 3" xfId="33244"/>
    <cellStyle name="Total 2 6 14 3" xfId="17387"/>
    <cellStyle name="Total 2 6 14 3 2" xfId="37455"/>
    <cellStyle name="Total 2 6 14 4" xfId="33243"/>
    <cellStyle name="Total 2 6 15" xfId="13159"/>
    <cellStyle name="Total 2 6 15 2" xfId="13160"/>
    <cellStyle name="Total 2 6 15 2 2" xfId="23541"/>
    <cellStyle name="Total 2 6 15 2 2 2" xfId="43609"/>
    <cellStyle name="Total 2 6 15 2 3" xfId="33246"/>
    <cellStyle name="Total 2 6 15 3" xfId="17515"/>
    <cellStyle name="Total 2 6 15 3 2" xfId="37583"/>
    <cellStyle name="Total 2 6 15 4" xfId="33245"/>
    <cellStyle name="Total 2 6 16" xfId="13161"/>
    <cellStyle name="Total 2 6 16 2" xfId="13162"/>
    <cellStyle name="Total 2 6 16 2 2" xfId="23542"/>
    <cellStyle name="Total 2 6 16 2 2 2" xfId="43610"/>
    <cellStyle name="Total 2 6 16 2 3" xfId="33248"/>
    <cellStyle name="Total 2 6 16 3" xfId="16042"/>
    <cellStyle name="Total 2 6 16 3 2" xfId="36110"/>
    <cellStyle name="Total 2 6 16 4" xfId="33247"/>
    <cellStyle name="Total 2 6 17" xfId="13163"/>
    <cellStyle name="Total 2 6 17 2" xfId="13164"/>
    <cellStyle name="Total 2 6 17 2 2" xfId="23543"/>
    <cellStyle name="Total 2 6 17 2 2 2" xfId="43611"/>
    <cellStyle name="Total 2 6 17 2 3" xfId="33250"/>
    <cellStyle name="Total 2 6 17 3" xfId="17766"/>
    <cellStyle name="Total 2 6 17 3 2" xfId="37834"/>
    <cellStyle name="Total 2 6 17 4" xfId="33249"/>
    <cellStyle name="Total 2 6 18" xfId="13165"/>
    <cellStyle name="Total 2 6 18 2" xfId="13166"/>
    <cellStyle name="Total 2 6 18 2 2" xfId="23544"/>
    <cellStyle name="Total 2 6 18 2 2 2" xfId="43612"/>
    <cellStyle name="Total 2 6 18 2 3" xfId="33252"/>
    <cellStyle name="Total 2 6 18 3" xfId="17895"/>
    <cellStyle name="Total 2 6 18 3 2" xfId="37963"/>
    <cellStyle name="Total 2 6 18 4" xfId="33251"/>
    <cellStyle name="Total 2 6 19" xfId="13167"/>
    <cellStyle name="Total 2 6 19 2" xfId="13168"/>
    <cellStyle name="Total 2 6 19 2 2" xfId="23545"/>
    <cellStyle name="Total 2 6 19 2 2 2" xfId="43613"/>
    <cellStyle name="Total 2 6 19 2 3" xfId="33254"/>
    <cellStyle name="Total 2 6 19 3" xfId="18045"/>
    <cellStyle name="Total 2 6 19 3 2" xfId="38113"/>
    <cellStyle name="Total 2 6 19 4" xfId="33253"/>
    <cellStyle name="Total 2 6 2" xfId="13169"/>
    <cellStyle name="Total 2 6 2 2" xfId="13170"/>
    <cellStyle name="Total 2 6 2 2 2" xfId="23546"/>
    <cellStyle name="Total 2 6 2 2 2 2" xfId="43614"/>
    <cellStyle name="Total 2 6 2 2 3" xfId="33256"/>
    <cellStyle name="Total 2 6 2 3" xfId="14631"/>
    <cellStyle name="Total 2 6 2 3 2" xfId="34699"/>
    <cellStyle name="Total 2 6 2 4" xfId="33255"/>
    <cellStyle name="Total 2 6 20" xfId="13171"/>
    <cellStyle name="Total 2 6 20 2" xfId="13172"/>
    <cellStyle name="Total 2 6 20 2 2" xfId="23547"/>
    <cellStyle name="Total 2 6 20 2 2 2" xfId="43615"/>
    <cellStyle name="Total 2 6 20 2 3" xfId="33258"/>
    <cellStyle name="Total 2 6 20 3" xfId="18162"/>
    <cellStyle name="Total 2 6 20 3 2" xfId="38230"/>
    <cellStyle name="Total 2 6 20 4" xfId="33257"/>
    <cellStyle name="Total 2 6 21" xfId="13173"/>
    <cellStyle name="Total 2 6 21 2" xfId="13174"/>
    <cellStyle name="Total 2 6 21 2 2" xfId="23548"/>
    <cellStyle name="Total 2 6 21 2 2 2" xfId="43616"/>
    <cellStyle name="Total 2 6 21 2 3" xfId="33260"/>
    <cellStyle name="Total 2 6 21 3" xfId="15655"/>
    <cellStyle name="Total 2 6 21 3 2" xfId="35723"/>
    <cellStyle name="Total 2 6 21 4" xfId="33259"/>
    <cellStyle name="Total 2 6 22" xfId="13175"/>
    <cellStyle name="Total 2 6 22 2" xfId="13176"/>
    <cellStyle name="Total 2 6 22 2 2" xfId="23549"/>
    <cellStyle name="Total 2 6 22 2 2 2" xfId="43617"/>
    <cellStyle name="Total 2 6 22 2 3" xfId="33262"/>
    <cellStyle name="Total 2 6 22 3" xfId="18357"/>
    <cellStyle name="Total 2 6 22 3 2" xfId="38425"/>
    <cellStyle name="Total 2 6 22 4" xfId="33261"/>
    <cellStyle name="Total 2 6 23" xfId="13177"/>
    <cellStyle name="Total 2 6 23 2" xfId="13178"/>
    <cellStyle name="Total 2 6 23 2 2" xfId="23550"/>
    <cellStyle name="Total 2 6 23 2 2 2" xfId="43618"/>
    <cellStyle name="Total 2 6 23 2 3" xfId="33264"/>
    <cellStyle name="Total 2 6 23 3" xfId="18501"/>
    <cellStyle name="Total 2 6 23 3 2" xfId="38569"/>
    <cellStyle name="Total 2 6 23 4" xfId="33263"/>
    <cellStyle name="Total 2 6 24" xfId="13179"/>
    <cellStyle name="Total 2 6 24 2" xfId="13180"/>
    <cellStyle name="Total 2 6 24 2 2" xfId="23551"/>
    <cellStyle name="Total 2 6 24 2 2 2" xfId="43619"/>
    <cellStyle name="Total 2 6 24 2 3" xfId="33266"/>
    <cellStyle name="Total 2 6 24 3" xfId="18612"/>
    <cellStyle name="Total 2 6 24 3 2" xfId="38680"/>
    <cellStyle name="Total 2 6 24 4" xfId="33265"/>
    <cellStyle name="Total 2 6 25" xfId="13181"/>
    <cellStyle name="Total 2 6 25 2" xfId="13182"/>
    <cellStyle name="Total 2 6 25 2 2" xfId="23552"/>
    <cellStyle name="Total 2 6 25 2 2 2" xfId="43620"/>
    <cellStyle name="Total 2 6 25 2 3" xfId="33268"/>
    <cellStyle name="Total 2 6 25 3" xfId="18712"/>
    <cellStyle name="Total 2 6 25 3 2" xfId="38780"/>
    <cellStyle name="Total 2 6 25 4" xfId="33267"/>
    <cellStyle name="Total 2 6 26" xfId="13183"/>
    <cellStyle name="Total 2 6 26 2" xfId="13184"/>
    <cellStyle name="Total 2 6 26 2 2" xfId="23553"/>
    <cellStyle name="Total 2 6 26 2 2 2" xfId="43621"/>
    <cellStyle name="Total 2 6 26 2 3" xfId="33270"/>
    <cellStyle name="Total 2 6 26 3" xfId="18812"/>
    <cellStyle name="Total 2 6 26 3 2" xfId="38880"/>
    <cellStyle name="Total 2 6 26 4" xfId="33269"/>
    <cellStyle name="Total 2 6 27" xfId="13185"/>
    <cellStyle name="Total 2 6 27 2" xfId="23535"/>
    <cellStyle name="Total 2 6 27 2 2" xfId="43603"/>
    <cellStyle name="Total 2 6 27 3" xfId="33271"/>
    <cellStyle name="Total 2 6 28" xfId="13963"/>
    <cellStyle name="Total 2 6 28 2" xfId="34031"/>
    <cellStyle name="Total 2 6 29" xfId="33234"/>
    <cellStyle name="Total 2 6 3" xfId="13186"/>
    <cellStyle name="Total 2 6 3 2" xfId="13187"/>
    <cellStyle name="Total 2 6 3 2 2" xfId="23554"/>
    <cellStyle name="Total 2 6 3 2 2 2" xfId="43622"/>
    <cellStyle name="Total 2 6 3 2 3" xfId="33273"/>
    <cellStyle name="Total 2 6 3 3" xfId="14750"/>
    <cellStyle name="Total 2 6 3 3 2" xfId="34818"/>
    <cellStyle name="Total 2 6 3 4" xfId="33272"/>
    <cellStyle name="Total 2 6 4" xfId="13188"/>
    <cellStyle name="Total 2 6 4 2" xfId="13189"/>
    <cellStyle name="Total 2 6 4 2 2" xfId="23555"/>
    <cellStyle name="Total 2 6 4 2 2 2" xfId="43623"/>
    <cellStyle name="Total 2 6 4 2 3" xfId="33275"/>
    <cellStyle name="Total 2 6 4 3" xfId="14869"/>
    <cellStyle name="Total 2 6 4 3 2" xfId="34937"/>
    <cellStyle name="Total 2 6 4 4" xfId="33274"/>
    <cellStyle name="Total 2 6 5" xfId="13190"/>
    <cellStyle name="Total 2 6 5 2" xfId="13191"/>
    <cellStyle name="Total 2 6 5 2 2" xfId="23556"/>
    <cellStyle name="Total 2 6 5 2 2 2" xfId="43624"/>
    <cellStyle name="Total 2 6 5 2 3" xfId="33277"/>
    <cellStyle name="Total 2 6 5 3" xfId="15038"/>
    <cellStyle name="Total 2 6 5 3 2" xfId="35106"/>
    <cellStyle name="Total 2 6 5 4" xfId="33276"/>
    <cellStyle name="Total 2 6 6" xfId="13192"/>
    <cellStyle name="Total 2 6 6 2" xfId="13193"/>
    <cellStyle name="Total 2 6 6 2 2" xfId="23557"/>
    <cellStyle name="Total 2 6 6 2 2 2" xfId="43625"/>
    <cellStyle name="Total 2 6 6 2 3" xfId="33279"/>
    <cellStyle name="Total 2 6 6 3" xfId="14081"/>
    <cellStyle name="Total 2 6 6 3 2" xfId="34149"/>
    <cellStyle name="Total 2 6 6 4" xfId="33278"/>
    <cellStyle name="Total 2 6 7" xfId="13194"/>
    <cellStyle name="Total 2 6 7 2" xfId="13195"/>
    <cellStyle name="Total 2 6 7 2 2" xfId="23558"/>
    <cellStyle name="Total 2 6 7 2 2 2" xfId="43626"/>
    <cellStyle name="Total 2 6 7 2 3" xfId="33281"/>
    <cellStyle name="Total 2 6 7 3" xfId="15181"/>
    <cellStyle name="Total 2 6 7 3 2" xfId="35249"/>
    <cellStyle name="Total 2 6 7 4" xfId="33280"/>
    <cellStyle name="Total 2 6 8" xfId="13196"/>
    <cellStyle name="Total 2 6 8 2" xfId="13197"/>
    <cellStyle name="Total 2 6 8 2 2" xfId="23559"/>
    <cellStyle name="Total 2 6 8 2 2 2" xfId="43627"/>
    <cellStyle name="Total 2 6 8 2 3" xfId="33283"/>
    <cellStyle name="Total 2 6 8 3" xfId="15369"/>
    <cellStyle name="Total 2 6 8 3 2" xfId="35437"/>
    <cellStyle name="Total 2 6 8 4" xfId="33282"/>
    <cellStyle name="Total 2 6 9" xfId="13198"/>
    <cellStyle name="Total 2 6 9 2" xfId="13199"/>
    <cellStyle name="Total 2 6 9 2 2" xfId="23560"/>
    <cellStyle name="Total 2 6 9 2 2 2" xfId="43628"/>
    <cellStyle name="Total 2 6 9 2 3" xfId="33285"/>
    <cellStyle name="Total 2 6 9 3" xfId="16535"/>
    <cellStyle name="Total 2 6 9 3 2" xfId="36603"/>
    <cellStyle name="Total 2 6 9 4" xfId="33284"/>
    <cellStyle name="Total 2 7" xfId="13200"/>
    <cellStyle name="Total 2 7 2" xfId="13201"/>
    <cellStyle name="Total 2 7 2 2" xfId="23561"/>
    <cellStyle name="Total 2 7 2 2 2" xfId="43629"/>
    <cellStyle name="Total 2 7 2 3" xfId="33287"/>
    <cellStyle name="Total 2 7 3" xfId="14438"/>
    <cellStyle name="Total 2 7 3 2" xfId="34506"/>
    <cellStyle name="Total 2 7 4" xfId="33286"/>
    <cellStyle name="Total 2 8" xfId="13202"/>
    <cellStyle name="Total 2 8 2" xfId="13203"/>
    <cellStyle name="Total 2 8 2 2" xfId="23562"/>
    <cellStyle name="Total 2 8 2 2 2" xfId="43630"/>
    <cellStyle name="Total 2 8 2 3" xfId="33289"/>
    <cellStyle name="Total 2 8 3" xfId="14082"/>
    <cellStyle name="Total 2 8 3 2" xfId="34150"/>
    <cellStyle name="Total 2 8 4" xfId="33288"/>
    <cellStyle name="Total 2 9" xfId="13204"/>
    <cellStyle name="Total 2 9 2" xfId="13205"/>
    <cellStyle name="Total 2 9 2 2" xfId="23563"/>
    <cellStyle name="Total 2 9 2 2 2" xfId="43631"/>
    <cellStyle name="Total 2 9 2 3" xfId="33291"/>
    <cellStyle name="Total 2 9 3" xfId="14306"/>
    <cellStyle name="Total 2 9 3 2" xfId="34374"/>
    <cellStyle name="Total 2 9 4" xfId="33290"/>
    <cellStyle name="Total 2_2011-2012" xfId="13206"/>
    <cellStyle name="Total 3" xfId="13207"/>
    <cellStyle name="Total 3 10" xfId="13208"/>
    <cellStyle name="Total 3 10 2" xfId="13209"/>
    <cellStyle name="Total 3 10 2 2" xfId="23565"/>
    <cellStyle name="Total 3 10 2 2 2" xfId="43633"/>
    <cellStyle name="Total 3 10 2 3" xfId="33294"/>
    <cellStyle name="Total 3 10 3" xfId="14224"/>
    <cellStyle name="Total 3 10 3 2" xfId="34292"/>
    <cellStyle name="Total 3 10 4" xfId="33293"/>
    <cellStyle name="Total 3 11" xfId="13210"/>
    <cellStyle name="Total 3 11 2" xfId="13211"/>
    <cellStyle name="Total 3 11 2 2" xfId="23566"/>
    <cellStyle name="Total 3 11 2 2 2" xfId="43634"/>
    <cellStyle name="Total 3 11 2 3" xfId="33296"/>
    <cellStyle name="Total 3 11 3" xfId="15354"/>
    <cellStyle name="Total 3 11 3 2" xfId="35422"/>
    <cellStyle name="Total 3 11 4" xfId="33295"/>
    <cellStyle name="Total 3 12" xfId="13212"/>
    <cellStyle name="Total 3 12 2" xfId="13213"/>
    <cellStyle name="Total 3 12 2 2" xfId="23567"/>
    <cellStyle name="Total 3 12 2 2 2" xfId="43635"/>
    <cellStyle name="Total 3 12 2 3" xfId="33298"/>
    <cellStyle name="Total 3 12 3" xfId="15571"/>
    <cellStyle name="Total 3 12 3 2" xfId="35639"/>
    <cellStyle name="Total 3 12 4" xfId="33297"/>
    <cellStyle name="Total 3 13" xfId="13214"/>
    <cellStyle name="Total 3 13 2" xfId="13215"/>
    <cellStyle name="Total 3 13 2 2" xfId="23568"/>
    <cellStyle name="Total 3 13 2 2 2" xfId="43636"/>
    <cellStyle name="Total 3 13 2 3" xfId="33300"/>
    <cellStyle name="Total 3 13 3" xfId="16292"/>
    <cellStyle name="Total 3 13 3 2" xfId="36360"/>
    <cellStyle name="Total 3 13 4" xfId="33299"/>
    <cellStyle name="Total 3 14" xfId="13216"/>
    <cellStyle name="Total 3 14 2" xfId="13217"/>
    <cellStyle name="Total 3 14 2 2" xfId="23569"/>
    <cellStyle name="Total 3 14 2 2 2" xfId="43637"/>
    <cellStyle name="Total 3 14 2 3" xfId="33302"/>
    <cellStyle name="Total 3 14 3" xfId="15437"/>
    <cellStyle name="Total 3 14 3 2" xfId="35505"/>
    <cellStyle name="Total 3 14 4" xfId="33301"/>
    <cellStyle name="Total 3 15" xfId="13218"/>
    <cellStyle name="Total 3 15 2" xfId="13219"/>
    <cellStyle name="Total 3 15 2 2" xfId="23570"/>
    <cellStyle name="Total 3 15 2 2 2" xfId="43638"/>
    <cellStyle name="Total 3 15 2 3" xfId="33304"/>
    <cellStyle name="Total 3 15 3" xfId="15782"/>
    <cellStyle name="Total 3 15 3 2" xfId="35850"/>
    <cellStyle name="Total 3 15 4" xfId="33303"/>
    <cellStyle name="Total 3 16" xfId="13220"/>
    <cellStyle name="Total 3 16 2" xfId="13221"/>
    <cellStyle name="Total 3 16 2 2" xfId="23571"/>
    <cellStyle name="Total 3 16 2 2 2" xfId="43639"/>
    <cellStyle name="Total 3 16 2 3" xfId="33306"/>
    <cellStyle name="Total 3 16 3" xfId="15442"/>
    <cellStyle name="Total 3 16 3 2" xfId="35510"/>
    <cellStyle name="Total 3 16 4" xfId="33305"/>
    <cellStyle name="Total 3 17" xfId="13222"/>
    <cellStyle name="Total 3 17 2" xfId="13223"/>
    <cellStyle name="Total 3 17 2 2" xfId="23572"/>
    <cellStyle name="Total 3 17 2 2 2" xfId="43640"/>
    <cellStyle name="Total 3 17 2 3" xfId="33308"/>
    <cellStyle name="Total 3 17 3" xfId="16269"/>
    <cellStyle name="Total 3 17 3 2" xfId="36337"/>
    <cellStyle name="Total 3 17 4" xfId="33307"/>
    <cellStyle name="Total 3 18" xfId="13224"/>
    <cellStyle name="Total 3 18 2" xfId="13225"/>
    <cellStyle name="Total 3 18 2 2" xfId="23573"/>
    <cellStyle name="Total 3 18 2 2 2" xfId="43641"/>
    <cellStyle name="Total 3 18 2 3" xfId="33310"/>
    <cellStyle name="Total 3 18 3" xfId="15722"/>
    <cellStyle name="Total 3 18 3 2" xfId="35790"/>
    <cellStyle name="Total 3 18 4" xfId="33309"/>
    <cellStyle name="Total 3 19" xfId="13226"/>
    <cellStyle name="Total 3 19 2" xfId="13227"/>
    <cellStyle name="Total 3 19 2 2" xfId="23574"/>
    <cellStyle name="Total 3 19 2 2 2" xfId="43642"/>
    <cellStyle name="Total 3 19 2 3" xfId="33312"/>
    <cellStyle name="Total 3 19 3" xfId="16029"/>
    <cellStyle name="Total 3 19 3 2" xfId="36097"/>
    <cellStyle name="Total 3 19 4" xfId="33311"/>
    <cellStyle name="Total 3 2" xfId="13228"/>
    <cellStyle name="Total 3 2 10" xfId="13229"/>
    <cellStyle name="Total 3 2 10 2" xfId="13230"/>
    <cellStyle name="Total 3 2 10 2 2" xfId="23576"/>
    <cellStyle name="Total 3 2 10 2 2 2" xfId="43644"/>
    <cellStyle name="Total 3 2 10 2 3" xfId="33315"/>
    <cellStyle name="Total 3 2 10 3" xfId="16514"/>
    <cellStyle name="Total 3 2 10 3 2" xfId="36582"/>
    <cellStyle name="Total 3 2 10 4" xfId="33314"/>
    <cellStyle name="Total 3 2 11" xfId="13231"/>
    <cellStyle name="Total 3 2 11 2" xfId="13232"/>
    <cellStyle name="Total 3 2 11 2 2" xfId="23577"/>
    <cellStyle name="Total 3 2 11 2 2 2" xfId="43645"/>
    <cellStyle name="Total 3 2 11 2 3" xfId="33317"/>
    <cellStyle name="Total 3 2 11 3" xfId="16719"/>
    <cellStyle name="Total 3 2 11 3 2" xfId="36787"/>
    <cellStyle name="Total 3 2 11 4" xfId="33316"/>
    <cellStyle name="Total 3 2 12" xfId="13233"/>
    <cellStyle name="Total 3 2 12 2" xfId="13234"/>
    <cellStyle name="Total 3 2 12 2 2" xfId="23578"/>
    <cellStyle name="Total 3 2 12 2 2 2" xfId="43646"/>
    <cellStyle name="Total 3 2 12 2 3" xfId="33319"/>
    <cellStyle name="Total 3 2 12 3" xfId="16889"/>
    <cellStyle name="Total 3 2 12 3 2" xfId="36957"/>
    <cellStyle name="Total 3 2 12 4" xfId="33318"/>
    <cellStyle name="Total 3 2 13" xfId="13235"/>
    <cellStyle name="Total 3 2 13 2" xfId="13236"/>
    <cellStyle name="Total 3 2 13 2 2" xfId="23579"/>
    <cellStyle name="Total 3 2 13 2 2 2" xfId="43647"/>
    <cellStyle name="Total 3 2 13 2 3" xfId="33321"/>
    <cellStyle name="Total 3 2 13 3" xfId="17027"/>
    <cellStyle name="Total 3 2 13 3 2" xfId="37095"/>
    <cellStyle name="Total 3 2 13 4" xfId="33320"/>
    <cellStyle name="Total 3 2 14" xfId="13237"/>
    <cellStyle name="Total 3 2 14 2" xfId="13238"/>
    <cellStyle name="Total 3 2 14 2 2" xfId="23580"/>
    <cellStyle name="Total 3 2 14 2 2 2" xfId="43648"/>
    <cellStyle name="Total 3 2 14 2 3" xfId="33323"/>
    <cellStyle name="Total 3 2 14 3" xfId="17198"/>
    <cellStyle name="Total 3 2 14 3 2" xfId="37266"/>
    <cellStyle name="Total 3 2 14 4" xfId="33322"/>
    <cellStyle name="Total 3 2 15" xfId="13239"/>
    <cellStyle name="Total 3 2 15 2" xfId="13240"/>
    <cellStyle name="Total 3 2 15 2 2" xfId="23581"/>
    <cellStyle name="Total 3 2 15 2 2 2" xfId="43649"/>
    <cellStyle name="Total 3 2 15 2 3" xfId="33325"/>
    <cellStyle name="Total 3 2 15 3" xfId="17366"/>
    <cellStyle name="Total 3 2 15 3 2" xfId="37434"/>
    <cellStyle name="Total 3 2 15 4" xfId="33324"/>
    <cellStyle name="Total 3 2 16" xfId="13241"/>
    <cellStyle name="Total 3 2 16 2" xfId="13242"/>
    <cellStyle name="Total 3 2 16 2 2" xfId="23582"/>
    <cellStyle name="Total 3 2 16 2 2 2" xfId="43650"/>
    <cellStyle name="Total 3 2 16 2 3" xfId="33327"/>
    <cellStyle name="Total 3 2 16 3" xfId="17501"/>
    <cellStyle name="Total 3 2 16 3 2" xfId="37569"/>
    <cellStyle name="Total 3 2 16 4" xfId="33326"/>
    <cellStyle name="Total 3 2 17" xfId="13243"/>
    <cellStyle name="Total 3 2 17 2" xfId="13244"/>
    <cellStyle name="Total 3 2 17 2 2" xfId="23583"/>
    <cellStyle name="Total 3 2 17 2 2 2" xfId="43651"/>
    <cellStyle name="Total 3 2 17 2 3" xfId="33329"/>
    <cellStyle name="Total 3 2 17 3" xfId="17624"/>
    <cellStyle name="Total 3 2 17 3 2" xfId="37692"/>
    <cellStyle name="Total 3 2 17 4" xfId="33328"/>
    <cellStyle name="Total 3 2 18" xfId="13245"/>
    <cellStyle name="Total 3 2 18 2" xfId="13246"/>
    <cellStyle name="Total 3 2 18 2 2" xfId="23584"/>
    <cellStyle name="Total 3 2 18 2 2 2" xfId="43652"/>
    <cellStyle name="Total 3 2 18 2 3" xfId="33331"/>
    <cellStyle name="Total 3 2 18 3" xfId="17747"/>
    <cellStyle name="Total 3 2 18 3 2" xfId="37815"/>
    <cellStyle name="Total 3 2 18 4" xfId="33330"/>
    <cellStyle name="Total 3 2 19" xfId="13247"/>
    <cellStyle name="Total 3 2 19 2" xfId="13248"/>
    <cellStyle name="Total 3 2 19 2 2" xfId="23585"/>
    <cellStyle name="Total 3 2 19 2 2 2" xfId="43653"/>
    <cellStyle name="Total 3 2 19 2 3" xfId="33333"/>
    <cellStyle name="Total 3 2 19 3" xfId="17881"/>
    <cellStyle name="Total 3 2 19 3 2" xfId="37949"/>
    <cellStyle name="Total 3 2 19 4" xfId="33332"/>
    <cellStyle name="Total 3 2 2" xfId="13249"/>
    <cellStyle name="Total 3 2 2 10" xfId="13250"/>
    <cellStyle name="Total 3 2 2 10 2" xfId="13251"/>
    <cellStyle name="Total 3 2 2 10 2 2" xfId="23587"/>
    <cellStyle name="Total 3 2 2 10 2 2 2" xfId="43655"/>
    <cellStyle name="Total 3 2 2 10 2 3" xfId="33336"/>
    <cellStyle name="Total 3 2 2 10 3" xfId="16995"/>
    <cellStyle name="Total 3 2 2 10 3 2" xfId="37063"/>
    <cellStyle name="Total 3 2 2 10 4" xfId="33335"/>
    <cellStyle name="Total 3 2 2 11" xfId="13252"/>
    <cellStyle name="Total 3 2 2 11 2" xfId="13253"/>
    <cellStyle name="Total 3 2 2 11 2 2" xfId="23588"/>
    <cellStyle name="Total 3 2 2 11 2 2 2" xfId="43656"/>
    <cellStyle name="Total 3 2 2 11 2 3" xfId="33338"/>
    <cellStyle name="Total 3 2 2 11 3" xfId="17140"/>
    <cellStyle name="Total 3 2 2 11 3 2" xfId="37208"/>
    <cellStyle name="Total 3 2 2 11 4" xfId="33337"/>
    <cellStyle name="Total 3 2 2 12" xfId="13254"/>
    <cellStyle name="Total 3 2 2 12 2" xfId="13255"/>
    <cellStyle name="Total 3 2 2 12 2 2" xfId="23589"/>
    <cellStyle name="Total 3 2 2 12 2 2 2" xfId="43657"/>
    <cellStyle name="Total 3 2 2 12 2 3" xfId="33340"/>
    <cellStyle name="Total 3 2 2 12 3" xfId="17312"/>
    <cellStyle name="Total 3 2 2 12 3 2" xfId="37380"/>
    <cellStyle name="Total 3 2 2 12 4" xfId="33339"/>
    <cellStyle name="Total 3 2 2 13" xfId="13256"/>
    <cellStyle name="Total 3 2 2 13 2" xfId="13257"/>
    <cellStyle name="Total 3 2 2 13 2 2" xfId="23590"/>
    <cellStyle name="Total 3 2 2 13 2 2 2" xfId="43658"/>
    <cellStyle name="Total 3 2 2 13 2 3" xfId="33342"/>
    <cellStyle name="Total 3 2 2 13 3" xfId="17476"/>
    <cellStyle name="Total 3 2 2 13 3 2" xfId="37544"/>
    <cellStyle name="Total 3 2 2 13 4" xfId="33341"/>
    <cellStyle name="Total 3 2 2 14" xfId="13258"/>
    <cellStyle name="Total 3 2 2 14 2" xfId="13259"/>
    <cellStyle name="Total 3 2 2 14 2 2" xfId="23591"/>
    <cellStyle name="Total 3 2 2 14 2 2 2" xfId="43659"/>
    <cellStyle name="Total 3 2 2 14 2 3" xfId="33344"/>
    <cellStyle name="Total 3 2 2 14 3" xfId="17602"/>
    <cellStyle name="Total 3 2 2 14 3 2" xfId="37670"/>
    <cellStyle name="Total 3 2 2 14 4" xfId="33343"/>
    <cellStyle name="Total 3 2 2 15" xfId="13260"/>
    <cellStyle name="Total 3 2 2 15 2" xfId="13261"/>
    <cellStyle name="Total 3 2 2 15 2 2" xfId="23592"/>
    <cellStyle name="Total 3 2 2 15 2 2 2" xfId="43660"/>
    <cellStyle name="Total 3 2 2 15 2 3" xfId="33346"/>
    <cellStyle name="Total 3 2 2 15 3" xfId="16149"/>
    <cellStyle name="Total 3 2 2 15 3 2" xfId="36217"/>
    <cellStyle name="Total 3 2 2 15 4" xfId="33345"/>
    <cellStyle name="Total 3 2 2 16" xfId="13262"/>
    <cellStyle name="Total 3 2 2 16 2" xfId="13263"/>
    <cellStyle name="Total 3 2 2 16 2 2" xfId="23593"/>
    <cellStyle name="Total 3 2 2 16 2 2 2" xfId="43661"/>
    <cellStyle name="Total 3 2 2 16 2 3" xfId="33348"/>
    <cellStyle name="Total 3 2 2 16 3" xfId="17852"/>
    <cellStyle name="Total 3 2 2 16 3 2" xfId="37920"/>
    <cellStyle name="Total 3 2 2 16 4" xfId="33347"/>
    <cellStyle name="Total 3 2 2 17" xfId="13264"/>
    <cellStyle name="Total 3 2 2 17 2" xfId="13265"/>
    <cellStyle name="Total 3 2 2 17 2 2" xfId="23594"/>
    <cellStyle name="Total 3 2 2 17 2 2 2" xfId="43662"/>
    <cellStyle name="Total 3 2 2 17 2 3" xfId="33350"/>
    <cellStyle name="Total 3 2 2 17 3" xfId="17990"/>
    <cellStyle name="Total 3 2 2 17 3 2" xfId="38058"/>
    <cellStyle name="Total 3 2 2 17 4" xfId="33349"/>
    <cellStyle name="Total 3 2 2 18" xfId="13266"/>
    <cellStyle name="Total 3 2 2 18 2" xfId="13267"/>
    <cellStyle name="Total 3 2 2 18 2 2" xfId="23595"/>
    <cellStyle name="Total 3 2 2 18 2 2 2" xfId="43663"/>
    <cellStyle name="Total 3 2 2 18 2 3" xfId="33352"/>
    <cellStyle name="Total 3 2 2 18 3" xfId="18129"/>
    <cellStyle name="Total 3 2 2 18 3 2" xfId="38197"/>
    <cellStyle name="Total 3 2 2 18 4" xfId="33351"/>
    <cellStyle name="Total 3 2 2 19" xfId="13268"/>
    <cellStyle name="Total 3 2 2 19 2" xfId="13269"/>
    <cellStyle name="Total 3 2 2 19 2 2" xfId="23596"/>
    <cellStyle name="Total 3 2 2 19 2 2 2" xfId="43664"/>
    <cellStyle name="Total 3 2 2 19 2 3" xfId="33354"/>
    <cellStyle name="Total 3 2 2 19 3" xfId="18247"/>
    <cellStyle name="Total 3 2 2 19 3 2" xfId="38315"/>
    <cellStyle name="Total 3 2 2 19 4" xfId="33353"/>
    <cellStyle name="Total 3 2 2 2" xfId="13270"/>
    <cellStyle name="Total 3 2 2 2 2" xfId="13271"/>
    <cellStyle name="Total 3 2 2 2 2 2" xfId="23597"/>
    <cellStyle name="Total 3 2 2 2 2 2 2" xfId="43665"/>
    <cellStyle name="Total 3 2 2 2 2 3" xfId="33356"/>
    <cellStyle name="Total 3 2 2 2 3" xfId="14715"/>
    <cellStyle name="Total 3 2 2 2 3 2" xfId="34783"/>
    <cellStyle name="Total 3 2 2 2 4" xfId="33355"/>
    <cellStyle name="Total 3 2 2 20" xfId="13272"/>
    <cellStyle name="Total 3 2 2 20 2" xfId="13273"/>
    <cellStyle name="Total 3 2 2 20 2 2" xfId="23598"/>
    <cellStyle name="Total 3 2 2 20 2 2 2" xfId="43666"/>
    <cellStyle name="Total 3 2 2 20 2 3" xfId="33358"/>
    <cellStyle name="Total 3 2 2 20 3" xfId="18322"/>
    <cellStyle name="Total 3 2 2 20 3 2" xfId="38390"/>
    <cellStyle name="Total 3 2 2 20 4" xfId="33357"/>
    <cellStyle name="Total 3 2 2 21" xfId="13274"/>
    <cellStyle name="Total 3 2 2 21 2" xfId="13275"/>
    <cellStyle name="Total 3 2 2 21 2 2" xfId="23599"/>
    <cellStyle name="Total 3 2 2 21 2 2 2" xfId="43667"/>
    <cellStyle name="Total 3 2 2 21 2 3" xfId="33360"/>
    <cellStyle name="Total 3 2 2 21 3" xfId="18452"/>
    <cellStyle name="Total 3 2 2 21 3 2" xfId="38520"/>
    <cellStyle name="Total 3 2 2 21 4" xfId="33359"/>
    <cellStyle name="Total 3 2 2 22" xfId="13276"/>
    <cellStyle name="Total 3 2 2 22 2" xfId="13277"/>
    <cellStyle name="Total 3 2 2 22 2 2" xfId="23600"/>
    <cellStyle name="Total 3 2 2 22 2 2 2" xfId="43668"/>
    <cellStyle name="Total 3 2 2 22 2 3" xfId="33362"/>
    <cellStyle name="Total 3 2 2 22 3" xfId="18585"/>
    <cellStyle name="Total 3 2 2 22 3 2" xfId="38653"/>
    <cellStyle name="Total 3 2 2 22 4" xfId="33361"/>
    <cellStyle name="Total 3 2 2 23" xfId="13278"/>
    <cellStyle name="Total 3 2 2 23 2" xfId="13279"/>
    <cellStyle name="Total 3 2 2 23 2 2" xfId="23601"/>
    <cellStyle name="Total 3 2 2 23 2 2 2" xfId="43669"/>
    <cellStyle name="Total 3 2 2 23 2 3" xfId="33364"/>
    <cellStyle name="Total 3 2 2 23 3" xfId="18696"/>
    <cellStyle name="Total 3 2 2 23 3 2" xfId="38764"/>
    <cellStyle name="Total 3 2 2 23 4" xfId="33363"/>
    <cellStyle name="Total 3 2 2 24" xfId="13280"/>
    <cellStyle name="Total 3 2 2 24 2" xfId="13281"/>
    <cellStyle name="Total 3 2 2 24 2 2" xfId="23602"/>
    <cellStyle name="Total 3 2 2 24 2 2 2" xfId="43670"/>
    <cellStyle name="Total 3 2 2 24 2 3" xfId="33366"/>
    <cellStyle name="Total 3 2 2 24 3" xfId="18796"/>
    <cellStyle name="Total 3 2 2 24 3 2" xfId="38864"/>
    <cellStyle name="Total 3 2 2 24 4" xfId="33365"/>
    <cellStyle name="Total 3 2 2 25" xfId="13282"/>
    <cellStyle name="Total 3 2 2 25 2" xfId="13283"/>
    <cellStyle name="Total 3 2 2 25 2 2" xfId="23603"/>
    <cellStyle name="Total 3 2 2 25 2 2 2" xfId="43671"/>
    <cellStyle name="Total 3 2 2 25 2 3" xfId="33368"/>
    <cellStyle name="Total 3 2 2 25 3" xfId="18896"/>
    <cellStyle name="Total 3 2 2 25 3 2" xfId="38964"/>
    <cellStyle name="Total 3 2 2 25 4" xfId="33367"/>
    <cellStyle name="Total 3 2 2 26" xfId="13284"/>
    <cellStyle name="Total 3 2 2 26 2" xfId="23586"/>
    <cellStyle name="Total 3 2 2 26 2 2" xfId="43654"/>
    <cellStyle name="Total 3 2 2 26 3" xfId="33369"/>
    <cellStyle name="Total 3 2 2 27" xfId="14411"/>
    <cellStyle name="Total 3 2 2 27 2" xfId="34479"/>
    <cellStyle name="Total 3 2 2 28" xfId="33334"/>
    <cellStyle name="Total 3 2 2 3" xfId="13285"/>
    <cellStyle name="Total 3 2 2 3 2" xfId="13286"/>
    <cellStyle name="Total 3 2 2 3 2 2" xfId="23604"/>
    <cellStyle name="Total 3 2 2 3 2 2 2" xfId="43672"/>
    <cellStyle name="Total 3 2 2 3 2 3" xfId="33371"/>
    <cellStyle name="Total 3 2 2 3 3" xfId="14839"/>
    <cellStyle name="Total 3 2 2 3 3 2" xfId="34907"/>
    <cellStyle name="Total 3 2 2 3 4" xfId="33370"/>
    <cellStyle name="Total 3 2 2 4" xfId="13287"/>
    <cellStyle name="Total 3 2 2 4 2" xfId="13288"/>
    <cellStyle name="Total 3 2 2 4 2 2" xfId="23605"/>
    <cellStyle name="Total 3 2 2 4 2 2 2" xfId="43673"/>
    <cellStyle name="Total 3 2 2 4 2 3" xfId="33373"/>
    <cellStyle name="Total 3 2 2 4 3" xfId="14964"/>
    <cellStyle name="Total 3 2 2 4 3 2" xfId="35032"/>
    <cellStyle name="Total 3 2 2 4 4" xfId="33372"/>
    <cellStyle name="Total 3 2 2 5" xfId="13289"/>
    <cellStyle name="Total 3 2 2 5 2" xfId="13290"/>
    <cellStyle name="Total 3 2 2 5 2 2" xfId="23606"/>
    <cellStyle name="Total 3 2 2 5 2 2 2" xfId="43674"/>
    <cellStyle name="Total 3 2 2 5 2 3" xfId="33375"/>
    <cellStyle name="Total 3 2 2 5 3" xfId="15133"/>
    <cellStyle name="Total 3 2 2 5 3 2" xfId="35201"/>
    <cellStyle name="Total 3 2 2 5 4" xfId="33374"/>
    <cellStyle name="Total 3 2 2 6" xfId="13291"/>
    <cellStyle name="Total 3 2 2 6 2" xfId="13292"/>
    <cellStyle name="Total 3 2 2 6 2 2" xfId="23607"/>
    <cellStyle name="Total 3 2 2 6 2 2 2" xfId="43675"/>
    <cellStyle name="Total 3 2 2 6 2 3" xfId="33377"/>
    <cellStyle name="Total 3 2 2 6 3" xfId="14232"/>
    <cellStyle name="Total 3 2 2 6 3 2" xfId="34300"/>
    <cellStyle name="Total 3 2 2 6 4" xfId="33376"/>
    <cellStyle name="Total 3 2 2 7" xfId="13293"/>
    <cellStyle name="Total 3 2 2 7 2" xfId="13294"/>
    <cellStyle name="Total 3 2 2 7 2 2" xfId="23608"/>
    <cellStyle name="Total 3 2 2 7 2 2 2" xfId="43676"/>
    <cellStyle name="Total 3 2 2 7 2 3" xfId="33379"/>
    <cellStyle name="Total 3 2 2 7 3" xfId="15265"/>
    <cellStyle name="Total 3 2 2 7 3 2" xfId="35333"/>
    <cellStyle name="Total 3 2 2 7 4" xfId="33378"/>
    <cellStyle name="Total 3 2 2 8" xfId="13295"/>
    <cellStyle name="Total 3 2 2 8 2" xfId="13296"/>
    <cellStyle name="Total 3 2 2 8 2 2" xfId="23609"/>
    <cellStyle name="Total 3 2 2 8 2 2 2" xfId="43677"/>
    <cellStyle name="Total 3 2 2 8 2 3" xfId="33381"/>
    <cellStyle name="Total 3 2 2 8 3" xfId="16630"/>
    <cellStyle name="Total 3 2 2 8 3 2" xfId="36698"/>
    <cellStyle name="Total 3 2 2 8 4" xfId="33380"/>
    <cellStyle name="Total 3 2 2 9" xfId="13297"/>
    <cellStyle name="Total 3 2 2 9 2" xfId="13298"/>
    <cellStyle name="Total 3 2 2 9 2 2" xfId="23610"/>
    <cellStyle name="Total 3 2 2 9 2 2 2" xfId="43678"/>
    <cellStyle name="Total 3 2 2 9 2 3" xfId="33383"/>
    <cellStyle name="Total 3 2 2 9 3" xfId="16834"/>
    <cellStyle name="Total 3 2 2 9 3 2" xfId="36902"/>
    <cellStyle name="Total 3 2 2 9 4" xfId="33382"/>
    <cellStyle name="Total 3 2 20" xfId="13299"/>
    <cellStyle name="Total 3 2 20 2" xfId="13300"/>
    <cellStyle name="Total 3 2 20 2 2" xfId="23611"/>
    <cellStyle name="Total 3 2 20 2 2 2" xfId="43679"/>
    <cellStyle name="Total 3 2 20 2 3" xfId="33385"/>
    <cellStyle name="Total 3 2 20 3" xfId="18028"/>
    <cellStyle name="Total 3 2 20 3 2" xfId="38096"/>
    <cellStyle name="Total 3 2 20 4" xfId="33384"/>
    <cellStyle name="Total 3 2 21" xfId="13301"/>
    <cellStyle name="Total 3 2 21 2" xfId="13302"/>
    <cellStyle name="Total 3 2 21 2 2" xfId="23612"/>
    <cellStyle name="Total 3 2 21 2 2 2" xfId="43680"/>
    <cellStyle name="Total 3 2 21 2 3" xfId="33387"/>
    <cellStyle name="Total 3 2 21 3" xfId="18151"/>
    <cellStyle name="Total 3 2 21 3 2" xfId="38219"/>
    <cellStyle name="Total 3 2 21 4" xfId="33386"/>
    <cellStyle name="Total 3 2 22" xfId="13303"/>
    <cellStyle name="Total 3 2 22 2" xfId="13304"/>
    <cellStyle name="Total 3 2 22 2 2" xfId="23613"/>
    <cellStyle name="Total 3 2 22 2 2 2" xfId="43681"/>
    <cellStyle name="Total 3 2 22 2 3" xfId="33389"/>
    <cellStyle name="Total 3 2 22 3" xfId="16267"/>
    <cellStyle name="Total 3 2 22 3 2" xfId="36335"/>
    <cellStyle name="Total 3 2 22 4" xfId="33388"/>
    <cellStyle name="Total 3 2 23" xfId="13305"/>
    <cellStyle name="Total 3 2 23 2" xfId="13306"/>
    <cellStyle name="Total 3 2 23 2 2" xfId="23614"/>
    <cellStyle name="Total 3 2 23 2 2 2" xfId="43682"/>
    <cellStyle name="Total 3 2 23 2 3" xfId="33391"/>
    <cellStyle name="Total 3 2 23 3" xfId="18346"/>
    <cellStyle name="Total 3 2 23 3 2" xfId="38414"/>
    <cellStyle name="Total 3 2 23 4" xfId="33390"/>
    <cellStyle name="Total 3 2 24" xfId="13307"/>
    <cellStyle name="Total 3 2 24 2" xfId="13308"/>
    <cellStyle name="Total 3 2 24 2 2" xfId="23615"/>
    <cellStyle name="Total 3 2 24 2 2 2" xfId="43683"/>
    <cellStyle name="Total 3 2 24 2 3" xfId="33393"/>
    <cellStyle name="Total 3 2 24 3" xfId="18491"/>
    <cellStyle name="Total 3 2 24 3 2" xfId="38559"/>
    <cellStyle name="Total 3 2 24 4" xfId="33392"/>
    <cellStyle name="Total 3 2 25" xfId="13309"/>
    <cellStyle name="Total 3 2 25 2" xfId="13310"/>
    <cellStyle name="Total 3 2 25 2 2" xfId="23616"/>
    <cellStyle name="Total 3 2 25 2 2 2" xfId="43684"/>
    <cellStyle name="Total 3 2 25 2 3" xfId="33395"/>
    <cellStyle name="Total 3 2 25 3" xfId="18604"/>
    <cellStyle name="Total 3 2 25 3 2" xfId="38672"/>
    <cellStyle name="Total 3 2 25 4" xfId="33394"/>
    <cellStyle name="Total 3 2 26" xfId="13311"/>
    <cellStyle name="Total 3 2 26 2" xfId="13312"/>
    <cellStyle name="Total 3 2 26 2 2" xfId="23617"/>
    <cellStyle name="Total 3 2 26 2 2 2" xfId="43685"/>
    <cellStyle name="Total 3 2 26 2 3" xfId="33397"/>
    <cellStyle name="Total 3 2 26 3" xfId="18704"/>
    <cellStyle name="Total 3 2 26 3 2" xfId="38772"/>
    <cellStyle name="Total 3 2 26 4" xfId="33396"/>
    <cellStyle name="Total 3 2 27" xfId="13313"/>
    <cellStyle name="Total 3 2 27 2" xfId="13314"/>
    <cellStyle name="Total 3 2 27 2 2" xfId="23618"/>
    <cellStyle name="Total 3 2 27 2 2 2" xfId="43686"/>
    <cellStyle name="Total 3 2 27 2 3" xfId="33399"/>
    <cellStyle name="Total 3 2 27 3" xfId="18804"/>
    <cellStyle name="Total 3 2 27 3 2" xfId="38872"/>
    <cellStyle name="Total 3 2 27 4" xfId="33398"/>
    <cellStyle name="Total 3 2 28" xfId="13315"/>
    <cellStyle name="Total 3 2 28 2" xfId="23575"/>
    <cellStyle name="Total 3 2 28 2 2" xfId="43643"/>
    <cellStyle name="Total 3 2 28 3" xfId="33400"/>
    <cellStyle name="Total 3 2 29" xfId="13949"/>
    <cellStyle name="Total 3 2 29 2" xfId="34017"/>
    <cellStyle name="Total 3 2 3" xfId="13316"/>
    <cellStyle name="Total 3 2 3 2" xfId="13317"/>
    <cellStyle name="Total 3 2 3 2 2" xfId="23619"/>
    <cellStyle name="Total 3 2 3 2 2 2" xfId="43687"/>
    <cellStyle name="Total 3 2 3 2 3" xfId="33402"/>
    <cellStyle name="Total 3 2 3 3" xfId="14618"/>
    <cellStyle name="Total 3 2 3 3 2" xfId="34686"/>
    <cellStyle name="Total 3 2 3 4" xfId="33401"/>
    <cellStyle name="Total 3 2 30" xfId="33313"/>
    <cellStyle name="Total 3 2 4" xfId="13318"/>
    <cellStyle name="Total 3 2 4 2" xfId="13319"/>
    <cellStyle name="Total 3 2 4 2 2" xfId="23620"/>
    <cellStyle name="Total 3 2 4 2 2 2" xfId="43688"/>
    <cellStyle name="Total 3 2 4 2 3" xfId="33404"/>
    <cellStyle name="Total 3 2 4 3" xfId="14740"/>
    <cellStyle name="Total 3 2 4 3 2" xfId="34808"/>
    <cellStyle name="Total 3 2 4 4" xfId="33403"/>
    <cellStyle name="Total 3 2 5" xfId="13320"/>
    <cellStyle name="Total 3 2 5 2" xfId="13321"/>
    <cellStyle name="Total 3 2 5 2 2" xfId="23621"/>
    <cellStyle name="Total 3 2 5 2 2 2" xfId="43689"/>
    <cellStyle name="Total 3 2 5 2 3" xfId="33406"/>
    <cellStyle name="Total 3 2 5 3" xfId="14852"/>
    <cellStyle name="Total 3 2 5 3 2" xfId="34920"/>
    <cellStyle name="Total 3 2 5 4" xfId="33405"/>
    <cellStyle name="Total 3 2 6" xfId="13322"/>
    <cellStyle name="Total 3 2 6 2" xfId="13323"/>
    <cellStyle name="Total 3 2 6 2 2" xfId="23622"/>
    <cellStyle name="Total 3 2 6 2 2 2" xfId="43690"/>
    <cellStyle name="Total 3 2 6 2 3" xfId="33408"/>
    <cellStyle name="Total 3 2 6 3" xfId="15029"/>
    <cellStyle name="Total 3 2 6 3 2" xfId="35097"/>
    <cellStyle name="Total 3 2 6 4" xfId="33407"/>
    <cellStyle name="Total 3 2 7" xfId="13324"/>
    <cellStyle name="Total 3 2 7 2" xfId="13325"/>
    <cellStyle name="Total 3 2 7 2 2" xfId="23623"/>
    <cellStyle name="Total 3 2 7 2 2 2" xfId="43691"/>
    <cellStyle name="Total 3 2 7 2 3" xfId="33410"/>
    <cellStyle name="Total 3 2 7 3" xfId="14998"/>
    <cellStyle name="Total 3 2 7 3 2" xfId="35066"/>
    <cellStyle name="Total 3 2 7 4" xfId="33409"/>
    <cellStyle name="Total 3 2 8" xfId="13326"/>
    <cellStyle name="Total 3 2 8 2" xfId="13327"/>
    <cellStyle name="Total 3 2 8 2 2" xfId="23624"/>
    <cellStyle name="Total 3 2 8 2 2 2" xfId="43692"/>
    <cellStyle name="Total 3 2 8 2 3" xfId="33412"/>
    <cellStyle name="Total 3 2 8 3" xfId="15173"/>
    <cellStyle name="Total 3 2 8 3 2" xfId="35241"/>
    <cellStyle name="Total 3 2 8 4" xfId="33411"/>
    <cellStyle name="Total 3 2 9" xfId="13328"/>
    <cellStyle name="Total 3 2 9 2" xfId="13329"/>
    <cellStyle name="Total 3 2 9 2 2" xfId="23625"/>
    <cellStyle name="Total 3 2 9 2 2 2" xfId="43693"/>
    <cellStyle name="Total 3 2 9 2 3" xfId="33414"/>
    <cellStyle name="Total 3 2 9 3" xfId="15355"/>
    <cellStyle name="Total 3 2 9 3 2" xfId="35423"/>
    <cellStyle name="Total 3 2 9 4" xfId="33413"/>
    <cellStyle name="Total 3 20" xfId="13330"/>
    <cellStyle name="Total 3 20 2" xfId="13331"/>
    <cellStyle name="Total 3 20 2 2" xfId="23626"/>
    <cellStyle name="Total 3 20 2 2 2" xfId="43694"/>
    <cellStyle name="Total 3 20 2 3" xfId="33416"/>
    <cellStyle name="Total 3 20 3" xfId="16904"/>
    <cellStyle name="Total 3 20 3 2" xfId="36972"/>
    <cellStyle name="Total 3 20 4" xfId="33415"/>
    <cellStyle name="Total 3 21" xfId="13332"/>
    <cellStyle name="Total 3 21 2" xfId="13333"/>
    <cellStyle name="Total 3 21 2 2" xfId="23627"/>
    <cellStyle name="Total 3 21 2 2 2" xfId="43695"/>
    <cellStyle name="Total 3 21 2 3" xfId="33418"/>
    <cellStyle name="Total 3 21 3" xfId="15839"/>
    <cellStyle name="Total 3 21 3 2" xfId="35907"/>
    <cellStyle name="Total 3 21 4" xfId="33417"/>
    <cellStyle name="Total 3 22" xfId="13334"/>
    <cellStyle name="Total 3 22 2" xfId="13335"/>
    <cellStyle name="Total 3 22 2 2" xfId="23628"/>
    <cellStyle name="Total 3 22 2 2 2" xfId="43696"/>
    <cellStyle name="Total 3 22 2 3" xfId="33420"/>
    <cellStyle name="Total 3 22 3" xfId="17378"/>
    <cellStyle name="Total 3 22 3 2" xfId="37446"/>
    <cellStyle name="Total 3 22 4" xfId="33419"/>
    <cellStyle name="Total 3 23" xfId="13336"/>
    <cellStyle name="Total 3 23 2" xfId="13337"/>
    <cellStyle name="Total 3 23 2 2" xfId="23629"/>
    <cellStyle name="Total 3 23 2 2 2" xfId="43697"/>
    <cellStyle name="Total 3 23 2 3" xfId="33422"/>
    <cellStyle name="Total 3 23 3" xfId="16412"/>
    <cellStyle name="Total 3 23 3 2" xfId="36480"/>
    <cellStyle name="Total 3 23 4" xfId="33421"/>
    <cellStyle name="Total 3 24" xfId="13338"/>
    <cellStyle name="Total 3 24 2" xfId="13339"/>
    <cellStyle name="Total 3 24 2 2" xfId="23630"/>
    <cellStyle name="Total 3 24 2 2 2" xfId="43698"/>
    <cellStyle name="Total 3 24 2 3" xfId="33424"/>
    <cellStyle name="Total 3 24 3" xfId="18292"/>
    <cellStyle name="Total 3 24 3 2" xfId="38360"/>
    <cellStyle name="Total 3 24 4" xfId="33423"/>
    <cellStyle name="Total 3 25" xfId="13340"/>
    <cellStyle name="Total 3 25 2" xfId="13341"/>
    <cellStyle name="Total 3 25 2 2" xfId="23631"/>
    <cellStyle name="Total 3 25 2 2 2" xfId="43699"/>
    <cellStyle name="Total 3 25 2 3" xfId="33426"/>
    <cellStyle name="Total 3 25 3" xfId="15535"/>
    <cellStyle name="Total 3 25 3 2" xfId="35603"/>
    <cellStyle name="Total 3 25 4" xfId="33425"/>
    <cellStyle name="Total 3 26" xfId="13342"/>
    <cellStyle name="Total 3 26 2" xfId="13343"/>
    <cellStyle name="Total 3 26 2 2" xfId="23632"/>
    <cellStyle name="Total 3 26 2 2 2" xfId="43700"/>
    <cellStyle name="Total 3 26 2 3" xfId="33428"/>
    <cellStyle name="Total 3 26 3" xfId="18306"/>
    <cellStyle name="Total 3 26 3 2" xfId="38374"/>
    <cellStyle name="Total 3 26 4" xfId="33427"/>
    <cellStyle name="Total 3 27" xfId="13344"/>
    <cellStyle name="Total 3 27 2" xfId="13345"/>
    <cellStyle name="Total 3 27 2 2" xfId="23633"/>
    <cellStyle name="Total 3 27 2 2 2" xfId="43701"/>
    <cellStyle name="Total 3 27 2 3" xfId="33430"/>
    <cellStyle name="Total 3 27 3" xfId="17699"/>
    <cellStyle name="Total 3 27 3 2" xfId="37767"/>
    <cellStyle name="Total 3 27 4" xfId="33429"/>
    <cellStyle name="Total 3 28" xfId="13346"/>
    <cellStyle name="Total 3 28 2" xfId="13347"/>
    <cellStyle name="Total 3 28 2 2" xfId="23634"/>
    <cellStyle name="Total 3 28 2 2 2" xfId="43702"/>
    <cellStyle name="Total 3 28 2 3" xfId="33432"/>
    <cellStyle name="Total 3 28 3" xfId="15798"/>
    <cellStyle name="Total 3 28 3 2" xfId="35866"/>
    <cellStyle name="Total 3 28 4" xfId="33431"/>
    <cellStyle name="Total 3 29" xfId="13348"/>
    <cellStyle name="Total 3 29 2" xfId="13349"/>
    <cellStyle name="Total 3 29 2 2" xfId="23635"/>
    <cellStyle name="Total 3 29 2 2 2" xfId="43703"/>
    <cellStyle name="Total 3 29 2 3" xfId="33434"/>
    <cellStyle name="Total 3 29 3" xfId="16043"/>
    <cellStyle name="Total 3 29 3 2" xfId="36111"/>
    <cellStyle name="Total 3 29 4" xfId="33433"/>
    <cellStyle name="Total 3 3" xfId="13350"/>
    <cellStyle name="Total 3 3 10" xfId="13351"/>
    <cellStyle name="Total 3 3 10 2" xfId="13352"/>
    <cellStyle name="Total 3 3 10 2 2" xfId="23637"/>
    <cellStyle name="Total 3 3 10 2 2 2" xfId="43705"/>
    <cellStyle name="Total 3 3 10 2 3" xfId="33437"/>
    <cellStyle name="Total 3 3 10 3" xfId="16515"/>
    <cellStyle name="Total 3 3 10 3 2" xfId="36583"/>
    <cellStyle name="Total 3 3 10 4" xfId="33436"/>
    <cellStyle name="Total 3 3 11" xfId="13353"/>
    <cellStyle name="Total 3 3 11 2" xfId="13354"/>
    <cellStyle name="Total 3 3 11 2 2" xfId="23638"/>
    <cellStyle name="Total 3 3 11 2 2 2" xfId="43706"/>
    <cellStyle name="Total 3 3 11 2 3" xfId="33439"/>
    <cellStyle name="Total 3 3 11 3" xfId="16720"/>
    <cellStyle name="Total 3 3 11 3 2" xfId="36788"/>
    <cellStyle name="Total 3 3 11 4" xfId="33438"/>
    <cellStyle name="Total 3 3 12" xfId="13355"/>
    <cellStyle name="Total 3 3 12 2" xfId="13356"/>
    <cellStyle name="Total 3 3 12 2 2" xfId="23639"/>
    <cellStyle name="Total 3 3 12 2 2 2" xfId="43707"/>
    <cellStyle name="Total 3 3 12 2 3" xfId="33441"/>
    <cellStyle name="Total 3 3 12 3" xfId="16890"/>
    <cellStyle name="Total 3 3 12 3 2" xfId="36958"/>
    <cellStyle name="Total 3 3 12 4" xfId="33440"/>
    <cellStyle name="Total 3 3 13" xfId="13357"/>
    <cellStyle name="Total 3 3 13 2" xfId="13358"/>
    <cellStyle name="Total 3 3 13 2 2" xfId="23640"/>
    <cellStyle name="Total 3 3 13 2 2 2" xfId="43708"/>
    <cellStyle name="Total 3 3 13 2 3" xfId="33443"/>
    <cellStyle name="Total 3 3 13 3" xfId="17028"/>
    <cellStyle name="Total 3 3 13 3 2" xfId="37096"/>
    <cellStyle name="Total 3 3 13 4" xfId="33442"/>
    <cellStyle name="Total 3 3 14" xfId="13359"/>
    <cellStyle name="Total 3 3 14 2" xfId="13360"/>
    <cellStyle name="Total 3 3 14 2 2" xfId="23641"/>
    <cellStyle name="Total 3 3 14 2 2 2" xfId="43709"/>
    <cellStyle name="Total 3 3 14 2 3" xfId="33445"/>
    <cellStyle name="Total 3 3 14 3" xfId="17199"/>
    <cellStyle name="Total 3 3 14 3 2" xfId="37267"/>
    <cellStyle name="Total 3 3 14 4" xfId="33444"/>
    <cellStyle name="Total 3 3 15" xfId="13361"/>
    <cellStyle name="Total 3 3 15 2" xfId="13362"/>
    <cellStyle name="Total 3 3 15 2 2" xfId="23642"/>
    <cellStyle name="Total 3 3 15 2 2 2" xfId="43710"/>
    <cellStyle name="Total 3 3 15 2 3" xfId="33447"/>
    <cellStyle name="Total 3 3 15 3" xfId="17367"/>
    <cellStyle name="Total 3 3 15 3 2" xfId="37435"/>
    <cellStyle name="Total 3 3 15 4" xfId="33446"/>
    <cellStyle name="Total 3 3 16" xfId="13363"/>
    <cellStyle name="Total 3 3 16 2" xfId="13364"/>
    <cellStyle name="Total 3 3 16 2 2" xfId="23643"/>
    <cellStyle name="Total 3 3 16 2 2 2" xfId="43711"/>
    <cellStyle name="Total 3 3 16 2 3" xfId="33449"/>
    <cellStyle name="Total 3 3 16 3" xfId="17502"/>
    <cellStyle name="Total 3 3 16 3 2" xfId="37570"/>
    <cellStyle name="Total 3 3 16 4" xfId="33448"/>
    <cellStyle name="Total 3 3 17" xfId="13365"/>
    <cellStyle name="Total 3 3 17 2" xfId="13366"/>
    <cellStyle name="Total 3 3 17 2 2" xfId="23644"/>
    <cellStyle name="Total 3 3 17 2 2 2" xfId="43712"/>
    <cellStyle name="Total 3 3 17 2 3" xfId="33451"/>
    <cellStyle name="Total 3 3 17 3" xfId="17625"/>
    <cellStyle name="Total 3 3 17 3 2" xfId="37693"/>
    <cellStyle name="Total 3 3 17 4" xfId="33450"/>
    <cellStyle name="Total 3 3 18" xfId="13367"/>
    <cellStyle name="Total 3 3 18 2" xfId="13368"/>
    <cellStyle name="Total 3 3 18 2 2" xfId="23645"/>
    <cellStyle name="Total 3 3 18 2 2 2" xfId="43713"/>
    <cellStyle name="Total 3 3 18 2 3" xfId="33453"/>
    <cellStyle name="Total 3 3 18 3" xfId="17748"/>
    <cellStyle name="Total 3 3 18 3 2" xfId="37816"/>
    <cellStyle name="Total 3 3 18 4" xfId="33452"/>
    <cellStyle name="Total 3 3 19" xfId="13369"/>
    <cellStyle name="Total 3 3 19 2" xfId="13370"/>
    <cellStyle name="Total 3 3 19 2 2" xfId="23646"/>
    <cellStyle name="Total 3 3 19 2 2 2" xfId="43714"/>
    <cellStyle name="Total 3 3 19 2 3" xfId="33455"/>
    <cellStyle name="Total 3 3 19 3" xfId="17882"/>
    <cellStyle name="Total 3 3 19 3 2" xfId="37950"/>
    <cellStyle name="Total 3 3 19 4" xfId="33454"/>
    <cellStyle name="Total 3 3 2" xfId="13371"/>
    <cellStyle name="Total 3 3 2 10" xfId="13372"/>
    <cellStyle name="Total 3 3 2 10 2" xfId="13373"/>
    <cellStyle name="Total 3 3 2 10 2 2" xfId="23648"/>
    <cellStyle name="Total 3 3 2 10 2 2 2" xfId="43716"/>
    <cellStyle name="Total 3 3 2 10 2 3" xfId="33458"/>
    <cellStyle name="Total 3 3 2 10 3" xfId="16996"/>
    <cellStyle name="Total 3 3 2 10 3 2" xfId="37064"/>
    <cellStyle name="Total 3 3 2 10 4" xfId="33457"/>
    <cellStyle name="Total 3 3 2 11" xfId="13374"/>
    <cellStyle name="Total 3 3 2 11 2" xfId="13375"/>
    <cellStyle name="Total 3 3 2 11 2 2" xfId="23649"/>
    <cellStyle name="Total 3 3 2 11 2 2 2" xfId="43717"/>
    <cellStyle name="Total 3 3 2 11 2 3" xfId="33460"/>
    <cellStyle name="Total 3 3 2 11 3" xfId="17141"/>
    <cellStyle name="Total 3 3 2 11 3 2" xfId="37209"/>
    <cellStyle name="Total 3 3 2 11 4" xfId="33459"/>
    <cellStyle name="Total 3 3 2 12" xfId="13376"/>
    <cellStyle name="Total 3 3 2 12 2" xfId="13377"/>
    <cellStyle name="Total 3 3 2 12 2 2" xfId="23650"/>
    <cellStyle name="Total 3 3 2 12 2 2 2" xfId="43718"/>
    <cellStyle name="Total 3 3 2 12 2 3" xfId="33462"/>
    <cellStyle name="Total 3 3 2 12 3" xfId="17313"/>
    <cellStyle name="Total 3 3 2 12 3 2" xfId="37381"/>
    <cellStyle name="Total 3 3 2 12 4" xfId="33461"/>
    <cellStyle name="Total 3 3 2 13" xfId="13378"/>
    <cellStyle name="Total 3 3 2 13 2" xfId="13379"/>
    <cellStyle name="Total 3 3 2 13 2 2" xfId="23651"/>
    <cellStyle name="Total 3 3 2 13 2 2 2" xfId="43719"/>
    <cellStyle name="Total 3 3 2 13 2 3" xfId="33464"/>
    <cellStyle name="Total 3 3 2 13 3" xfId="17477"/>
    <cellStyle name="Total 3 3 2 13 3 2" xfId="37545"/>
    <cellStyle name="Total 3 3 2 13 4" xfId="33463"/>
    <cellStyle name="Total 3 3 2 14" xfId="13380"/>
    <cellStyle name="Total 3 3 2 14 2" xfId="13381"/>
    <cellStyle name="Total 3 3 2 14 2 2" xfId="23652"/>
    <cellStyle name="Total 3 3 2 14 2 2 2" xfId="43720"/>
    <cellStyle name="Total 3 3 2 14 2 3" xfId="33466"/>
    <cellStyle name="Total 3 3 2 14 3" xfId="17603"/>
    <cellStyle name="Total 3 3 2 14 3 2" xfId="37671"/>
    <cellStyle name="Total 3 3 2 14 4" xfId="33465"/>
    <cellStyle name="Total 3 3 2 15" xfId="13382"/>
    <cellStyle name="Total 3 3 2 15 2" xfId="13383"/>
    <cellStyle name="Total 3 3 2 15 2 2" xfId="23653"/>
    <cellStyle name="Total 3 3 2 15 2 2 2" xfId="43721"/>
    <cellStyle name="Total 3 3 2 15 2 3" xfId="33468"/>
    <cellStyle name="Total 3 3 2 15 3" xfId="16688"/>
    <cellStyle name="Total 3 3 2 15 3 2" xfId="36756"/>
    <cellStyle name="Total 3 3 2 15 4" xfId="33467"/>
    <cellStyle name="Total 3 3 2 16" xfId="13384"/>
    <cellStyle name="Total 3 3 2 16 2" xfId="13385"/>
    <cellStyle name="Total 3 3 2 16 2 2" xfId="23654"/>
    <cellStyle name="Total 3 3 2 16 2 2 2" xfId="43722"/>
    <cellStyle name="Total 3 3 2 16 2 3" xfId="33470"/>
    <cellStyle name="Total 3 3 2 16 3" xfId="17853"/>
    <cellStyle name="Total 3 3 2 16 3 2" xfId="37921"/>
    <cellStyle name="Total 3 3 2 16 4" xfId="33469"/>
    <cellStyle name="Total 3 3 2 17" xfId="13386"/>
    <cellStyle name="Total 3 3 2 17 2" xfId="13387"/>
    <cellStyle name="Total 3 3 2 17 2 2" xfId="23655"/>
    <cellStyle name="Total 3 3 2 17 2 2 2" xfId="43723"/>
    <cellStyle name="Total 3 3 2 17 2 3" xfId="33472"/>
    <cellStyle name="Total 3 3 2 17 3" xfId="17991"/>
    <cellStyle name="Total 3 3 2 17 3 2" xfId="38059"/>
    <cellStyle name="Total 3 3 2 17 4" xfId="33471"/>
    <cellStyle name="Total 3 3 2 18" xfId="13388"/>
    <cellStyle name="Total 3 3 2 18 2" xfId="13389"/>
    <cellStyle name="Total 3 3 2 18 2 2" xfId="23656"/>
    <cellStyle name="Total 3 3 2 18 2 2 2" xfId="43724"/>
    <cellStyle name="Total 3 3 2 18 2 3" xfId="33474"/>
    <cellStyle name="Total 3 3 2 18 3" xfId="18130"/>
    <cellStyle name="Total 3 3 2 18 3 2" xfId="38198"/>
    <cellStyle name="Total 3 3 2 18 4" xfId="33473"/>
    <cellStyle name="Total 3 3 2 19" xfId="13390"/>
    <cellStyle name="Total 3 3 2 19 2" xfId="13391"/>
    <cellStyle name="Total 3 3 2 19 2 2" xfId="23657"/>
    <cellStyle name="Total 3 3 2 19 2 2 2" xfId="43725"/>
    <cellStyle name="Total 3 3 2 19 2 3" xfId="33476"/>
    <cellStyle name="Total 3 3 2 19 3" xfId="18248"/>
    <cellStyle name="Total 3 3 2 19 3 2" xfId="38316"/>
    <cellStyle name="Total 3 3 2 19 4" xfId="33475"/>
    <cellStyle name="Total 3 3 2 2" xfId="13392"/>
    <cellStyle name="Total 3 3 2 2 2" xfId="13393"/>
    <cellStyle name="Total 3 3 2 2 2 2" xfId="23658"/>
    <cellStyle name="Total 3 3 2 2 2 2 2" xfId="43726"/>
    <cellStyle name="Total 3 3 2 2 2 3" xfId="33478"/>
    <cellStyle name="Total 3 3 2 2 3" xfId="14716"/>
    <cellStyle name="Total 3 3 2 2 3 2" xfId="34784"/>
    <cellStyle name="Total 3 3 2 2 4" xfId="33477"/>
    <cellStyle name="Total 3 3 2 20" xfId="13394"/>
    <cellStyle name="Total 3 3 2 20 2" xfId="13395"/>
    <cellStyle name="Total 3 3 2 20 2 2" xfId="23659"/>
    <cellStyle name="Total 3 3 2 20 2 2 2" xfId="43727"/>
    <cellStyle name="Total 3 3 2 20 2 3" xfId="33480"/>
    <cellStyle name="Total 3 3 2 20 3" xfId="18323"/>
    <cellStyle name="Total 3 3 2 20 3 2" xfId="38391"/>
    <cellStyle name="Total 3 3 2 20 4" xfId="33479"/>
    <cellStyle name="Total 3 3 2 21" xfId="13396"/>
    <cellStyle name="Total 3 3 2 21 2" xfId="13397"/>
    <cellStyle name="Total 3 3 2 21 2 2" xfId="23660"/>
    <cellStyle name="Total 3 3 2 21 2 2 2" xfId="43728"/>
    <cellStyle name="Total 3 3 2 21 2 3" xfId="33482"/>
    <cellStyle name="Total 3 3 2 21 3" xfId="18453"/>
    <cellStyle name="Total 3 3 2 21 3 2" xfId="38521"/>
    <cellStyle name="Total 3 3 2 21 4" xfId="33481"/>
    <cellStyle name="Total 3 3 2 22" xfId="13398"/>
    <cellStyle name="Total 3 3 2 22 2" xfId="13399"/>
    <cellStyle name="Total 3 3 2 22 2 2" xfId="23661"/>
    <cellStyle name="Total 3 3 2 22 2 2 2" xfId="43729"/>
    <cellStyle name="Total 3 3 2 22 2 3" xfId="33484"/>
    <cellStyle name="Total 3 3 2 22 3" xfId="18586"/>
    <cellStyle name="Total 3 3 2 22 3 2" xfId="38654"/>
    <cellStyle name="Total 3 3 2 22 4" xfId="33483"/>
    <cellStyle name="Total 3 3 2 23" xfId="13400"/>
    <cellStyle name="Total 3 3 2 23 2" xfId="13401"/>
    <cellStyle name="Total 3 3 2 23 2 2" xfId="23662"/>
    <cellStyle name="Total 3 3 2 23 2 2 2" xfId="43730"/>
    <cellStyle name="Total 3 3 2 23 2 3" xfId="33486"/>
    <cellStyle name="Total 3 3 2 23 3" xfId="18697"/>
    <cellStyle name="Total 3 3 2 23 3 2" xfId="38765"/>
    <cellStyle name="Total 3 3 2 23 4" xfId="33485"/>
    <cellStyle name="Total 3 3 2 24" xfId="13402"/>
    <cellStyle name="Total 3 3 2 24 2" xfId="13403"/>
    <cellStyle name="Total 3 3 2 24 2 2" xfId="23663"/>
    <cellStyle name="Total 3 3 2 24 2 2 2" xfId="43731"/>
    <cellStyle name="Total 3 3 2 24 2 3" xfId="33488"/>
    <cellStyle name="Total 3 3 2 24 3" xfId="18797"/>
    <cellStyle name="Total 3 3 2 24 3 2" xfId="38865"/>
    <cellStyle name="Total 3 3 2 24 4" xfId="33487"/>
    <cellStyle name="Total 3 3 2 25" xfId="13404"/>
    <cellStyle name="Total 3 3 2 25 2" xfId="13405"/>
    <cellStyle name="Total 3 3 2 25 2 2" xfId="23664"/>
    <cellStyle name="Total 3 3 2 25 2 2 2" xfId="43732"/>
    <cellStyle name="Total 3 3 2 25 2 3" xfId="33490"/>
    <cellStyle name="Total 3 3 2 25 3" xfId="18897"/>
    <cellStyle name="Total 3 3 2 25 3 2" xfId="38965"/>
    <cellStyle name="Total 3 3 2 25 4" xfId="33489"/>
    <cellStyle name="Total 3 3 2 26" xfId="13406"/>
    <cellStyle name="Total 3 3 2 26 2" xfId="23647"/>
    <cellStyle name="Total 3 3 2 26 2 2" xfId="43715"/>
    <cellStyle name="Total 3 3 2 26 3" xfId="33491"/>
    <cellStyle name="Total 3 3 2 27" xfId="14317"/>
    <cellStyle name="Total 3 3 2 27 2" xfId="34385"/>
    <cellStyle name="Total 3 3 2 28" xfId="33456"/>
    <cellStyle name="Total 3 3 2 3" xfId="13407"/>
    <cellStyle name="Total 3 3 2 3 2" xfId="13408"/>
    <cellStyle name="Total 3 3 2 3 2 2" xfId="23665"/>
    <cellStyle name="Total 3 3 2 3 2 2 2" xfId="43733"/>
    <cellStyle name="Total 3 3 2 3 2 3" xfId="33493"/>
    <cellStyle name="Total 3 3 2 3 3" xfId="14840"/>
    <cellStyle name="Total 3 3 2 3 3 2" xfId="34908"/>
    <cellStyle name="Total 3 3 2 3 4" xfId="33492"/>
    <cellStyle name="Total 3 3 2 4" xfId="13409"/>
    <cellStyle name="Total 3 3 2 4 2" xfId="13410"/>
    <cellStyle name="Total 3 3 2 4 2 2" xfId="23666"/>
    <cellStyle name="Total 3 3 2 4 2 2 2" xfId="43734"/>
    <cellStyle name="Total 3 3 2 4 2 3" xfId="33495"/>
    <cellStyle name="Total 3 3 2 4 3" xfId="14965"/>
    <cellStyle name="Total 3 3 2 4 3 2" xfId="35033"/>
    <cellStyle name="Total 3 3 2 4 4" xfId="33494"/>
    <cellStyle name="Total 3 3 2 5" xfId="13411"/>
    <cellStyle name="Total 3 3 2 5 2" xfId="13412"/>
    <cellStyle name="Total 3 3 2 5 2 2" xfId="23667"/>
    <cellStyle name="Total 3 3 2 5 2 2 2" xfId="43735"/>
    <cellStyle name="Total 3 3 2 5 2 3" xfId="33497"/>
    <cellStyle name="Total 3 3 2 5 3" xfId="15134"/>
    <cellStyle name="Total 3 3 2 5 3 2" xfId="35202"/>
    <cellStyle name="Total 3 3 2 5 4" xfId="33496"/>
    <cellStyle name="Total 3 3 2 6" xfId="13413"/>
    <cellStyle name="Total 3 3 2 6 2" xfId="13414"/>
    <cellStyle name="Total 3 3 2 6 2 2" xfId="23668"/>
    <cellStyle name="Total 3 3 2 6 2 2 2" xfId="43736"/>
    <cellStyle name="Total 3 3 2 6 2 3" xfId="33499"/>
    <cellStyle name="Total 3 3 2 6 3" xfId="15024"/>
    <cellStyle name="Total 3 3 2 6 3 2" xfId="35092"/>
    <cellStyle name="Total 3 3 2 6 4" xfId="33498"/>
    <cellStyle name="Total 3 3 2 7" xfId="13415"/>
    <cellStyle name="Total 3 3 2 7 2" xfId="13416"/>
    <cellStyle name="Total 3 3 2 7 2 2" xfId="23669"/>
    <cellStyle name="Total 3 3 2 7 2 2 2" xfId="43737"/>
    <cellStyle name="Total 3 3 2 7 2 3" xfId="33501"/>
    <cellStyle name="Total 3 3 2 7 3" xfId="15266"/>
    <cellStyle name="Total 3 3 2 7 3 2" xfId="35334"/>
    <cellStyle name="Total 3 3 2 7 4" xfId="33500"/>
    <cellStyle name="Total 3 3 2 8" xfId="13417"/>
    <cellStyle name="Total 3 3 2 8 2" xfId="13418"/>
    <cellStyle name="Total 3 3 2 8 2 2" xfId="23670"/>
    <cellStyle name="Total 3 3 2 8 2 2 2" xfId="43738"/>
    <cellStyle name="Total 3 3 2 8 2 3" xfId="33503"/>
    <cellStyle name="Total 3 3 2 8 3" xfId="16631"/>
    <cellStyle name="Total 3 3 2 8 3 2" xfId="36699"/>
    <cellStyle name="Total 3 3 2 8 4" xfId="33502"/>
    <cellStyle name="Total 3 3 2 9" xfId="13419"/>
    <cellStyle name="Total 3 3 2 9 2" xfId="13420"/>
    <cellStyle name="Total 3 3 2 9 2 2" xfId="23671"/>
    <cellStyle name="Total 3 3 2 9 2 2 2" xfId="43739"/>
    <cellStyle name="Total 3 3 2 9 2 3" xfId="33505"/>
    <cellStyle name="Total 3 3 2 9 3" xfId="16835"/>
    <cellStyle name="Total 3 3 2 9 3 2" xfId="36903"/>
    <cellStyle name="Total 3 3 2 9 4" xfId="33504"/>
    <cellStyle name="Total 3 3 20" xfId="13421"/>
    <cellStyle name="Total 3 3 20 2" xfId="13422"/>
    <cellStyle name="Total 3 3 20 2 2" xfId="23672"/>
    <cellStyle name="Total 3 3 20 2 2 2" xfId="43740"/>
    <cellStyle name="Total 3 3 20 2 3" xfId="33507"/>
    <cellStyle name="Total 3 3 20 3" xfId="18029"/>
    <cellStyle name="Total 3 3 20 3 2" xfId="38097"/>
    <cellStyle name="Total 3 3 20 4" xfId="33506"/>
    <cellStyle name="Total 3 3 21" xfId="13423"/>
    <cellStyle name="Total 3 3 21 2" xfId="13424"/>
    <cellStyle name="Total 3 3 21 2 2" xfId="23673"/>
    <cellStyle name="Total 3 3 21 2 2 2" xfId="43741"/>
    <cellStyle name="Total 3 3 21 2 3" xfId="33509"/>
    <cellStyle name="Total 3 3 21 3" xfId="18152"/>
    <cellStyle name="Total 3 3 21 3 2" xfId="38220"/>
    <cellStyle name="Total 3 3 21 4" xfId="33508"/>
    <cellStyle name="Total 3 3 22" xfId="13425"/>
    <cellStyle name="Total 3 3 22 2" xfId="13426"/>
    <cellStyle name="Total 3 3 22 2 2" xfId="23674"/>
    <cellStyle name="Total 3 3 22 2 2 2" xfId="43742"/>
    <cellStyle name="Total 3 3 22 2 3" xfId="33511"/>
    <cellStyle name="Total 3 3 22 3" xfId="15576"/>
    <cellStyle name="Total 3 3 22 3 2" xfId="35644"/>
    <cellStyle name="Total 3 3 22 4" xfId="33510"/>
    <cellStyle name="Total 3 3 23" xfId="13427"/>
    <cellStyle name="Total 3 3 23 2" xfId="13428"/>
    <cellStyle name="Total 3 3 23 2 2" xfId="23675"/>
    <cellStyle name="Total 3 3 23 2 2 2" xfId="43743"/>
    <cellStyle name="Total 3 3 23 2 3" xfId="33513"/>
    <cellStyle name="Total 3 3 23 3" xfId="18347"/>
    <cellStyle name="Total 3 3 23 3 2" xfId="38415"/>
    <cellStyle name="Total 3 3 23 4" xfId="33512"/>
    <cellStyle name="Total 3 3 24" xfId="13429"/>
    <cellStyle name="Total 3 3 24 2" xfId="13430"/>
    <cellStyle name="Total 3 3 24 2 2" xfId="23676"/>
    <cellStyle name="Total 3 3 24 2 2 2" xfId="43744"/>
    <cellStyle name="Total 3 3 24 2 3" xfId="33515"/>
    <cellStyle name="Total 3 3 24 3" xfId="18492"/>
    <cellStyle name="Total 3 3 24 3 2" xfId="38560"/>
    <cellStyle name="Total 3 3 24 4" xfId="33514"/>
    <cellStyle name="Total 3 3 25" xfId="13431"/>
    <cellStyle name="Total 3 3 25 2" xfId="13432"/>
    <cellStyle name="Total 3 3 25 2 2" xfId="23677"/>
    <cellStyle name="Total 3 3 25 2 2 2" xfId="43745"/>
    <cellStyle name="Total 3 3 25 2 3" xfId="33517"/>
    <cellStyle name="Total 3 3 25 3" xfId="18605"/>
    <cellStyle name="Total 3 3 25 3 2" xfId="38673"/>
    <cellStyle name="Total 3 3 25 4" xfId="33516"/>
    <cellStyle name="Total 3 3 26" xfId="13433"/>
    <cellStyle name="Total 3 3 26 2" xfId="13434"/>
    <cellStyle name="Total 3 3 26 2 2" xfId="23678"/>
    <cellStyle name="Total 3 3 26 2 2 2" xfId="43746"/>
    <cellStyle name="Total 3 3 26 2 3" xfId="33519"/>
    <cellStyle name="Total 3 3 26 3" xfId="18705"/>
    <cellStyle name="Total 3 3 26 3 2" xfId="38773"/>
    <cellStyle name="Total 3 3 26 4" xfId="33518"/>
    <cellStyle name="Total 3 3 27" xfId="13435"/>
    <cellStyle name="Total 3 3 27 2" xfId="13436"/>
    <cellStyle name="Total 3 3 27 2 2" xfId="23679"/>
    <cellStyle name="Total 3 3 27 2 2 2" xfId="43747"/>
    <cellStyle name="Total 3 3 27 2 3" xfId="33521"/>
    <cellStyle name="Total 3 3 27 3" xfId="18805"/>
    <cellStyle name="Total 3 3 27 3 2" xfId="38873"/>
    <cellStyle name="Total 3 3 27 4" xfId="33520"/>
    <cellStyle name="Total 3 3 28" xfId="13437"/>
    <cellStyle name="Total 3 3 28 2" xfId="23636"/>
    <cellStyle name="Total 3 3 28 2 2" xfId="43704"/>
    <cellStyle name="Total 3 3 28 3" xfId="33522"/>
    <cellStyle name="Total 3 3 29" xfId="13950"/>
    <cellStyle name="Total 3 3 29 2" xfId="34018"/>
    <cellStyle name="Total 3 3 3" xfId="13438"/>
    <cellStyle name="Total 3 3 3 2" xfId="13439"/>
    <cellStyle name="Total 3 3 3 2 2" xfId="23680"/>
    <cellStyle name="Total 3 3 3 2 2 2" xfId="43748"/>
    <cellStyle name="Total 3 3 3 2 3" xfId="33524"/>
    <cellStyle name="Total 3 3 3 3" xfId="14619"/>
    <cellStyle name="Total 3 3 3 3 2" xfId="34687"/>
    <cellStyle name="Total 3 3 3 4" xfId="33523"/>
    <cellStyle name="Total 3 3 30" xfId="33435"/>
    <cellStyle name="Total 3 3 4" xfId="13440"/>
    <cellStyle name="Total 3 3 4 2" xfId="13441"/>
    <cellStyle name="Total 3 3 4 2 2" xfId="23681"/>
    <cellStyle name="Total 3 3 4 2 2 2" xfId="43749"/>
    <cellStyle name="Total 3 3 4 2 3" xfId="33526"/>
    <cellStyle name="Total 3 3 4 3" xfId="14741"/>
    <cellStyle name="Total 3 3 4 3 2" xfId="34809"/>
    <cellStyle name="Total 3 3 4 4" xfId="33525"/>
    <cellStyle name="Total 3 3 5" xfId="13442"/>
    <cellStyle name="Total 3 3 5 2" xfId="13443"/>
    <cellStyle name="Total 3 3 5 2 2" xfId="23682"/>
    <cellStyle name="Total 3 3 5 2 2 2" xfId="43750"/>
    <cellStyle name="Total 3 3 5 2 3" xfId="33528"/>
    <cellStyle name="Total 3 3 5 3" xfId="14853"/>
    <cellStyle name="Total 3 3 5 3 2" xfId="34921"/>
    <cellStyle name="Total 3 3 5 4" xfId="33527"/>
    <cellStyle name="Total 3 3 6" xfId="13444"/>
    <cellStyle name="Total 3 3 6 2" xfId="13445"/>
    <cellStyle name="Total 3 3 6 2 2" xfId="23683"/>
    <cellStyle name="Total 3 3 6 2 2 2" xfId="43751"/>
    <cellStyle name="Total 3 3 6 2 3" xfId="33530"/>
    <cellStyle name="Total 3 3 6 3" xfId="15030"/>
    <cellStyle name="Total 3 3 6 3 2" xfId="35098"/>
    <cellStyle name="Total 3 3 6 4" xfId="33529"/>
    <cellStyle name="Total 3 3 7" xfId="13446"/>
    <cellStyle name="Total 3 3 7 2" xfId="13447"/>
    <cellStyle name="Total 3 3 7 2 2" xfId="23684"/>
    <cellStyle name="Total 3 3 7 2 2 2" xfId="43752"/>
    <cellStyle name="Total 3 3 7 2 3" xfId="33532"/>
    <cellStyle name="Total 3 3 7 3" xfId="14188"/>
    <cellStyle name="Total 3 3 7 3 2" xfId="34256"/>
    <cellStyle name="Total 3 3 7 4" xfId="33531"/>
    <cellStyle name="Total 3 3 8" xfId="13448"/>
    <cellStyle name="Total 3 3 8 2" xfId="13449"/>
    <cellStyle name="Total 3 3 8 2 2" xfId="23685"/>
    <cellStyle name="Total 3 3 8 2 2 2" xfId="43753"/>
    <cellStyle name="Total 3 3 8 2 3" xfId="33534"/>
    <cellStyle name="Total 3 3 8 3" xfId="15174"/>
    <cellStyle name="Total 3 3 8 3 2" xfId="35242"/>
    <cellStyle name="Total 3 3 8 4" xfId="33533"/>
    <cellStyle name="Total 3 3 9" xfId="13450"/>
    <cellStyle name="Total 3 3 9 2" xfId="13451"/>
    <cellStyle name="Total 3 3 9 2 2" xfId="23686"/>
    <cellStyle name="Total 3 3 9 2 2 2" xfId="43754"/>
    <cellStyle name="Total 3 3 9 2 3" xfId="33536"/>
    <cellStyle name="Total 3 3 9 3" xfId="15356"/>
    <cellStyle name="Total 3 3 9 3 2" xfId="35424"/>
    <cellStyle name="Total 3 3 9 4" xfId="33535"/>
    <cellStyle name="Total 3 30" xfId="13452"/>
    <cellStyle name="Total 3 30 2" xfId="23564"/>
    <cellStyle name="Total 3 30 2 2" xfId="43632"/>
    <cellStyle name="Total 3 30 3" xfId="33537"/>
    <cellStyle name="Total 3 31" xfId="13948"/>
    <cellStyle name="Total 3 31 2" xfId="34016"/>
    <cellStyle name="Total 3 32" xfId="33292"/>
    <cellStyle name="Total 3 4" xfId="13453"/>
    <cellStyle name="Total 3 4 10" xfId="13454"/>
    <cellStyle name="Total 3 4 10 2" xfId="13455"/>
    <cellStyle name="Total 3 4 10 2 2" xfId="23688"/>
    <cellStyle name="Total 3 4 10 2 2 2" xfId="43756"/>
    <cellStyle name="Total 3 4 10 2 3" xfId="33540"/>
    <cellStyle name="Total 3 4 10 3" xfId="16740"/>
    <cellStyle name="Total 3 4 10 3 2" xfId="36808"/>
    <cellStyle name="Total 3 4 10 4" xfId="33539"/>
    <cellStyle name="Total 3 4 11" xfId="13456"/>
    <cellStyle name="Total 3 4 11 2" xfId="13457"/>
    <cellStyle name="Total 3 4 11 2 2" xfId="23689"/>
    <cellStyle name="Total 3 4 11 2 2 2" xfId="43757"/>
    <cellStyle name="Total 3 4 11 2 3" xfId="33542"/>
    <cellStyle name="Total 3 4 11 3" xfId="16911"/>
    <cellStyle name="Total 3 4 11 3 2" xfId="36979"/>
    <cellStyle name="Total 3 4 11 4" xfId="33541"/>
    <cellStyle name="Total 3 4 12" xfId="13458"/>
    <cellStyle name="Total 3 4 12 2" xfId="13459"/>
    <cellStyle name="Total 3 4 12 2 2" xfId="23690"/>
    <cellStyle name="Total 3 4 12 2 2 2" xfId="43758"/>
    <cellStyle name="Total 3 4 12 2 3" xfId="33544"/>
    <cellStyle name="Total 3 4 12 3" xfId="17046"/>
    <cellStyle name="Total 3 4 12 3 2" xfId="37114"/>
    <cellStyle name="Total 3 4 12 4" xfId="33543"/>
    <cellStyle name="Total 3 4 13" xfId="13460"/>
    <cellStyle name="Total 3 4 13 2" xfId="13461"/>
    <cellStyle name="Total 3 4 13 2 2" xfId="23691"/>
    <cellStyle name="Total 3 4 13 2 2 2" xfId="43759"/>
    <cellStyle name="Total 3 4 13 2 3" xfId="33546"/>
    <cellStyle name="Total 3 4 13 3" xfId="17218"/>
    <cellStyle name="Total 3 4 13 3 2" xfId="37286"/>
    <cellStyle name="Total 3 4 13 4" xfId="33545"/>
    <cellStyle name="Total 3 4 14" xfId="13462"/>
    <cellStyle name="Total 3 4 14 2" xfId="13463"/>
    <cellStyle name="Total 3 4 14 2 2" xfId="23692"/>
    <cellStyle name="Total 3 4 14 2 2 2" xfId="43760"/>
    <cellStyle name="Total 3 4 14 2 3" xfId="33548"/>
    <cellStyle name="Total 3 4 14 3" xfId="17388"/>
    <cellStyle name="Total 3 4 14 3 2" xfId="37456"/>
    <cellStyle name="Total 3 4 14 4" xfId="33547"/>
    <cellStyle name="Total 3 4 15" xfId="13464"/>
    <cellStyle name="Total 3 4 15 2" xfId="13465"/>
    <cellStyle name="Total 3 4 15 2 2" xfId="23693"/>
    <cellStyle name="Total 3 4 15 2 2 2" xfId="43761"/>
    <cellStyle name="Total 3 4 15 2 3" xfId="33550"/>
    <cellStyle name="Total 3 4 15 3" xfId="17516"/>
    <cellStyle name="Total 3 4 15 3 2" xfId="37584"/>
    <cellStyle name="Total 3 4 15 4" xfId="33549"/>
    <cellStyle name="Total 3 4 16" xfId="13466"/>
    <cellStyle name="Total 3 4 16 2" xfId="13467"/>
    <cellStyle name="Total 3 4 16 2 2" xfId="23694"/>
    <cellStyle name="Total 3 4 16 2 2 2" xfId="43762"/>
    <cellStyle name="Total 3 4 16 2 3" xfId="33552"/>
    <cellStyle name="Total 3 4 16 3" xfId="15684"/>
    <cellStyle name="Total 3 4 16 3 2" xfId="35752"/>
    <cellStyle name="Total 3 4 16 4" xfId="33551"/>
    <cellStyle name="Total 3 4 17" xfId="13468"/>
    <cellStyle name="Total 3 4 17 2" xfId="13469"/>
    <cellStyle name="Total 3 4 17 2 2" xfId="23695"/>
    <cellStyle name="Total 3 4 17 2 2 2" xfId="43763"/>
    <cellStyle name="Total 3 4 17 2 3" xfId="33554"/>
    <cellStyle name="Total 3 4 17 3" xfId="17767"/>
    <cellStyle name="Total 3 4 17 3 2" xfId="37835"/>
    <cellStyle name="Total 3 4 17 4" xfId="33553"/>
    <cellStyle name="Total 3 4 18" xfId="13470"/>
    <cellStyle name="Total 3 4 18 2" xfId="13471"/>
    <cellStyle name="Total 3 4 18 2 2" xfId="23696"/>
    <cellStyle name="Total 3 4 18 2 2 2" xfId="43764"/>
    <cellStyle name="Total 3 4 18 2 3" xfId="33556"/>
    <cellStyle name="Total 3 4 18 3" xfId="17896"/>
    <cellStyle name="Total 3 4 18 3 2" xfId="37964"/>
    <cellStyle name="Total 3 4 18 4" xfId="33555"/>
    <cellStyle name="Total 3 4 19" xfId="13472"/>
    <cellStyle name="Total 3 4 19 2" xfId="13473"/>
    <cellStyle name="Total 3 4 19 2 2" xfId="23697"/>
    <cellStyle name="Total 3 4 19 2 2 2" xfId="43765"/>
    <cellStyle name="Total 3 4 19 2 3" xfId="33558"/>
    <cellStyle name="Total 3 4 19 3" xfId="18046"/>
    <cellStyle name="Total 3 4 19 3 2" xfId="38114"/>
    <cellStyle name="Total 3 4 19 4" xfId="33557"/>
    <cellStyle name="Total 3 4 2" xfId="13474"/>
    <cellStyle name="Total 3 4 2 2" xfId="13475"/>
    <cellStyle name="Total 3 4 2 2 2" xfId="23698"/>
    <cellStyle name="Total 3 4 2 2 2 2" xfId="43766"/>
    <cellStyle name="Total 3 4 2 2 3" xfId="33560"/>
    <cellStyle name="Total 3 4 2 3" xfId="14632"/>
    <cellStyle name="Total 3 4 2 3 2" xfId="34700"/>
    <cellStyle name="Total 3 4 2 4" xfId="33559"/>
    <cellStyle name="Total 3 4 20" xfId="13476"/>
    <cellStyle name="Total 3 4 20 2" xfId="13477"/>
    <cellStyle name="Total 3 4 20 2 2" xfId="23699"/>
    <cellStyle name="Total 3 4 20 2 2 2" xfId="43767"/>
    <cellStyle name="Total 3 4 20 2 3" xfId="33562"/>
    <cellStyle name="Total 3 4 20 3" xfId="18163"/>
    <cellStyle name="Total 3 4 20 3 2" xfId="38231"/>
    <cellStyle name="Total 3 4 20 4" xfId="33561"/>
    <cellStyle name="Total 3 4 21" xfId="13478"/>
    <cellStyle name="Total 3 4 21 2" xfId="13479"/>
    <cellStyle name="Total 3 4 21 2 2" xfId="23700"/>
    <cellStyle name="Total 3 4 21 2 2 2" xfId="43768"/>
    <cellStyle name="Total 3 4 21 2 3" xfId="33564"/>
    <cellStyle name="Total 3 4 21 3" xfId="17360"/>
    <cellStyle name="Total 3 4 21 3 2" xfId="37428"/>
    <cellStyle name="Total 3 4 21 4" xfId="33563"/>
    <cellStyle name="Total 3 4 22" xfId="13480"/>
    <cellStyle name="Total 3 4 22 2" xfId="13481"/>
    <cellStyle name="Total 3 4 22 2 2" xfId="23701"/>
    <cellStyle name="Total 3 4 22 2 2 2" xfId="43769"/>
    <cellStyle name="Total 3 4 22 2 3" xfId="33566"/>
    <cellStyle name="Total 3 4 22 3" xfId="18358"/>
    <cellStyle name="Total 3 4 22 3 2" xfId="38426"/>
    <cellStyle name="Total 3 4 22 4" xfId="33565"/>
    <cellStyle name="Total 3 4 23" xfId="13482"/>
    <cellStyle name="Total 3 4 23 2" xfId="13483"/>
    <cellStyle name="Total 3 4 23 2 2" xfId="23702"/>
    <cellStyle name="Total 3 4 23 2 2 2" xfId="43770"/>
    <cellStyle name="Total 3 4 23 2 3" xfId="33568"/>
    <cellStyle name="Total 3 4 23 3" xfId="18502"/>
    <cellStyle name="Total 3 4 23 3 2" xfId="38570"/>
    <cellStyle name="Total 3 4 23 4" xfId="33567"/>
    <cellStyle name="Total 3 4 24" xfId="13484"/>
    <cellStyle name="Total 3 4 24 2" xfId="13485"/>
    <cellStyle name="Total 3 4 24 2 2" xfId="23703"/>
    <cellStyle name="Total 3 4 24 2 2 2" xfId="43771"/>
    <cellStyle name="Total 3 4 24 2 3" xfId="33570"/>
    <cellStyle name="Total 3 4 24 3" xfId="18613"/>
    <cellStyle name="Total 3 4 24 3 2" xfId="38681"/>
    <cellStyle name="Total 3 4 24 4" xfId="33569"/>
    <cellStyle name="Total 3 4 25" xfId="13486"/>
    <cellStyle name="Total 3 4 25 2" xfId="13487"/>
    <cellStyle name="Total 3 4 25 2 2" xfId="23704"/>
    <cellStyle name="Total 3 4 25 2 2 2" xfId="43772"/>
    <cellStyle name="Total 3 4 25 2 3" xfId="33572"/>
    <cellStyle name="Total 3 4 25 3" xfId="18713"/>
    <cellStyle name="Total 3 4 25 3 2" xfId="38781"/>
    <cellStyle name="Total 3 4 25 4" xfId="33571"/>
    <cellStyle name="Total 3 4 26" xfId="13488"/>
    <cellStyle name="Total 3 4 26 2" xfId="13489"/>
    <cellStyle name="Total 3 4 26 2 2" xfId="23705"/>
    <cellStyle name="Total 3 4 26 2 2 2" xfId="43773"/>
    <cellStyle name="Total 3 4 26 2 3" xfId="33574"/>
    <cellStyle name="Total 3 4 26 3" xfId="18813"/>
    <cellStyle name="Total 3 4 26 3 2" xfId="38881"/>
    <cellStyle name="Total 3 4 26 4" xfId="33573"/>
    <cellStyle name="Total 3 4 27" xfId="13490"/>
    <cellStyle name="Total 3 4 27 2" xfId="23687"/>
    <cellStyle name="Total 3 4 27 2 2" xfId="43755"/>
    <cellStyle name="Total 3 4 27 3" xfId="33575"/>
    <cellStyle name="Total 3 4 28" xfId="13964"/>
    <cellStyle name="Total 3 4 28 2" xfId="34032"/>
    <cellStyle name="Total 3 4 29" xfId="33538"/>
    <cellStyle name="Total 3 4 3" xfId="13491"/>
    <cellStyle name="Total 3 4 3 2" xfId="13492"/>
    <cellStyle name="Total 3 4 3 2 2" xfId="23706"/>
    <cellStyle name="Total 3 4 3 2 2 2" xfId="43774"/>
    <cellStyle name="Total 3 4 3 2 3" xfId="33577"/>
    <cellStyle name="Total 3 4 3 3" xfId="14751"/>
    <cellStyle name="Total 3 4 3 3 2" xfId="34819"/>
    <cellStyle name="Total 3 4 3 4" xfId="33576"/>
    <cellStyle name="Total 3 4 4" xfId="13493"/>
    <cellStyle name="Total 3 4 4 2" xfId="13494"/>
    <cellStyle name="Total 3 4 4 2 2" xfId="23707"/>
    <cellStyle name="Total 3 4 4 2 2 2" xfId="43775"/>
    <cellStyle name="Total 3 4 4 2 3" xfId="33579"/>
    <cellStyle name="Total 3 4 4 3" xfId="14870"/>
    <cellStyle name="Total 3 4 4 3 2" xfId="34938"/>
    <cellStyle name="Total 3 4 4 4" xfId="33578"/>
    <cellStyle name="Total 3 4 5" xfId="13495"/>
    <cellStyle name="Total 3 4 5 2" xfId="13496"/>
    <cellStyle name="Total 3 4 5 2 2" xfId="23708"/>
    <cellStyle name="Total 3 4 5 2 2 2" xfId="43776"/>
    <cellStyle name="Total 3 4 5 2 3" xfId="33581"/>
    <cellStyle name="Total 3 4 5 3" xfId="15039"/>
    <cellStyle name="Total 3 4 5 3 2" xfId="35107"/>
    <cellStyle name="Total 3 4 5 4" xfId="33580"/>
    <cellStyle name="Total 3 4 6" xfId="13497"/>
    <cellStyle name="Total 3 4 6 2" xfId="13498"/>
    <cellStyle name="Total 3 4 6 2 2" xfId="23709"/>
    <cellStyle name="Total 3 4 6 2 2 2" xfId="43777"/>
    <cellStyle name="Total 3 4 6 2 3" xfId="33583"/>
    <cellStyle name="Total 3 4 6 3" xfId="14074"/>
    <cellStyle name="Total 3 4 6 3 2" xfId="34142"/>
    <cellStyle name="Total 3 4 6 4" xfId="33582"/>
    <cellStyle name="Total 3 4 7" xfId="13499"/>
    <cellStyle name="Total 3 4 7 2" xfId="13500"/>
    <cellStyle name="Total 3 4 7 2 2" xfId="23710"/>
    <cellStyle name="Total 3 4 7 2 2 2" xfId="43778"/>
    <cellStyle name="Total 3 4 7 2 3" xfId="33585"/>
    <cellStyle name="Total 3 4 7 3" xfId="15182"/>
    <cellStyle name="Total 3 4 7 3 2" xfId="35250"/>
    <cellStyle name="Total 3 4 7 4" xfId="33584"/>
    <cellStyle name="Total 3 4 8" xfId="13501"/>
    <cellStyle name="Total 3 4 8 2" xfId="13502"/>
    <cellStyle name="Total 3 4 8 2 2" xfId="23711"/>
    <cellStyle name="Total 3 4 8 2 2 2" xfId="43779"/>
    <cellStyle name="Total 3 4 8 2 3" xfId="33587"/>
    <cellStyle name="Total 3 4 8 3" xfId="15370"/>
    <cellStyle name="Total 3 4 8 3 2" xfId="35438"/>
    <cellStyle name="Total 3 4 8 4" xfId="33586"/>
    <cellStyle name="Total 3 4 9" xfId="13503"/>
    <cellStyle name="Total 3 4 9 2" xfId="13504"/>
    <cellStyle name="Total 3 4 9 2 2" xfId="23712"/>
    <cellStyle name="Total 3 4 9 2 2 2" xfId="43780"/>
    <cellStyle name="Total 3 4 9 2 3" xfId="33589"/>
    <cellStyle name="Total 3 4 9 3" xfId="16536"/>
    <cellStyle name="Total 3 4 9 3 2" xfId="36604"/>
    <cellStyle name="Total 3 4 9 4" xfId="33588"/>
    <cellStyle name="Total 3 5" xfId="13505"/>
    <cellStyle name="Total 3 5 2" xfId="13506"/>
    <cellStyle name="Total 3 5 2 2" xfId="23713"/>
    <cellStyle name="Total 3 5 2 2 2" xfId="43781"/>
    <cellStyle name="Total 3 5 2 3" xfId="33591"/>
    <cellStyle name="Total 3 5 3" xfId="14123"/>
    <cellStyle name="Total 3 5 3 2" xfId="34191"/>
    <cellStyle name="Total 3 5 4" xfId="33590"/>
    <cellStyle name="Total 3 6" xfId="13507"/>
    <cellStyle name="Total 3 6 2" xfId="13508"/>
    <cellStyle name="Total 3 6 2 2" xfId="23714"/>
    <cellStyle name="Total 3 6 2 2 2" xfId="43782"/>
    <cellStyle name="Total 3 6 2 3" xfId="33593"/>
    <cellStyle name="Total 3 6 3" xfId="14088"/>
    <cellStyle name="Total 3 6 3 2" xfId="34156"/>
    <cellStyle name="Total 3 6 4" xfId="33592"/>
    <cellStyle name="Total 3 7" xfId="13509"/>
    <cellStyle name="Total 3 7 2" xfId="13510"/>
    <cellStyle name="Total 3 7 2 2" xfId="23715"/>
    <cellStyle name="Total 3 7 2 2 2" xfId="43783"/>
    <cellStyle name="Total 3 7 2 3" xfId="33595"/>
    <cellStyle name="Total 3 7 3" xfId="14597"/>
    <cellStyle name="Total 3 7 3 2" xfId="34665"/>
    <cellStyle name="Total 3 7 4" xfId="33594"/>
    <cellStyle name="Total 3 8" xfId="13511"/>
    <cellStyle name="Total 3 8 2" xfId="13512"/>
    <cellStyle name="Total 3 8 2 2" xfId="23716"/>
    <cellStyle name="Total 3 8 2 2 2" xfId="43784"/>
    <cellStyle name="Total 3 8 2 3" xfId="33597"/>
    <cellStyle name="Total 3 8 3" xfId="14557"/>
    <cellStyle name="Total 3 8 3 2" xfId="34625"/>
    <cellStyle name="Total 3 8 4" xfId="33596"/>
    <cellStyle name="Total 3 9" xfId="13513"/>
    <cellStyle name="Total 3 9 2" xfId="13514"/>
    <cellStyle name="Total 3 9 2 2" xfId="23717"/>
    <cellStyle name="Total 3 9 2 2 2" xfId="43785"/>
    <cellStyle name="Total 3 9 2 3" xfId="33599"/>
    <cellStyle name="Total 3 9 3" xfId="14538"/>
    <cellStyle name="Total 3 9 3 2" xfId="34606"/>
    <cellStyle name="Total 3 9 4" xfId="33598"/>
    <cellStyle name="Total 3_2011-2012" xfId="13515"/>
    <cellStyle name="Total 4" xfId="13516"/>
    <cellStyle name="Total 4 10" xfId="13517"/>
    <cellStyle name="Total 4 10 2" xfId="13518"/>
    <cellStyle name="Total 4 10 2 2" xfId="23719"/>
    <cellStyle name="Total 4 10 2 2 2" xfId="43787"/>
    <cellStyle name="Total 4 10 2 3" xfId="33602"/>
    <cellStyle name="Total 4 10 3" xfId="15357"/>
    <cellStyle name="Total 4 10 3 2" xfId="35425"/>
    <cellStyle name="Total 4 10 4" xfId="33601"/>
    <cellStyle name="Total 4 11" xfId="13519"/>
    <cellStyle name="Total 4 11 2" xfId="13520"/>
    <cellStyle name="Total 4 11 2 2" xfId="23720"/>
    <cellStyle name="Total 4 11 2 2 2" xfId="43788"/>
    <cellStyle name="Total 4 11 2 3" xfId="33604"/>
    <cellStyle name="Total 4 11 3" xfId="15572"/>
    <cellStyle name="Total 4 11 3 2" xfId="35640"/>
    <cellStyle name="Total 4 11 4" xfId="33603"/>
    <cellStyle name="Total 4 12" xfId="13521"/>
    <cellStyle name="Total 4 12 2" xfId="13522"/>
    <cellStyle name="Total 4 12 2 2" xfId="23721"/>
    <cellStyle name="Total 4 12 2 2 2" xfId="43789"/>
    <cellStyle name="Total 4 12 2 3" xfId="33606"/>
    <cellStyle name="Total 4 12 3" xfId="16291"/>
    <cellStyle name="Total 4 12 3 2" xfId="36359"/>
    <cellStyle name="Total 4 12 4" xfId="33605"/>
    <cellStyle name="Total 4 13" xfId="13523"/>
    <cellStyle name="Total 4 13 2" xfId="13524"/>
    <cellStyle name="Total 4 13 2 2" xfId="23722"/>
    <cellStyle name="Total 4 13 2 2 2" xfId="43790"/>
    <cellStyle name="Total 4 13 2 3" xfId="33608"/>
    <cellStyle name="Total 4 13 3" xfId="15438"/>
    <cellStyle name="Total 4 13 3 2" xfId="35506"/>
    <cellStyle name="Total 4 13 4" xfId="33607"/>
    <cellStyle name="Total 4 14" xfId="13525"/>
    <cellStyle name="Total 4 14 2" xfId="13526"/>
    <cellStyle name="Total 4 14 2 2" xfId="23723"/>
    <cellStyle name="Total 4 14 2 2 2" xfId="43791"/>
    <cellStyle name="Total 4 14 2 3" xfId="33610"/>
    <cellStyle name="Total 4 14 3" xfId="15781"/>
    <cellStyle name="Total 4 14 3 2" xfId="35849"/>
    <cellStyle name="Total 4 14 4" xfId="33609"/>
    <cellStyle name="Total 4 15" xfId="13527"/>
    <cellStyle name="Total 4 15 2" xfId="13528"/>
    <cellStyle name="Total 4 15 2 2" xfId="23724"/>
    <cellStyle name="Total 4 15 2 2 2" xfId="43792"/>
    <cellStyle name="Total 4 15 2 3" xfId="33612"/>
    <cellStyle name="Total 4 15 3" xfId="15443"/>
    <cellStyle name="Total 4 15 3 2" xfId="35511"/>
    <cellStyle name="Total 4 15 4" xfId="33611"/>
    <cellStyle name="Total 4 16" xfId="13529"/>
    <cellStyle name="Total 4 16 2" xfId="13530"/>
    <cellStyle name="Total 4 16 2 2" xfId="23725"/>
    <cellStyle name="Total 4 16 2 2 2" xfId="43793"/>
    <cellStyle name="Total 4 16 2 3" xfId="33614"/>
    <cellStyle name="Total 4 16 3" xfId="16268"/>
    <cellStyle name="Total 4 16 3 2" xfId="36336"/>
    <cellStyle name="Total 4 16 4" xfId="33613"/>
    <cellStyle name="Total 4 17" xfId="13531"/>
    <cellStyle name="Total 4 17 2" xfId="13532"/>
    <cellStyle name="Total 4 17 2 2" xfId="23726"/>
    <cellStyle name="Total 4 17 2 2 2" xfId="43794"/>
    <cellStyle name="Total 4 17 2 3" xfId="33616"/>
    <cellStyle name="Total 4 17 3" xfId="16699"/>
    <cellStyle name="Total 4 17 3 2" xfId="36767"/>
    <cellStyle name="Total 4 17 4" xfId="33615"/>
    <cellStyle name="Total 4 18" xfId="13533"/>
    <cellStyle name="Total 4 18 2" xfId="13534"/>
    <cellStyle name="Total 4 18 2 2" xfId="23727"/>
    <cellStyle name="Total 4 18 2 2 2" xfId="43795"/>
    <cellStyle name="Total 4 18 2 3" xfId="33618"/>
    <cellStyle name="Total 4 18 3" xfId="16635"/>
    <cellStyle name="Total 4 18 3 2" xfId="36703"/>
    <cellStyle name="Total 4 18 4" xfId="33617"/>
    <cellStyle name="Total 4 19" xfId="13535"/>
    <cellStyle name="Total 4 19 2" xfId="13536"/>
    <cellStyle name="Total 4 19 2 2" xfId="23728"/>
    <cellStyle name="Total 4 19 2 2 2" xfId="43796"/>
    <cellStyle name="Total 4 19 2 3" xfId="33620"/>
    <cellStyle name="Total 4 19 3" xfId="17016"/>
    <cellStyle name="Total 4 19 3 2" xfId="37084"/>
    <cellStyle name="Total 4 19 4" xfId="33619"/>
    <cellStyle name="Total 4 2" xfId="13537"/>
    <cellStyle name="Total 4 2 10" xfId="13538"/>
    <cellStyle name="Total 4 2 10 2" xfId="13539"/>
    <cellStyle name="Total 4 2 10 2 2" xfId="23730"/>
    <cellStyle name="Total 4 2 10 2 2 2" xfId="43798"/>
    <cellStyle name="Total 4 2 10 2 3" xfId="33623"/>
    <cellStyle name="Total 4 2 10 3" xfId="16516"/>
    <cellStyle name="Total 4 2 10 3 2" xfId="36584"/>
    <cellStyle name="Total 4 2 10 4" xfId="33622"/>
    <cellStyle name="Total 4 2 11" xfId="13540"/>
    <cellStyle name="Total 4 2 11 2" xfId="13541"/>
    <cellStyle name="Total 4 2 11 2 2" xfId="23731"/>
    <cellStyle name="Total 4 2 11 2 2 2" xfId="43799"/>
    <cellStyle name="Total 4 2 11 2 3" xfId="33625"/>
    <cellStyle name="Total 4 2 11 3" xfId="16721"/>
    <cellStyle name="Total 4 2 11 3 2" xfId="36789"/>
    <cellStyle name="Total 4 2 11 4" xfId="33624"/>
    <cellStyle name="Total 4 2 12" xfId="13542"/>
    <cellStyle name="Total 4 2 12 2" xfId="13543"/>
    <cellStyle name="Total 4 2 12 2 2" xfId="23732"/>
    <cellStyle name="Total 4 2 12 2 2 2" xfId="43800"/>
    <cellStyle name="Total 4 2 12 2 3" xfId="33627"/>
    <cellStyle name="Total 4 2 12 3" xfId="16891"/>
    <cellStyle name="Total 4 2 12 3 2" xfId="36959"/>
    <cellStyle name="Total 4 2 12 4" xfId="33626"/>
    <cellStyle name="Total 4 2 13" xfId="13544"/>
    <cellStyle name="Total 4 2 13 2" xfId="13545"/>
    <cellStyle name="Total 4 2 13 2 2" xfId="23733"/>
    <cellStyle name="Total 4 2 13 2 2 2" xfId="43801"/>
    <cellStyle name="Total 4 2 13 2 3" xfId="33629"/>
    <cellStyle name="Total 4 2 13 3" xfId="17029"/>
    <cellStyle name="Total 4 2 13 3 2" xfId="37097"/>
    <cellStyle name="Total 4 2 13 4" xfId="33628"/>
    <cellStyle name="Total 4 2 14" xfId="13546"/>
    <cellStyle name="Total 4 2 14 2" xfId="13547"/>
    <cellStyle name="Total 4 2 14 2 2" xfId="23734"/>
    <cellStyle name="Total 4 2 14 2 2 2" xfId="43802"/>
    <cellStyle name="Total 4 2 14 2 3" xfId="33631"/>
    <cellStyle name="Total 4 2 14 3" xfId="17200"/>
    <cellStyle name="Total 4 2 14 3 2" xfId="37268"/>
    <cellStyle name="Total 4 2 14 4" xfId="33630"/>
    <cellStyle name="Total 4 2 15" xfId="13548"/>
    <cellStyle name="Total 4 2 15 2" xfId="13549"/>
    <cellStyle name="Total 4 2 15 2 2" xfId="23735"/>
    <cellStyle name="Total 4 2 15 2 2 2" xfId="43803"/>
    <cellStyle name="Total 4 2 15 2 3" xfId="33633"/>
    <cellStyle name="Total 4 2 15 3" xfId="17368"/>
    <cellStyle name="Total 4 2 15 3 2" xfId="37436"/>
    <cellStyle name="Total 4 2 15 4" xfId="33632"/>
    <cellStyle name="Total 4 2 16" xfId="13550"/>
    <cellStyle name="Total 4 2 16 2" xfId="13551"/>
    <cellStyle name="Total 4 2 16 2 2" xfId="23736"/>
    <cellStyle name="Total 4 2 16 2 2 2" xfId="43804"/>
    <cellStyle name="Total 4 2 16 2 3" xfId="33635"/>
    <cellStyle name="Total 4 2 16 3" xfId="17503"/>
    <cellStyle name="Total 4 2 16 3 2" xfId="37571"/>
    <cellStyle name="Total 4 2 16 4" xfId="33634"/>
    <cellStyle name="Total 4 2 17" xfId="13552"/>
    <cellStyle name="Total 4 2 17 2" xfId="13553"/>
    <cellStyle name="Total 4 2 17 2 2" xfId="23737"/>
    <cellStyle name="Total 4 2 17 2 2 2" xfId="43805"/>
    <cellStyle name="Total 4 2 17 2 3" xfId="33637"/>
    <cellStyle name="Total 4 2 17 3" xfId="17204"/>
    <cellStyle name="Total 4 2 17 3 2" xfId="37272"/>
    <cellStyle name="Total 4 2 17 4" xfId="33636"/>
    <cellStyle name="Total 4 2 18" xfId="13554"/>
    <cellStyle name="Total 4 2 18 2" xfId="13555"/>
    <cellStyle name="Total 4 2 18 2 2" xfId="23738"/>
    <cellStyle name="Total 4 2 18 2 2 2" xfId="43806"/>
    <cellStyle name="Total 4 2 18 2 3" xfId="33639"/>
    <cellStyle name="Total 4 2 18 3" xfId="17749"/>
    <cellStyle name="Total 4 2 18 3 2" xfId="37817"/>
    <cellStyle name="Total 4 2 18 4" xfId="33638"/>
    <cellStyle name="Total 4 2 19" xfId="13556"/>
    <cellStyle name="Total 4 2 19 2" xfId="13557"/>
    <cellStyle name="Total 4 2 19 2 2" xfId="23739"/>
    <cellStyle name="Total 4 2 19 2 2 2" xfId="43807"/>
    <cellStyle name="Total 4 2 19 2 3" xfId="33641"/>
    <cellStyle name="Total 4 2 19 3" xfId="17883"/>
    <cellStyle name="Total 4 2 19 3 2" xfId="37951"/>
    <cellStyle name="Total 4 2 19 4" xfId="33640"/>
    <cellStyle name="Total 4 2 2" xfId="13558"/>
    <cellStyle name="Total 4 2 2 10" xfId="13559"/>
    <cellStyle name="Total 4 2 2 10 2" xfId="13560"/>
    <cellStyle name="Total 4 2 2 10 2 2" xfId="23741"/>
    <cellStyle name="Total 4 2 2 10 2 2 2" xfId="43809"/>
    <cellStyle name="Total 4 2 2 10 2 3" xfId="33644"/>
    <cellStyle name="Total 4 2 2 10 3" xfId="16997"/>
    <cellStyle name="Total 4 2 2 10 3 2" xfId="37065"/>
    <cellStyle name="Total 4 2 2 10 4" xfId="33643"/>
    <cellStyle name="Total 4 2 2 11" xfId="13561"/>
    <cellStyle name="Total 4 2 2 11 2" xfId="13562"/>
    <cellStyle name="Total 4 2 2 11 2 2" xfId="23742"/>
    <cellStyle name="Total 4 2 2 11 2 2 2" xfId="43810"/>
    <cellStyle name="Total 4 2 2 11 2 3" xfId="33646"/>
    <cellStyle name="Total 4 2 2 11 3" xfId="17142"/>
    <cellStyle name="Total 4 2 2 11 3 2" xfId="37210"/>
    <cellStyle name="Total 4 2 2 11 4" xfId="33645"/>
    <cellStyle name="Total 4 2 2 12" xfId="13563"/>
    <cellStyle name="Total 4 2 2 12 2" xfId="13564"/>
    <cellStyle name="Total 4 2 2 12 2 2" xfId="23743"/>
    <cellStyle name="Total 4 2 2 12 2 2 2" xfId="43811"/>
    <cellStyle name="Total 4 2 2 12 2 3" xfId="33648"/>
    <cellStyle name="Total 4 2 2 12 3" xfId="17314"/>
    <cellStyle name="Total 4 2 2 12 3 2" xfId="37382"/>
    <cellStyle name="Total 4 2 2 12 4" xfId="33647"/>
    <cellStyle name="Total 4 2 2 13" xfId="13565"/>
    <cellStyle name="Total 4 2 2 13 2" xfId="13566"/>
    <cellStyle name="Total 4 2 2 13 2 2" xfId="23744"/>
    <cellStyle name="Total 4 2 2 13 2 2 2" xfId="43812"/>
    <cellStyle name="Total 4 2 2 13 2 3" xfId="33650"/>
    <cellStyle name="Total 4 2 2 13 3" xfId="17478"/>
    <cellStyle name="Total 4 2 2 13 3 2" xfId="37546"/>
    <cellStyle name="Total 4 2 2 13 4" xfId="33649"/>
    <cellStyle name="Total 4 2 2 14" xfId="13567"/>
    <cellStyle name="Total 4 2 2 14 2" xfId="13568"/>
    <cellStyle name="Total 4 2 2 14 2 2" xfId="23745"/>
    <cellStyle name="Total 4 2 2 14 2 2 2" xfId="43813"/>
    <cellStyle name="Total 4 2 2 14 2 3" xfId="33652"/>
    <cellStyle name="Total 4 2 2 14 3" xfId="17604"/>
    <cellStyle name="Total 4 2 2 14 3 2" xfId="37672"/>
    <cellStyle name="Total 4 2 2 14 4" xfId="33651"/>
    <cellStyle name="Total 4 2 2 15" xfId="13569"/>
    <cellStyle name="Total 4 2 2 15 2" xfId="13570"/>
    <cellStyle name="Total 4 2 2 15 2 2" xfId="23746"/>
    <cellStyle name="Total 4 2 2 15 2 2 2" xfId="43814"/>
    <cellStyle name="Total 4 2 2 15 2 3" xfId="33654"/>
    <cellStyle name="Total 4 2 2 15 3" xfId="16689"/>
    <cellStyle name="Total 4 2 2 15 3 2" xfId="36757"/>
    <cellStyle name="Total 4 2 2 15 4" xfId="33653"/>
    <cellStyle name="Total 4 2 2 16" xfId="13571"/>
    <cellStyle name="Total 4 2 2 16 2" xfId="13572"/>
    <cellStyle name="Total 4 2 2 16 2 2" xfId="23747"/>
    <cellStyle name="Total 4 2 2 16 2 2 2" xfId="43815"/>
    <cellStyle name="Total 4 2 2 16 2 3" xfId="33656"/>
    <cellStyle name="Total 4 2 2 16 3" xfId="17854"/>
    <cellStyle name="Total 4 2 2 16 3 2" xfId="37922"/>
    <cellStyle name="Total 4 2 2 16 4" xfId="33655"/>
    <cellStyle name="Total 4 2 2 17" xfId="13573"/>
    <cellStyle name="Total 4 2 2 17 2" xfId="13574"/>
    <cellStyle name="Total 4 2 2 17 2 2" xfId="23748"/>
    <cellStyle name="Total 4 2 2 17 2 2 2" xfId="43816"/>
    <cellStyle name="Total 4 2 2 17 2 3" xfId="33658"/>
    <cellStyle name="Total 4 2 2 17 3" xfId="17992"/>
    <cellStyle name="Total 4 2 2 17 3 2" xfId="38060"/>
    <cellStyle name="Total 4 2 2 17 4" xfId="33657"/>
    <cellStyle name="Total 4 2 2 18" xfId="13575"/>
    <cellStyle name="Total 4 2 2 18 2" xfId="13576"/>
    <cellStyle name="Total 4 2 2 18 2 2" xfId="23749"/>
    <cellStyle name="Total 4 2 2 18 2 2 2" xfId="43817"/>
    <cellStyle name="Total 4 2 2 18 2 3" xfId="33660"/>
    <cellStyle name="Total 4 2 2 18 3" xfId="18131"/>
    <cellStyle name="Total 4 2 2 18 3 2" xfId="38199"/>
    <cellStyle name="Total 4 2 2 18 4" xfId="33659"/>
    <cellStyle name="Total 4 2 2 19" xfId="13577"/>
    <cellStyle name="Total 4 2 2 19 2" xfId="13578"/>
    <cellStyle name="Total 4 2 2 19 2 2" xfId="23750"/>
    <cellStyle name="Total 4 2 2 19 2 2 2" xfId="43818"/>
    <cellStyle name="Total 4 2 2 19 2 3" xfId="33662"/>
    <cellStyle name="Total 4 2 2 19 3" xfId="18249"/>
    <cellStyle name="Total 4 2 2 19 3 2" xfId="38317"/>
    <cellStyle name="Total 4 2 2 19 4" xfId="33661"/>
    <cellStyle name="Total 4 2 2 2" xfId="13579"/>
    <cellStyle name="Total 4 2 2 2 2" xfId="13580"/>
    <cellStyle name="Total 4 2 2 2 2 2" xfId="23751"/>
    <cellStyle name="Total 4 2 2 2 2 2 2" xfId="43819"/>
    <cellStyle name="Total 4 2 2 2 2 3" xfId="33664"/>
    <cellStyle name="Total 4 2 2 2 3" xfId="14717"/>
    <cellStyle name="Total 4 2 2 2 3 2" xfId="34785"/>
    <cellStyle name="Total 4 2 2 2 4" xfId="33663"/>
    <cellStyle name="Total 4 2 2 20" xfId="13581"/>
    <cellStyle name="Total 4 2 2 20 2" xfId="13582"/>
    <cellStyle name="Total 4 2 2 20 2 2" xfId="23752"/>
    <cellStyle name="Total 4 2 2 20 2 2 2" xfId="43820"/>
    <cellStyle name="Total 4 2 2 20 2 3" xfId="33666"/>
    <cellStyle name="Total 4 2 2 20 3" xfId="18324"/>
    <cellStyle name="Total 4 2 2 20 3 2" xfId="38392"/>
    <cellStyle name="Total 4 2 2 20 4" xfId="33665"/>
    <cellStyle name="Total 4 2 2 21" xfId="13583"/>
    <cellStyle name="Total 4 2 2 21 2" xfId="13584"/>
    <cellStyle name="Total 4 2 2 21 2 2" xfId="23753"/>
    <cellStyle name="Total 4 2 2 21 2 2 2" xfId="43821"/>
    <cellStyle name="Total 4 2 2 21 2 3" xfId="33668"/>
    <cellStyle name="Total 4 2 2 21 3" xfId="18454"/>
    <cellStyle name="Total 4 2 2 21 3 2" xfId="38522"/>
    <cellStyle name="Total 4 2 2 21 4" xfId="33667"/>
    <cellStyle name="Total 4 2 2 22" xfId="13585"/>
    <cellStyle name="Total 4 2 2 22 2" xfId="13586"/>
    <cellStyle name="Total 4 2 2 22 2 2" xfId="23754"/>
    <cellStyle name="Total 4 2 2 22 2 2 2" xfId="43822"/>
    <cellStyle name="Total 4 2 2 22 2 3" xfId="33670"/>
    <cellStyle name="Total 4 2 2 22 3" xfId="18587"/>
    <cellStyle name="Total 4 2 2 22 3 2" xfId="38655"/>
    <cellStyle name="Total 4 2 2 22 4" xfId="33669"/>
    <cellStyle name="Total 4 2 2 23" xfId="13587"/>
    <cellStyle name="Total 4 2 2 23 2" xfId="13588"/>
    <cellStyle name="Total 4 2 2 23 2 2" xfId="23755"/>
    <cellStyle name="Total 4 2 2 23 2 2 2" xfId="43823"/>
    <cellStyle name="Total 4 2 2 23 2 3" xfId="33672"/>
    <cellStyle name="Total 4 2 2 23 3" xfId="18698"/>
    <cellStyle name="Total 4 2 2 23 3 2" xfId="38766"/>
    <cellStyle name="Total 4 2 2 23 4" xfId="33671"/>
    <cellStyle name="Total 4 2 2 24" xfId="13589"/>
    <cellStyle name="Total 4 2 2 24 2" xfId="13590"/>
    <cellStyle name="Total 4 2 2 24 2 2" xfId="23756"/>
    <cellStyle name="Total 4 2 2 24 2 2 2" xfId="43824"/>
    <cellStyle name="Total 4 2 2 24 2 3" xfId="33674"/>
    <cellStyle name="Total 4 2 2 24 3" xfId="18798"/>
    <cellStyle name="Total 4 2 2 24 3 2" xfId="38866"/>
    <cellStyle name="Total 4 2 2 24 4" xfId="33673"/>
    <cellStyle name="Total 4 2 2 25" xfId="13591"/>
    <cellStyle name="Total 4 2 2 25 2" xfId="13592"/>
    <cellStyle name="Total 4 2 2 25 2 2" xfId="23757"/>
    <cellStyle name="Total 4 2 2 25 2 2 2" xfId="43825"/>
    <cellStyle name="Total 4 2 2 25 2 3" xfId="33676"/>
    <cellStyle name="Total 4 2 2 25 3" xfId="18898"/>
    <cellStyle name="Total 4 2 2 25 3 2" xfId="38966"/>
    <cellStyle name="Total 4 2 2 25 4" xfId="33675"/>
    <cellStyle name="Total 4 2 2 26" xfId="13593"/>
    <cellStyle name="Total 4 2 2 26 2" xfId="23740"/>
    <cellStyle name="Total 4 2 2 26 2 2" xfId="43808"/>
    <cellStyle name="Total 4 2 2 26 3" xfId="33677"/>
    <cellStyle name="Total 4 2 2 27" xfId="14478"/>
    <cellStyle name="Total 4 2 2 27 2" xfId="34546"/>
    <cellStyle name="Total 4 2 2 28" xfId="33642"/>
    <cellStyle name="Total 4 2 2 3" xfId="13594"/>
    <cellStyle name="Total 4 2 2 3 2" xfId="13595"/>
    <cellStyle name="Total 4 2 2 3 2 2" xfId="23758"/>
    <cellStyle name="Total 4 2 2 3 2 2 2" xfId="43826"/>
    <cellStyle name="Total 4 2 2 3 2 3" xfId="33679"/>
    <cellStyle name="Total 4 2 2 3 3" xfId="14841"/>
    <cellStyle name="Total 4 2 2 3 3 2" xfId="34909"/>
    <cellStyle name="Total 4 2 2 3 4" xfId="33678"/>
    <cellStyle name="Total 4 2 2 4" xfId="13596"/>
    <cellStyle name="Total 4 2 2 4 2" xfId="13597"/>
    <cellStyle name="Total 4 2 2 4 2 2" xfId="23759"/>
    <cellStyle name="Total 4 2 2 4 2 2 2" xfId="43827"/>
    <cellStyle name="Total 4 2 2 4 2 3" xfId="33681"/>
    <cellStyle name="Total 4 2 2 4 3" xfId="14966"/>
    <cellStyle name="Total 4 2 2 4 3 2" xfId="35034"/>
    <cellStyle name="Total 4 2 2 4 4" xfId="33680"/>
    <cellStyle name="Total 4 2 2 5" xfId="13598"/>
    <cellStyle name="Total 4 2 2 5 2" xfId="13599"/>
    <cellStyle name="Total 4 2 2 5 2 2" xfId="23760"/>
    <cellStyle name="Total 4 2 2 5 2 2 2" xfId="43828"/>
    <cellStyle name="Total 4 2 2 5 2 3" xfId="33683"/>
    <cellStyle name="Total 4 2 2 5 3" xfId="15135"/>
    <cellStyle name="Total 4 2 2 5 3 2" xfId="35203"/>
    <cellStyle name="Total 4 2 2 5 4" xfId="33682"/>
    <cellStyle name="Total 4 2 2 6" xfId="13600"/>
    <cellStyle name="Total 4 2 2 6 2" xfId="13601"/>
    <cellStyle name="Total 4 2 2 6 2 2" xfId="23761"/>
    <cellStyle name="Total 4 2 2 6 2 2 2" xfId="43829"/>
    <cellStyle name="Total 4 2 2 6 2 3" xfId="33685"/>
    <cellStyle name="Total 4 2 2 6 3" xfId="14060"/>
    <cellStyle name="Total 4 2 2 6 3 2" xfId="34128"/>
    <cellStyle name="Total 4 2 2 6 4" xfId="33684"/>
    <cellStyle name="Total 4 2 2 7" xfId="13602"/>
    <cellStyle name="Total 4 2 2 7 2" xfId="13603"/>
    <cellStyle name="Total 4 2 2 7 2 2" xfId="23762"/>
    <cellStyle name="Total 4 2 2 7 2 2 2" xfId="43830"/>
    <cellStyle name="Total 4 2 2 7 2 3" xfId="33687"/>
    <cellStyle name="Total 4 2 2 7 3" xfId="15267"/>
    <cellStyle name="Total 4 2 2 7 3 2" xfId="35335"/>
    <cellStyle name="Total 4 2 2 7 4" xfId="33686"/>
    <cellStyle name="Total 4 2 2 8" xfId="13604"/>
    <cellStyle name="Total 4 2 2 8 2" xfId="13605"/>
    <cellStyle name="Total 4 2 2 8 2 2" xfId="23763"/>
    <cellStyle name="Total 4 2 2 8 2 2 2" xfId="43831"/>
    <cellStyle name="Total 4 2 2 8 2 3" xfId="33689"/>
    <cellStyle name="Total 4 2 2 8 3" xfId="16632"/>
    <cellStyle name="Total 4 2 2 8 3 2" xfId="36700"/>
    <cellStyle name="Total 4 2 2 8 4" xfId="33688"/>
    <cellStyle name="Total 4 2 2 9" xfId="13606"/>
    <cellStyle name="Total 4 2 2 9 2" xfId="13607"/>
    <cellStyle name="Total 4 2 2 9 2 2" xfId="23764"/>
    <cellStyle name="Total 4 2 2 9 2 2 2" xfId="43832"/>
    <cellStyle name="Total 4 2 2 9 2 3" xfId="33691"/>
    <cellStyle name="Total 4 2 2 9 3" xfId="16836"/>
    <cellStyle name="Total 4 2 2 9 3 2" xfId="36904"/>
    <cellStyle name="Total 4 2 2 9 4" xfId="33690"/>
    <cellStyle name="Total 4 2 20" xfId="13608"/>
    <cellStyle name="Total 4 2 20 2" xfId="13609"/>
    <cellStyle name="Total 4 2 20 2 2" xfId="23765"/>
    <cellStyle name="Total 4 2 20 2 2 2" xfId="43833"/>
    <cellStyle name="Total 4 2 20 2 3" xfId="33693"/>
    <cellStyle name="Total 4 2 20 3" xfId="18030"/>
    <cellStyle name="Total 4 2 20 3 2" xfId="38098"/>
    <cellStyle name="Total 4 2 20 4" xfId="33692"/>
    <cellStyle name="Total 4 2 21" xfId="13610"/>
    <cellStyle name="Total 4 2 21 2" xfId="13611"/>
    <cellStyle name="Total 4 2 21 2 2" xfId="23766"/>
    <cellStyle name="Total 4 2 21 2 2 2" xfId="43834"/>
    <cellStyle name="Total 4 2 21 2 3" xfId="33695"/>
    <cellStyle name="Total 4 2 21 3" xfId="18153"/>
    <cellStyle name="Total 4 2 21 3 2" xfId="38221"/>
    <cellStyle name="Total 4 2 21 4" xfId="33694"/>
    <cellStyle name="Total 4 2 22" xfId="13612"/>
    <cellStyle name="Total 4 2 22 2" xfId="13613"/>
    <cellStyle name="Total 4 2 22 2 2" xfId="23767"/>
    <cellStyle name="Total 4 2 22 2 2 2" xfId="43835"/>
    <cellStyle name="Total 4 2 22 2 3" xfId="33697"/>
    <cellStyle name="Total 4 2 22 3" xfId="16336"/>
    <cellStyle name="Total 4 2 22 3 2" xfId="36404"/>
    <cellStyle name="Total 4 2 22 4" xfId="33696"/>
    <cellStyle name="Total 4 2 23" xfId="13614"/>
    <cellStyle name="Total 4 2 23 2" xfId="13615"/>
    <cellStyle name="Total 4 2 23 2 2" xfId="23768"/>
    <cellStyle name="Total 4 2 23 2 2 2" xfId="43836"/>
    <cellStyle name="Total 4 2 23 2 3" xfId="33699"/>
    <cellStyle name="Total 4 2 23 3" xfId="18348"/>
    <cellStyle name="Total 4 2 23 3 2" xfId="38416"/>
    <cellStyle name="Total 4 2 23 4" xfId="33698"/>
    <cellStyle name="Total 4 2 24" xfId="13616"/>
    <cellStyle name="Total 4 2 24 2" xfId="13617"/>
    <cellStyle name="Total 4 2 24 2 2" xfId="23769"/>
    <cellStyle name="Total 4 2 24 2 2 2" xfId="43837"/>
    <cellStyle name="Total 4 2 24 2 3" xfId="33701"/>
    <cellStyle name="Total 4 2 24 3" xfId="18493"/>
    <cellStyle name="Total 4 2 24 3 2" xfId="38561"/>
    <cellStyle name="Total 4 2 24 4" xfId="33700"/>
    <cellStyle name="Total 4 2 25" xfId="13618"/>
    <cellStyle name="Total 4 2 25 2" xfId="13619"/>
    <cellStyle name="Total 4 2 25 2 2" xfId="23770"/>
    <cellStyle name="Total 4 2 25 2 2 2" xfId="43838"/>
    <cellStyle name="Total 4 2 25 2 3" xfId="33703"/>
    <cellStyle name="Total 4 2 25 3" xfId="18606"/>
    <cellStyle name="Total 4 2 25 3 2" xfId="38674"/>
    <cellStyle name="Total 4 2 25 4" xfId="33702"/>
    <cellStyle name="Total 4 2 26" xfId="13620"/>
    <cellStyle name="Total 4 2 26 2" xfId="13621"/>
    <cellStyle name="Total 4 2 26 2 2" xfId="23771"/>
    <cellStyle name="Total 4 2 26 2 2 2" xfId="43839"/>
    <cellStyle name="Total 4 2 26 2 3" xfId="33705"/>
    <cellStyle name="Total 4 2 26 3" xfId="18706"/>
    <cellStyle name="Total 4 2 26 3 2" xfId="38774"/>
    <cellStyle name="Total 4 2 26 4" xfId="33704"/>
    <cellStyle name="Total 4 2 27" xfId="13622"/>
    <cellStyle name="Total 4 2 27 2" xfId="13623"/>
    <cellStyle name="Total 4 2 27 2 2" xfId="23772"/>
    <cellStyle name="Total 4 2 27 2 2 2" xfId="43840"/>
    <cellStyle name="Total 4 2 27 2 3" xfId="33707"/>
    <cellStyle name="Total 4 2 27 3" xfId="18806"/>
    <cellStyle name="Total 4 2 27 3 2" xfId="38874"/>
    <cellStyle name="Total 4 2 27 4" xfId="33706"/>
    <cellStyle name="Total 4 2 28" xfId="13624"/>
    <cellStyle name="Total 4 2 28 2" xfId="23729"/>
    <cellStyle name="Total 4 2 28 2 2" xfId="43797"/>
    <cellStyle name="Total 4 2 28 3" xfId="33708"/>
    <cellStyle name="Total 4 2 29" xfId="13952"/>
    <cellStyle name="Total 4 2 29 2" xfId="34020"/>
    <cellStyle name="Total 4 2 3" xfId="13625"/>
    <cellStyle name="Total 4 2 3 2" xfId="13626"/>
    <cellStyle name="Total 4 2 3 2 2" xfId="23773"/>
    <cellStyle name="Total 4 2 3 2 2 2" xfId="43841"/>
    <cellStyle name="Total 4 2 3 2 3" xfId="33710"/>
    <cellStyle name="Total 4 2 3 3" xfId="14620"/>
    <cellStyle name="Total 4 2 3 3 2" xfId="34688"/>
    <cellStyle name="Total 4 2 3 4" xfId="33709"/>
    <cellStyle name="Total 4 2 30" xfId="33621"/>
    <cellStyle name="Total 4 2 4" xfId="13627"/>
    <cellStyle name="Total 4 2 4 2" xfId="13628"/>
    <cellStyle name="Total 4 2 4 2 2" xfId="23774"/>
    <cellStyle name="Total 4 2 4 2 2 2" xfId="43842"/>
    <cellStyle name="Total 4 2 4 2 3" xfId="33712"/>
    <cellStyle name="Total 4 2 4 3" xfId="14742"/>
    <cellStyle name="Total 4 2 4 3 2" xfId="34810"/>
    <cellStyle name="Total 4 2 4 4" xfId="33711"/>
    <cellStyle name="Total 4 2 5" xfId="13629"/>
    <cellStyle name="Total 4 2 5 2" xfId="13630"/>
    <cellStyle name="Total 4 2 5 2 2" xfId="23775"/>
    <cellStyle name="Total 4 2 5 2 2 2" xfId="43843"/>
    <cellStyle name="Total 4 2 5 2 3" xfId="33714"/>
    <cellStyle name="Total 4 2 5 3" xfId="14854"/>
    <cellStyle name="Total 4 2 5 3 2" xfId="34922"/>
    <cellStyle name="Total 4 2 5 4" xfId="33713"/>
    <cellStyle name="Total 4 2 6" xfId="13631"/>
    <cellStyle name="Total 4 2 6 2" xfId="13632"/>
    <cellStyle name="Total 4 2 6 2 2" xfId="23776"/>
    <cellStyle name="Total 4 2 6 2 2 2" xfId="43844"/>
    <cellStyle name="Total 4 2 6 2 3" xfId="33716"/>
    <cellStyle name="Total 4 2 6 3" xfId="15031"/>
    <cellStyle name="Total 4 2 6 3 2" xfId="35099"/>
    <cellStyle name="Total 4 2 6 4" xfId="33715"/>
    <cellStyle name="Total 4 2 7" xfId="13633"/>
    <cellStyle name="Total 4 2 7 2" xfId="13634"/>
    <cellStyle name="Total 4 2 7 2 2" xfId="23777"/>
    <cellStyle name="Total 4 2 7 2 2 2" xfId="43845"/>
    <cellStyle name="Total 4 2 7 2 3" xfId="33718"/>
    <cellStyle name="Total 4 2 7 3" xfId="14999"/>
    <cellStyle name="Total 4 2 7 3 2" xfId="35067"/>
    <cellStyle name="Total 4 2 7 4" xfId="33717"/>
    <cellStyle name="Total 4 2 8" xfId="13635"/>
    <cellStyle name="Total 4 2 8 2" xfId="13636"/>
    <cellStyle name="Total 4 2 8 2 2" xfId="23778"/>
    <cellStyle name="Total 4 2 8 2 2 2" xfId="43846"/>
    <cellStyle name="Total 4 2 8 2 3" xfId="33720"/>
    <cellStyle name="Total 4 2 8 3" xfId="15175"/>
    <cellStyle name="Total 4 2 8 3 2" xfId="35243"/>
    <cellStyle name="Total 4 2 8 4" xfId="33719"/>
    <cellStyle name="Total 4 2 9" xfId="13637"/>
    <cellStyle name="Total 4 2 9 2" xfId="13638"/>
    <cellStyle name="Total 4 2 9 2 2" xfId="23779"/>
    <cellStyle name="Total 4 2 9 2 2 2" xfId="43847"/>
    <cellStyle name="Total 4 2 9 2 3" xfId="33722"/>
    <cellStyle name="Total 4 2 9 3" xfId="15358"/>
    <cellStyle name="Total 4 2 9 3 2" xfId="35426"/>
    <cellStyle name="Total 4 2 9 4" xfId="33721"/>
    <cellStyle name="Total 4 20" xfId="13639"/>
    <cellStyle name="Total 4 20 2" xfId="13640"/>
    <cellStyle name="Total 4 20 2 2" xfId="23780"/>
    <cellStyle name="Total 4 20 2 2 2" xfId="43848"/>
    <cellStyle name="Total 4 20 2 3" xfId="33724"/>
    <cellStyle name="Total 4 20 3" xfId="15567"/>
    <cellStyle name="Total 4 20 3 2" xfId="35635"/>
    <cellStyle name="Total 4 20 4" xfId="33723"/>
    <cellStyle name="Total 4 21" xfId="13641"/>
    <cellStyle name="Total 4 21 2" xfId="13642"/>
    <cellStyle name="Total 4 21 2 2" xfId="23781"/>
    <cellStyle name="Total 4 21 2 2 2" xfId="43849"/>
    <cellStyle name="Total 4 21 2 3" xfId="33726"/>
    <cellStyle name="Total 4 21 3" xfId="17381"/>
    <cellStyle name="Total 4 21 3 2" xfId="37449"/>
    <cellStyle name="Total 4 21 4" xfId="33725"/>
    <cellStyle name="Total 4 22" xfId="13643"/>
    <cellStyle name="Total 4 22 2" xfId="13644"/>
    <cellStyle name="Total 4 22 2 2" xfId="23782"/>
    <cellStyle name="Total 4 22 2 2 2" xfId="43850"/>
    <cellStyle name="Total 4 22 2 3" xfId="33728"/>
    <cellStyle name="Total 4 22 3" xfId="15842"/>
    <cellStyle name="Total 4 22 3 2" xfId="35910"/>
    <cellStyle name="Total 4 22 4" xfId="33727"/>
    <cellStyle name="Total 4 23" xfId="13645"/>
    <cellStyle name="Total 4 23 2" xfId="13646"/>
    <cellStyle name="Total 4 23 2 2" xfId="23783"/>
    <cellStyle name="Total 4 23 2 2 2" xfId="43851"/>
    <cellStyle name="Total 4 23 2 3" xfId="33730"/>
    <cellStyle name="Total 4 23 3" xfId="17885"/>
    <cellStyle name="Total 4 23 3 2" xfId="37953"/>
    <cellStyle name="Total 4 23 4" xfId="33729"/>
    <cellStyle name="Total 4 24" xfId="13647"/>
    <cellStyle name="Total 4 24 2" xfId="13648"/>
    <cellStyle name="Total 4 24 2 2" xfId="23784"/>
    <cellStyle name="Total 4 24 2 2 2" xfId="43852"/>
    <cellStyle name="Total 4 24 2 3" xfId="33732"/>
    <cellStyle name="Total 4 24 3" xfId="17175"/>
    <cellStyle name="Total 4 24 3 2" xfId="37243"/>
    <cellStyle name="Total 4 24 4" xfId="33731"/>
    <cellStyle name="Total 4 25" xfId="13649"/>
    <cellStyle name="Total 4 25 2" xfId="13650"/>
    <cellStyle name="Total 4 25 2 2" xfId="23785"/>
    <cellStyle name="Total 4 25 2 2 2" xfId="43853"/>
    <cellStyle name="Total 4 25 2 3" xfId="33734"/>
    <cellStyle name="Total 4 25 3" xfId="18261"/>
    <cellStyle name="Total 4 25 3 2" xfId="38329"/>
    <cellStyle name="Total 4 25 4" xfId="33733"/>
    <cellStyle name="Total 4 26" xfId="13651"/>
    <cellStyle name="Total 4 26 2" xfId="13652"/>
    <cellStyle name="Total 4 26 2 2" xfId="23786"/>
    <cellStyle name="Total 4 26 2 2 2" xfId="43854"/>
    <cellStyle name="Total 4 26 2 3" xfId="33736"/>
    <cellStyle name="Total 4 26 3" xfId="16361"/>
    <cellStyle name="Total 4 26 3 2" xfId="36429"/>
    <cellStyle name="Total 4 26 4" xfId="33735"/>
    <cellStyle name="Total 4 27" xfId="13653"/>
    <cellStyle name="Total 4 27 2" xfId="13654"/>
    <cellStyle name="Total 4 27 2 2" xfId="23787"/>
    <cellStyle name="Total 4 27 2 2 2" xfId="43855"/>
    <cellStyle name="Total 4 27 2 3" xfId="33738"/>
    <cellStyle name="Total 4 27 3" xfId="16258"/>
    <cellStyle name="Total 4 27 3 2" xfId="36326"/>
    <cellStyle name="Total 4 27 4" xfId="33737"/>
    <cellStyle name="Total 4 28" xfId="13655"/>
    <cellStyle name="Total 4 28 2" xfId="13656"/>
    <cellStyle name="Total 4 28 2 2" xfId="23788"/>
    <cellStyle name="Total 4 28 2 2 2" xfId="43856"/>
    <cellStyle name="Total 4 28 2 3" xfId="33740"/>
    <cellStyle name="Total 4 28 3" xfId="17541"/>
    <cellStyle name="Total 4 28 3 2" xfId="37609"/>
    <cellStyle name="Total 4 28 4" xfId="33739"/>
    <cellStyle name="Total 4 29" xfId="13657"/>
    <cellStyle name="Total 4 29 2" xfId="23718"/>
    <cellStyle name="Total 4 29 2 2" xfId="43786"/>
    <cellStyle name="Total 4 29 3" xfId="33741"/>
    <cellStyle name="Total 4 3" xfId="13658"/>
    <cellStyle name="Total 4 3 10" xfId="13659"/>
    <cellStyle name="Total 4 3 10 2" xfId="13660"/>
    <cellStyle name="Total 4 3 10 2 2" xfId="23790"/>
    <cellStyle name="Total 4 3 10 2 2 2" xfId="43858"/>
    <cellStyle name="Total 4 3 10 2 3" xfId="33744"/>
    <cellStyle name="Total 4 3 10 3" xfId="16741"/>
    <cellStyle name="Total 4 3 10 3 2" xfId="36809"/>
    <cellStyle name="Total 4 3 10 4" xfId="33743"/>
    <cellStyle name="Total 4 3 11" xfId="13661"/>
    <cellStyle name="Total 4 3 11 2" xfId="13662"/>
    <cellStyle name="Total 4 3 11 2 2" xfId="23791"/>
    <cellStyle name="Total 4 3 11 2 2 2" xfId="43859"/>
    <cellStyle name="Total 4 3 11 2 3" xfId="33746"/>
    <cellStyle name="Total 4 3 11 3" xfId="16912"/>
    <cellStyle name="Total 4 3 11 3 2" xfId="36980"/>
    <cellStyle name="Total 4 3 11 4" xfId="33745"/>
    <cellStyle name="Total 4 3 12" xfId="13663"/>
    <cellStyle name="Total 4 3 12 2" xfId="13664"/>
    <cellStyle name="Total 4 3 12 2 2" xfId="23792"/>
    <cellStyle name="Total 4 3 12 2 2 2" xfId="43860"/>
    <cellStyle name="Total 4 3 12 2 3" xfId="33748"/>
    <cellStyle name="Total 4 3 12 3" xfId="17047"/>
    <cellStyle name="Total 4 3 12 3 2" xfId="37115"/>
    <cellStyle name="Total 4 3 12 4" xfId="33747"/>
    <cellStyle name="Total 4 3 13" xfId="13665"/>
    <cellStyle name="Total 4 3 13 2" xfId="13666"/>
    <cellStyle name="Total 4 3 13 2 2" xfId="23793"/>
    <cellStyle name="Total 4 3 13 2 2 2" xfId="43861"/>
    <cellStyle name="Total 4 3 13 2 3" xfId="33750"/>
    <cellStyle name="Total 4 3 13 3" xfId="17219"/>
    <cellStyle name="Total 4 3 13 3 2" xfId="37287"/>
    <cellStyle name="Total 4 3 13 4" xfId="33749"/>
    <cellStyle name="Total 4 3 14" xfId="13667"/>
    <cellStyle name="Total 4 3 14 2" xfId="13668"/>
    <cellStyle name="Total 4 3 14 2 2" xfId="23794"/>
    <cellStyle name="Total 4 3 14 2 2 2" xfId="43862"/>
    <cellStyle name="Total 4 3 14 2 3" xfId="33752"/>
    <cellStyle name="Total 4 3 14 3" xfId="17389"/>
    <cellStyle name="Total 4 3 14 3 2" xfId="37457"/>
    <cellStyle name="Total 4 3 14 4" xfId="33751"/>
    <cellStyle name="Total 4 3 15" xfId="13669"/>
    <cellStyle name="Total 4 3 15 2" xfId="13670"/>
    <cellStyle name="Total 4 3 15 2 2" xfId="23795"/>
    <cellStyle name="Total 4 3 15 2 2 2" xfId="43863"/>
    <cellStyle name="Total 4 3 15 2 3" xfId="33754"/>
    <cellStyle name="Total 4 3 15 3" xfId="17517"/>
    <cellStyle name="Total 4 3 15 3 2" xfId="37585"/>
    <cellStyle name="Total 4 3 15 4" xfId="33753"/>
    <cellStyle name="Total 4 3 16" xfId="13671"/>
    <cellStyle name="Total 4 3 16 2" xfId="13672"/>
    <cellStyle name="Total 4 3 16 2 2" xfId="23796"/>
    <cellStyle name="Total 4 3 16 2 2 2" xfId="43864"/>
    <cellStyle name="Total 4 3 16 2 3" xfId="33756"/>
    <cellStyle name="Total 4 3 16 3" xfId="17629"/>
    <cellStyle name="Total 4 3 16 3 2" xfId="37697"/>
    <cellStyle name="Total 4 3 16 4" xfId="33755"/>
    <cellStyle name="Total 4 3 17" xfId="13673"/>
    <cellStyle name="Total 4 3 17 2" xfId="13674"/>
    <cellStyle name="Total 4 3 17 2 2" xfId="23797"/>
    <cellStyle name="Total 4 3 17 2 2 2" xfId="43865"/>
    <cellStyle name="Total 4 3 17 2 3" xfId="33758"/>
    <cellStyle name="Total 4 3 17 3" xfId="17768"/>
    <cellStyle name="Total 4 3 17 3 2" xfId="37836"/>
    <cellStyle name="Total 4 3 17 4" xfId="33757"/>
    <cellStyle name="Total 4 3 18" xfId="13675"/>
    <cellStyle name="Total 4 3 18 2" xfId="13676"/>
    <cellStyle name="Total 4 3 18 2 2" xfId="23798"/>
    <cellStyle name="Total 4 3 18 2 2 2" xfId="43866"/>
    <cellStyle name="Total 4 3 18 2 3" xfId="33760"/>
    <cellStyle name="Total 4 3 18 3" xfId="17897"/>
    <cellStyle name="Total 4 3 18 3 2" xfId="37965"/>
    <cellStyle name="Total 4 3 18 4" xfId="33759"/>
    <cellStyle name="Total 4 3 19" xfId="13677"/>
    <cellStyle name="Total 4 3 19 2" xfId="13678"/>
    <cellStyle name="Total 4 3 19 2 2" xfId="23799"/>
    <cellStyle name="Total 4 3 19 2 2 2" xfId="43867"/>
    <cellStyle name="Total 4 3 19 2 3" xfId="33762"/>
    <cellStyle name="Total 4 3 19 3" xfId="18047"/>
    <cellStyle name="Total 4 3 19 3 2" xfId="38115"/>
    <cellStyle name="Total 4 3 19 4" xfId="33761"/>
    <cellStyle name="Total 4 3 2" xfId="13679"/>
    <cellStyle name="Total 4 3 2 2" xfId="13680"/>
    <cellStyle name="Total 4 3 2 2 2" xfId="23800"/>
    <cellStyle name="Total 4 3 2 2 2 2" xfId="43868"/>
    <cellStyle name="Total 4 3 2 2 3" xfId="33764"/>
    <cellStyle name="Total 4 3 2 3" xfId="14633"/>
    <cellStyle name="Total 4 3 2 3 2" xfId="34701"/>
    <cellStyle name="Total 4 3 2 4" xfId="33763"/>
    <cellStyle name="Total 4 3 20" xfId="13681"/>
    <cellStyle name="Total 4 3 20 2" xfId="13682"/>
    <cellStyle name="Total 4 3 20 2 2" xfId="23801"/>
    <cellStyle name="Total 4 3 20 2 2 2" xfId="43869"/>
    <cellStyle name="Total 4 3 20 2 3" xfId="33766"/>
    <cellStyle name="Total 4 3 20 3" xfId="18164"/>
    <cellStyle name="Total 4 3 20 3 2" xfId="38232"/>
    <cellStyle name="Total 4 3 20 4" xfId="33765"/>
    <cellStyle name="Total 4 3 21" xfId="13683"/>
    <cellStyle name="Total 4 3 21 2" xfId="13684"/>
    <cellStyle name="Total 4 3 21 2 2" xfId="23802"/>
    <cellStyle name="Total 4 3 21 2 2 2" xfId="43870"/>
    <cellStyle name="Total 4 3 21 2 3" xfId="33768"/>
    <cellStyle name="Total 4 3 21 3" xfId="16404"/>
    <cellStyle name="Total 4 3 21 3 2" xfId="36472"/>
    <cellStyle name="Total 4 3 21 4" xfId="33767"/>
    <cellStyle name="Total 4 3 22" xfId="13685"/>
    <cellStyle name="Total 4 3 22 2" xfId="13686"/>
    <cellStyle name="Total 4 3 22 2 2" xfId="23803"/>
    <cellStyle name="Total 4 3 22 2 2 2" xfId="43871"/>
    <cellStyle name="Total 4 3 22 2 3" xfId="33770"/>
    <cellStyle name="Total 4 3 22 3" xfId="18359"/>
    <cellStyle name="Total 4 3 22 3 2" xfId="38427"/>
    <cellStyle name="Total 4 3 22 4" xfId="33769"/>
    <cellStyle name="Total 4 3 23" xfId="13687"/>
    <cellStyle name="Total 4 3 23 2" xfId="13688"/>
    <cellStyle name="Total 4 3 23 2 2" xfId="23804"/>
    <cellStyle name="Total 4 3 23 2 2 2" xfId="43872"/>
    <cellStyle name="Total 4 3 23 2 3" xfId="33772"/>
    <cellStyle name="Total 4 3 23 3" xfId="18503"/>
    <cellStyle name="Total 4 3 23 3 2" xfId="38571"/>
    <cellStyle name="Total 4 3 23 4" xfId="33771"/>
    <cellStyle name="Total 4 3 24" xfId="13689"/>
    <cellStyle name="Total 4 3 24 2" xfId="13690"/>
    <cellStyle name="Total 4 3 24 2 2" xfId="23805"/>
    <cellStyle name="Total 4 3 24 2 2 2" xfId="43873"/>
    <cellStyle name="Total 4 3 24 2 3" xfId="33774"/>
    <cellStyle name="Total 4 3 24 3" xfId="18614"/>
    <cellStyle name="Total 4 3 24 3 2" xfId="38682"/>
    <cellStyle name="Total 4 3 24 4" xfId="33773"/>
    <cellStyle name="Total 4 3 25" xfId="13691"/>
    <cellStyle name="Total 4 3 25 2" xfId="13692"/>
    <cellStyle name="Total 4 3 25 2 2" xfId="23806"/>
    <cellStyle name="Total 4 3 25 2 2 2" xfId="43874"/>
    <cellStyle name="Total 4 3 25 2 3" xfId="33776"/>
    <cellStyle name="Total 4 3 25 3" xfId="18714"/>
    <cellStyle name="Total 4 3 25 3 2" xfId="38782"/>
    <cellStyle name="Total 4 3 25 4" xfId="33775"/>
    <cellStyle name="Total 4 3 26" xfId="13693"/>
    <cellStyle name="Total 4 3 26 2" xfId="13694"/>
    <cellStyle name="Total 4 3 26 2 2" xfId="23807"/>
    <cellStyle name="Total 4 3 26 2 2 2" xfId="43875"/>
    <cellStyle name="Total 4 3 26 2 3" xfId="33778"/>
    <cellStyle name="Total 4 3 26 3" xfId="18814"/>
    <cellStyle name="Total 4 3 26 3 2" xfId="38882"/>
    <cellStyle name="Total 4 3 26 4" xfId="33777"/>
    <cellStyle name="Total 4 3 27" xfId="13695"/>
    <cellStyle name="Total 4 3 27 2" xfId="23789"/>
    <cellStyle name="Total 4 3 27 2 2" xfId="43857"/>
    <cellStyle name="Total 4 3 27 3" xfId="33779"/>
    <cellStyle name="Total 4 3 28" xfId="13965"/>
    <cellStyle name="Total 4 3 28 2" xfId="34033"/>
    <cellStyle name="Total 4 3 29" xfId="33742"/>
    <cellStyle name="Total 4 3 3" xfId="13696"/>
    <cellStyle name="Total 4 3 3 2" xfId="13697"/>
    <cellStyle name="Total 4 3 3 2 2" xfId="23808"/>
    <cellStyle name="Total 4 3 3 2 2 2" xfId="43876"/>
    <cellStyle name="Total 4 3 3 2 3" xfId="33781"/>
    <cellStyle name="Total 4 3 3 3" xfId="14752"/>
    <cellStyle name="Total 4 3 3 3 2" xfId="34820"/>
    <cellStyle name="Total 4 3 3 4" xfId="33780"/>
    <cellStyle name="Total 4 3 4" xfId="13698"/>
    <cellStyle name="Total 4 3 4 2" xfId="13699"/>
    <cellStyle name="Total 4 3 4 2 2" xfId="23809"/>
    <cellStyle name="Total 4 3 4 2 2 2" xfId="43877"/>
    <cellStyle name="Total 4 3 4 2 3" xfId="33783"/>
    <cellStyle name="Total 4 3 4 3" xfId="14871"/>
    <cellStyle name="Total 4 3 4 3 2" xfId="34939"/>
    <cellStyle name="Total 4 3 4 4" xfId="33782"/>
    <cellStyle name="Total 4 3 5" xfId="13700"/>
    <cellStyle name="Total 4 3 5 2" xfId="13701"/>
    <cellStyle name="Total 4 3 5 2 2" xfId="23810"/>
    <cellStyle name="Total 4 3 5 2 2 2" xfId="43878"/>
    <cellStyle name="Total 4 3 5 2 3" xfId="33785"/>
    <cellStyle name="Total 4 3 5 3" xfId="15040"/>
    <cellStyle name="Total 4 3 5 3 2" xfId="35108"/>
    <cellStyle name="Total 4 3 5 4" xfId="33784"/>
    <cellStyle name="Total 4 3 6" xfId="13702"/>
    <cellStyle name="Total 4 3 6 2" xfId="13703"/>
    <cellStyle name="Total 4 3 6 2 2" xfId="23811"/>
    <cellStyle name="Total 4 3 6 2 2 2" xfId="43879"/>
    <cellStyle name="Total 4 3 6 2 3" xfId="33787"/>
    <cellStyle name="Total 4 3 6 3" xfId="14544"/>
    <cellStyle name="Total 4 3 6 3 2" xfId="34612"/>
    <cellStyle name="Total 4 3 6 4" xfId="33786"/>
    <cellStyle name="Total 4 3 7" xfId="13704"/>
    <cellStyle name="Total 4 3 7 2" xfId="13705"/>
    <cellStyle name="Total 4 3 7 2 2" xfId="23812"/>
    <cellStyle name="Total 4 3 7 2 2 2" xfId="43880"/>
    <cellStyle name="Total 4 3 7 2 3" xfId="33789"/>
    <cellStyle name="Total 4 3 7 3" xfId="15183"/>
    <cellStyle name="Total 4 3 7 3 2" xfId="35251"/>
    <cellStyle name="Total 4 3 7 4" xfId="33788"/>
    <cellStyle name="Total 4 3 8" xfId="13706"/>
    <cellStyle name="Total 4 3 8 2" xfId="13707"/>
    <cellStyle name="Total 4 3 8 2 2" xfId="23813"/>
    <cellStyle name="Total 4 3 8 2 2 2" xfId="43881"/>
    <cellStyle name="Total 4 3 8 2 3" xfId="33791"/>
    <cellStyle name="Total 4 3 8 3" xfId="15371"/>
    <cellStyle name="Total 4 3 8 3 2" xfId="35439"/>
    <cellStyle name="Total 4 3 8 4" xfId="33790"/>
    <cellStyle name="Total 4 3 9" xfId="13708"/>
    <cellStyle name="Total 4 3 9 2" xfId="13709"/>
    <cellStyle name="Total 4 3 9 2 2" xfId="23814"/>
    <cellStyle name="Total 4 3 9 2 2 2" xfId="43882"/>
    <cellStyle name="Total 4 3 9 2 3" xfId="33793"/>
    <cellStyle name="Total 4 3 9 3" xfId="16537"/>
    <cellStyle name="Total 4 3 9 3 2" xfId="36605"/>
    <cellStyle name="Total 4 3 9 4" xfId="33792"/>
    <cellStyle name="Total 4 30" xfId="13951"/>
    <cellStyle name="Total 4 30 2" xfId="34019"/>
    <cellStyle name="Total 4 31" xfId="33600"/>
    <cellStyle name="Total 4 4" xfId="13710"/>
    <cellStyle name="Total 4 4 2" xfId="13711"/>
    <cellStyle name="Total 4 4 2 2" xfId="23815"/>
    <cellStyle name="Total 4 4 2 2 2" xfId="43883"/>
    <cellStyle name="Total 4 4 2 3" xfId="33795"/>
    <cellStyle name="Total 4 4 3" xfId="14066"/>
    <cellStyle name="Total 4 4 3 2" xfId="34134"/>
    <cellStyle name="Total 4 4 4" xfId="33794"/>
    <cellStyle name="Total 4 5" xfId="13712"/>
    <cellStyle name="Total 4 5 2" xfId="13713"/>
    <cellStyle name="Total 4 5 2 2" xfId="23816"/>
    <cellStyle name="Total 4 5 2 2 2" xfId="43884"/>
    <cellStyle name="Total 4 5 2 3" xfId="33797"/>
    <cellStyle name="Total 4 5 3" xfId="14320"/>
    <cellStyle name="Total 4 5 3 2" xfId="34388"/>
    <cellStyle name="Total 4 5 4" xfId="33796"/>
    <cellStyle name="Total 4 6" xfId="13714"/>
    <cellStyle name="Total 4 6 2" xfId="13715"/>
    <cellStyle name="Total 4 6 2 2" xfId="23817"/>
    <cellStyle name="Total 4 6 2 2 2" xfId="43885"/>
    <cellStyle name="Total 4 6 2 3" xfId="33799"/>
    <cellStyle name="Total 4 6 3" xfId="14360"/>
    <cellStyle name="Total 4 6 3 2" xfId="34428"/>
    <cellStyle name="Total 4 6 4" xfId="33798"/>
    <cellStyle name="Total 4 7" xfId="13716"/>
    <cellStyle name="Total 4 7 2" xfId="13717"/>
    <cellStyle name="Total 4 7 2 2" xfId="23818"/>
    <cellStyle name="Total 4 7 2 2 2" xfId="43886"/>
    <cellStyle name="Total 4 7 2 3" xfId="33801"/>
    <cellStyle name="Total 4 7 3" xfId="14541"/>
    <cellStyle name="Total 4 7 3 2" xfId="34609"/>
    <cellStyle name="Total 4 7 4" xfId="33800"/>
    <cellStyle name="Total 4 8" xfId="13718"/>
    <cellStyle name="Total 4 8 2" xfId="13719"/>
    <cellStyle name="Total 4 8 2 2" xfId="23819"/>
    <cellStyle name="Total 4 8 2 2 2" xfId="43887"/>
    <cellStyle name="Total 4 8 2 3" xfId="33803"/>
    <cellStyle name="Total 4 8 3" xfId="14236"/>
    <cellStyle name="Total 4 8 3 2" xfId="34304"/>
    <cellStyle name="Total 4 8 4" xfId="33802"/>
    <cellStyle name="Total 4 9" xfId="13720"/>
    <cellStyle name="Total 4 9 2" xfId="13721"/>
    <cellStyle name="Total 4 9 2 2" xfId="23820"/>
    <cellStyle name="Total 4 9 2 2 2" xfId="43888"/>
    <cellStyle name="Total 4 9 2 3" xfId="33805"/>
    <cellStyle name="Total 4 9 3" xfId="14779"/>
    <cellStyle name="Total 4 9 3 2" xfId="34847"/>
    <cellStyle name="Total 4 9 4" xfId="33804"/>
    <cellStyle name="Total 4_2011-2012" xfId="13722"/>
    <cellStyle name="Total 5" xfId="13723"/>
    <cellStyle name="Total 5 10" xfId="13724"/>
    <cellStyle name="Total 5 10 2" xfId="13725"/>
    <cellStyle name="Total 5 10 2 2" xfId="23822"/>
    <cellStyle name="Total 5 10 2 2 2" xfId="43890"/>
    <cellStyle name="Total 5 10 2 3" xfId="33808"/>
    <cellStyle name="Total 5 10 3" xfId="16517"/>
    <cellStyle name="Total 5 10 3 2" xfId="36585"/>
    <cellStyle name="Total 5 10 4" xfId="33807"/>
    <cellStyle name="Total 5 11" xfId="13726"/>
    <cellStyle name="Total 5 11 2" xfId="13727"/>
    <cellStyle name="Total 5 11 2 2" xfId="23823"/>
    <cellStyle name="Total 5 11 2 2 2" xfId="43891"/>
    <cellStyle name="Total 5 11 2 3" xfId="33810"/>
    <cellStyle name="Total 5 11 3" xfId="16722"/>
    <cellStyle name="Total 5 11 3 2" xfId="36790"/>
    <cellStyle name="Total 5 11 4" xfId="33809"/>
    <cellStyle name="Total 5 12" xfId="13728"/>
    <cellStyle name="Total 5 12 2" xfId="13729"/>
    <cellStyle name="Total 5 12 2 2" xfId="23824"/>
    <cellStyle name="Total 5 12 2 2 2" xfId="43892"/>
    <cellStyle name="Total 5 12 2 3" xfId="33812"/>
    <cellStyle name="Total 5 12 3" xfId="16892"/>
    <cellStyle name="Total 5 12 3 2" xfId="36960"/>
    <cellStyle name="Total 5 12 4" xfId="33811"/>
    <cellStyle name="Total 5 13" xfId="13730"/>
    <cellStyle name="Total 5 13 2" xfId="13731"/>
    <cellStyle name="Total 5 13 2 2" xfId="23825"/>
    <cellStyle name="Total 5 13 2 2 2" xfId="43893"/>
    <cellStyle name="Total 5 13 2 3" xfId="33814"/>
    <cellStyle name="Total 5 13 3" xfId="17030"/>
    <cellStyle name="Total 5 13 3 2" xfId="37098"/>
    <cellStyle name="Total 5 13 4" xfId="33813"/>
    <cellStyle name="Total 5 14" xfId="13732"/>
    <cellStyle name="Total 5 14 2" xfId="13733"/>
    <cellStyle name="Total 5 14 2 2" xfId="23826"/>
    <cellStyle name="Total 5 14 2 2 2" xfId="43894"/>
    <cellStyle name="Total 5 14 2 3" xfId="33816"/>
    <cellStyle name="Total 5 14 3" xfId="17201"/>
    <cellStyle name="Total 5 14 3 2" xfId="37269"/>
    <cellStyle name="Total 5 14 4" xfId="33815"/>
    <cellStyle name="Total 5 15" xfId="13734"/>
    <cellStyle name="Total 5 15 2" xfId="13735"/>
    <cellStyle name="Total 5 15 2 2" xfId="23827"/>
    <cellStyle name="Total 5 15 2 2 2" xfId="43895"/>
    <cellStyle name="Total 5 15 2 3" xfId="33818"/>
    <cellStyle name="Total 5 15 3" xfId="17369"/>
    <cellStyle name="Total 5 15 3 2" xfId="37437"/>
    <cellStyle name="Total 5 15 4" xfId="33817"/>
    <cellStyle name="Total 5 16" xfId="13736"/>
    <cellStyle name="Total 5 16 2" xfId="13737"/>
    <cellStyle name="Total 5 16 2 2" xfId="23828"/>
    <cellStyle name="Total 5 16 2 2 2" xfId="43896"/>
    <cellStyle name="Total 5 16 2 3" xfId="33820"/>
    <cellStyle name="Total 5 16 3" xfId="17504"/>
    <cellStyle name="Total 5 16 3 2" xfId="37572"/>
    <cellStyle name="Total 5 16 4" xfId="33819"/>
    <cellStyle name="Total 5 17" xfId="13738"/>
    <cellStyle name="Total 5 17 2" xfId="13739"/>
    <cellStyle name="Total 5 17 2 2" xfId="23829"/>
    <cellStyle name="Total 5 17 2 2 2" xfId="43897"/>
    <cellStyle name="Total 5 17 2 3" xfId="33822"/>
    <cellStyle name="Total 5 17 3" xfId="17690"/>
    <cellStyle name="Total 5 17 3 2" xfId="37758"/>
    <cellStyle name="Total 5 17 4" xfId="33821"/>
    <cellStyle name="Total 5 18" xfId="13740"/>
    <cellStyle name="Total 5 18 2" xfId="13741"/>
    <cellStyle name="Total 5 18 2 2" xfId="23830"/>
    <cellStyle name="Total 5 18 2 2 2" xfId="43898"/>
    <cellStyle name="Total 5 18 2 3" xfId="33824"/>
    <cellStyle name="Total 5 18 3" xfId="17750"/>
    <cellStyle name="Total 5 18 3 2" xfId="37818"/>
    <cellStyle name="Total 5 18 4" xfId="33823"/>
    <cellStyle name="Total 5 19" xfId="13742"/>
    <cellStyle name="Total 5 19 2" xfId="13743"/>
    <cellStyle name="Total 5 19 2 2" xfId="23831"/>
    <cellStyle name="Total 5 19 2 2 2" xfId="43899"/>
    <cellStyle name="Total 5 19 2 3" xfId="33826"/>
    <cellStyle name="Total 5 19 3" xfId="17884"/>
    <cellStyle name="Total 5 19 3 2" xfId="37952"/>
    <cellStyle name="Total 5 19 4" xfId="33825"/>
    <cellStyle name="Total 5 2" xfId="13744"/>
    <cellStyle name="Total 5 2 10" xfId="13745"/>
    <cellStyle name="Total 5 2 10 2" xfId="13746"/>
    <cellStyle name="Total 5 2 10 2 2" xfId="23833"/>
    <cellStyle name="Total 5 2 10 2 2 2" xfId="43901"/>
    <cellStyle name="Total 5 2 10 2 3" xfId="33829"/>
    <cellStyle name="Total 5 2 10 3" xfId="16998"/>
    <cellStyle name="Total 5 2 10 3 2" xfId="37066"/>
    <cellStyle name="Total 5 2 10 4" xfId="33828"/>
    <cellStyle name="Total 5 2 11" xfId="13747"/>
    <cellStyle name="Total 5 2 11 2" xfId="13748"/>
    <cellStyle name="Total 5 2 11 2 2" xfId="23834"/>
    <cellStyle name="Total 5 2 11 2 2 2" xfId="43902"/>
    <cellStyle name="Total 5 2 11 2 3" xfId="33831"/>
    <cellStyle name="Total 5 2 11 3" xfId="17143"/>
    <cellStyle name="Total 5 2 11 3 2" xfId="37211"/>
    <cellStyle name="Total 5 2 11 4" xfId="33830"/>
    <cellStyle name="Total 5 2 12" xfId="13749"/>
    <cellStyle name="Total 5 2 12 2" xfId="13750"/>
    <cellStyle name="Total 5 2 12 2 2" xfId="23835"/>
    <cellStyle name="Total 5 2 12 2 2 2" xfId="43903"/>
    <cellStyle name="Total 5 2 12 2 3" xfId="33833"/>
    <cellStyle name="Total 5 2 12 3" xfId="17315"/>
    <cellStyle name="Total 5 2 12 3 2" xfId="37383"/>
    <cellStyle name="Total 5 2 12 4" xfId="33832"/>
    <cellStyle name="Total 5 2 13" xfId="13751"/>
    <cellStyle name="Total 5 2 13 2" xfId="13752"/>
    <cellStyle name="Total 5 2 13 2 2" xfId="23836"/>
    <cellStyle name="Total 5 2 13 2 2 2" xfId="43904"/>
    <cellStyle name="Total 5 2 13 2 3" xfId="33835"/>
    <cellStyle name="Total 5 2 13 3" xfId="17479"/>
    <cellStyle name="Total 5 2 13 3 2" xfId="37547"/>
    <cellStyle name="Total 5 2 13 4" xfId="33834"/>
    <cellStyle name="Total 5 2 14" xfId="13753"/>
    <cellStyle name="Total 5 2 14 2" xfId="13754"/>
    <cellStyle name="Total 5 2 14 2 2" xfId="23837"/>
    <cellStyle name="Total 5 2 14 2 2 2" xfId="43905"/>
    <cellStyle name="Total 5 2 14 2 3" xfId="33837"/>
    <cellStyle name="Total 5 2 14 3" xfId="17605"/>
    <cellStyle name="Total 5 2 14 3 2" xfId="37673"/>
    <cellStyle name="Total 5 2 14 4" xfId="33836"/>
    <cellStyle name="Total 5 2 15" xfId="13755"/>
    <cellStyle name="Total 5 2 15 2" xfId="13756"/>
    <cellStyle name="Total 5 2 15 2 2" xfId="23838"/>
    <cellStyle name="Total 5 2 15 2 2 2" xfId="43906"/>
    <cellStyle name="Total 5 2 15 2 3" xfId="33839"/>
    <cellStyle name="Total 5 2 15 3" xfId="16238"/>
    <cellStyle name="Total 5 2 15 3 2" xfId="36306"/>
    <cellStyle name="Total 5 2 15 4" xfId="33838"/>
    <cellStyle name="Total 5 2 16" xfId="13757"/>
    <cellStyle name="Total 5 2 16 2" xfId="13758"/>
    <cellStyle name="Total 5 2 16 2 2" xfId="23839"/>
    <cellStyle name="Total 5 2 16 2 2 2" xfId="43907"/>
    <cellStyle name="Total 5 2 16 2 3" xfId="33841"/>
    <cellStyle name="Total 5 2 16 3" xfId="17855"/>
    <cellStyle name="Total 5 2 16 3 2" xfId="37923"/>
    <cellStyle name="Total 5 2 16 4" xfId="33840"/>
    <cellStyle name="Total 5 2 17" xfId="13759"/>
    <cellStyle name="Total 5 2 17 2" xfId="13760"/>
    <cellStyle name="Total 5 2 17 2 2" xfId="23840"/>
    <cellStyle name="Total 5 2 17 2 2 2" xfId="43908"/>
    <cellStyle name="Total 5 2 17 2 3" xfId="33843"/>
    <cellStyle name="Total 5 2 17 3" xfId="17993"/>
    <cellStyle name="Total 5 2 17 3 2" xfId="38061"/>
    <cellStyle name="Total 5 2 17 4" xfId="33842"/>
    <cellStyle name="Total 5 2 18" xfId="13761"/>
    <cellStyle name="Total 5 2 18 2" xfId="13762"/>
    <cellStyle name="Total 5 2 18 2 2" xfId="23841"/>
    <cellStyle name="Total 5 2 18 2 2 2" xfId="43909"/>
    <cellStyle name="Total 5 2 18 2 3" xfId="33845"/>
    <cellStyle name="Total 5 2 18 3" xfId="18132"/>
    <cellStyle name="Total 5 2 18 3 2" xfId="38200"/>
    <cellStyle name="Total 5 2 18 4" xfId="33844"/>
    <cellStyle name="Total 5 2 19" xfId="13763"/>
    <cellStyle name="Total 5 2 19 2" xfId="13764"/>
    <cellStyle name="Total 5 2 19 2 2" xfId="23842"/>
    <cellStyle name="Total 5 2 19 2 2 2" xfId="43910"/>
    <cellStyle name="Total 5 2 19 2 3" xfId="33847"/>
    <cellStyle name="Total 5 2 19 3" xfId="18250"/>
    <cellStyle name="Total 5 2 19 3 2" xfId="38318"/>
    <cellStyle name="Total 5 2 19 4" xfId="33846"/>
    <cellStyle name="Total 5 2 2" xfId="13765"/>
    <cellStyle name="Total 5 2 2 2" xfId="13766"/>
    <cellStyle name="Total 5 2 2 2 2" xfId="23843"/>
    <cellStyle name="Total 5 2 2 2 2 2" xfId="43911"/>
    <cellStyle name="Total 5 2 2 2 3" xfId="33849"/>
    <cellStyle name="Total 5 2 2 3" xfId="14718"/>
    <cellStyle name="Total 5 2 2 3 2" xfId="34786"/>
    <cellStyle name="Total 5 2 2 4" xfId="33848"/>
    <cellStyle name="Total 5 2 20" xfId="13767"/>
    <cellStyle name="Total 5 2 20 2" xfId="13768"/>
    <cellStyle name="Total 5 2 20 2 2" xfId="23844"/>
    <cellStyle name="Total 5 2 20 2 2 2" xfId="43912"/>
    <cellStyle name="Total 5 2 20 2 3" xfId="33851"/>
    <cellStyle name="Total 5 2 20 3" xfId="18325"/>
    <cellStyle name="Total 5 2 20 3 2" xfId="38393"/>
    <cellStyle name="Total 5 2 20 4" xfId="33850"/>
    <cellStyle name="Total 5 2 21" xfId="13769"/>
    <cellStyle name="Total 5 2 21 2" xfId="13770"/>
    <cellStyle name="Total 5 2 21 2 2" xfId="23845"/>
    <cellStyle name="Total 5 2 21 2 2 2" xfId="43913"/>
    <cellStyle name="Total 5 2 21 2 3" xfId="33853"/>
    <cellStyle name="Total 5 2 21 3" xfId="18455"/>
    <cellStyle name="Total 5 2 21 3 2" xfId="38523"/>
    <cellStyle name="Total 5 2 21 4" xfId="33852"/>
    <cellStyle name="Total 5 2 22" xfId="13771"/>
    <cellStyle name="Total 5 2 22 2" xfId="13772"/>
    <cellStyle name="Total 5 2 22 2 2" xfId="23846"/>
    <cellStyle name="Total 5 2 22 2 2 2" xfId="43914"/>
    <cellStyle name="Total 5 2 22 2 3" xfId="33855"/>
    <cellStyle name="Total 5 2 22 3" xfId="18588"/>
    <cellStyle name="Total 5 2 22 3 2" xfId="38656"/>
    <cellStyle name="Total 5 2 22 4" xfId="33854"/>
    <cellStyle name="Total 5 2 23" xfId="13773"/>
    <cellStyle name="Total 5 2 23 2" xfId="13774"/>
    <cellStyle name="Total 5 2 23 2 2" xfId="23847"/>
    <cellStyle name="Total 5 2 23 2 2 2" xfId="43915"/>
    <cellStyle name="Total 5 2 23 2 3" xfId="33857"/>
    <cellStyle name="Total 5 2 23 3" xfId="18699"/>
    <cellStyle name="Total 5 2 23 3 2" xfId="38767"/>
    <cellStyle name="Total 5 2 23 4" xfId="33856"/>
    <cellStyle name="Total 5 2 24" xfId="13775"/>
    <cellStyle name="Total 5 2 24 2" xfId="13776"/>
    <cellStyle name="Total 5 2 24 2 2" xfId="23848"/>
    <cellStyle name="Total 5 2 24 2 2 2" xfId="43916"/>
    <cellStyle name="Total 5 2 24 2 3" xfId="33859"/>
    <cellStyle name="Total 5 2 24 3" xfId="18799"/>
    <cellStyle name="Total 5 2 24 3 2" xfId="38867"/>
    <cellStyle name="Total 5 2 24 4" xfId="33858"/>
    <cellStyle name="Total 5 2 25" xfId="13777"/>
    <cellStyle name="Total 5 2 25 2" xfId="13778"/>
    <cellStyle name="Total 5 2 25 2 2" xfId="23849"/>
    <cellStyle name="Total 5 2 25 2 2 2" xfId="43917"/>
    <cellStyle name="Total 5 2 25 2 3" xfId="33861"/>
    <cellStyle name="Total 5 2 25 3" xfId="18899"/>
    <cellStyle name="Total 5 2 25 3 2" xfId="38967"/>
    <cellStyle name="Total 5 2 25 4" xfId="33860"/>
    <cellStyle name="Total 5 2 26" xfId="13779"/>
    <cellStyle name="Total 5 2 26 2" xfId="23832"/>
    <cellStyle name="Total 5 2 26 2 2" xfId="43900"/>
    <cellStyle name="Total 5 2 26 3" xfId="33862"/>
    <cellStyle name="Total 5 2 27" xfId="14340"/>
    <cellStyle name="Total 5 2 27 2" xfId="34408"/>
    <cellStyle name="Total 5 2 28" xfId="33827"/>
    <cellStyle name="Total 5 2 3" xfId="13780"/>
    <cellStyle name="Total 5 2 3 2" xfId="13781"/>
    <cellStyle name="Total 5 2 3 2 2" xfId="23850"/>
    <cellStyle name="Total 5 2 3 2 2 2" xfId="43918"/>
    <cellStyle name="Total 5 2 3 2 3" xfId="33864"/>
    <cellStyle name="Total 5 2 3 3" xfId="14842"/>
    <cellStyle name="Total 5 2 3 3 2" xfId="34910"/>
    <cellStyle name="Total 5 2 3 4" xfId="33863"/>
    <cellStyle name="Total 5 2 4" xfId="13782"/>
    <cellStyle name="Total 5 2 4 2" xfId="13783"/>
    <cellStyle name="Total 5 2 4 2 2" xfId="23851"/>
    <cellStyle name="Total 5 2 4 2 2 2" xfId="43919"/>
    <cellStyle name="Total 5 2 4 2 3" xfId="33866"/>
    <cellStyle name="Total 5 2 4 3" xfId="14967"/>
    <cellStyle name="Total 5 2 4 3 2" xfId="35035"/>
    <cellStyle name="Total 5 2 4 4" xfId="33865"/>
    <cellStyle name="Total 5 2 5" xfId="13784"/>
    <cellStyle name="Total 5 2 5 2" xfId="13785"/>
    <cellStyle name="Total 5 2 5 2 2" xfId="23852"/>
    <cellStyle name="Total 5 2 5 2 2 2" xfId="43920"/>
    <cellStyle name="Total 5 2 5 2 3" xfId="33868"/>
    <cellStyle name="Total 5 2 5 3" xfId="15136"/>
    <cellStyle name="Total 5 2 5 3 2" xfId="35204"/>
    <cellStyle name="Total 5 2 5 4" xfId="33867"/>
    <cellStyle name="Total 5 2 6" xfId="13786"/>
    <cellStyle name="Total 5 2 6 2" xfId="13787"/>
    <cellStyle name="Total 5 2 6 2 2" xfId="23853"/>
    <cellStyle name="Total 5 2 6 2 2 2" xfId="43921"/>
    <cellStyle name="Total 5 2 6 2 3" xfId="33870"/>
    <cellStyle name="Total 5 2 6 3" xfId="14624"/>
    <cellStyle name="Total 5 2 6 3 2" xfId="34692"/>
    <cellStyle name="Total 5 2 6 4" xfId="33869"/>
    <cellStyle name="Total 5 2 7" xfId="13788"/>
    <cellStyle name="Total 5 2 7 2" xfId="13789"/>
    <cellStyle name="Total 5 2 7 2 2" xfId="23854"/>
    <cellStyle name="Total 5 2 7 2 2 2" xfId="43922"/>
    <cellStyle name="Total 5 2 7 2 3" xfId="33872"/>
    <cellStyle name="Total 5 2 7 3" xfId="15268"/>
    <cellStyle name="Total 5 2 7 3 2" xfId="35336"/>
    <cellStyle name="Total 5 2 7 4" xfId="33871"/>
    <cellStyle name="Total 5 2 8" xfId="13790"/>
    <cellStyle name="Total 5 2 8 2" xfId="13791"/>
    <cellStyle name="Total 5 2 8 2 2" xfId="23855"/>
    <cellStyle name="Total 5 2 8 2 2 2" xfId="43923"/>
    <cellStyle name="Total 5 2 8 2 3" xfId="33874"/>
    <cellStyle name="Total 5 2 8 3" xfId="16633"/>
    <cellStyle name="Total 5 2 8 3 2" xfId="36701"/>
    <cellStyle name="Total 5 2 8 4" xfId="33873"/>
    <cellStyle name="Total 5 2 9" xfId="13792"/>
    <cellStyle name="Total 5 2 9 2" xfId="13793"/>
    <cellStyle name="Total 5 2 9 2 2" xfId="23856"/>
    <cellStyle name="Total 5 2 9 2 2 2" xfId="43924"/>
    <cellStyle name="Total 5 2 9 2 3" xfId="33876"/>
    <cellStyle name="Total 5 2 9 3" xfId="16837"/>
    <cellStyle name="Total 5 2 9 3 2" xfId="36905"/>
    <cellStyle name="Total 5 2 9 4" xfId="33875"/>
    <cellStyle name="Total 5 20" xfId="13794"/>
    <cellStyle name="Total 5 20 2" xfId="13795"/>
    <cellStyle name="Total 5 20 2 2" xfId="23857"/>
    <cellStyle name="Total 5 20 2 2 2" xfId="43925"/>
    <cellStyle name="Total 5 20 2 3" xfId="33878"/>
    <cellStyle name="Total 5 20 3" xfId="18031"/>
    <cellStyle name="Total 5 20 3 2" xfId="38099"/>
    <cellStyle name="Total 5 20 4" xfId="33877"/>
    <cellStyle name="Total 5 21" xfId="13796"/>
    <cellStyle name="Total 5 21 2" xfId="13797"/>
    <cellStyle name="Total 5 21 2 2" xfId="23858"/>
    <cellStyle name="Total 5 21 2 2 2" xfId="43926"/>
    <cellStyle name="Total 5 21 2 3" xfId="33880"/>
    <cellStyle name="Total 5 21 3" xfId="18154"/>
    <cellStyle name="Total 5 21 3 2" xfId="38222"/>
    <cellStyle name="Total 5 21 4" xfId="33879"/>
    <cellStyle name="Total 5 22" xfId="13798"/>
    <cellStyle name="Total 5 22 2" xfId="13799"/>
    <cellStyle name="Total 5 22 2 2" xfId="23859"/>
    <cellStyle name="Total 5 22 2 2 2" xfId="43927"/>
    <cellStyle name="Total 5 22 2 3" xfId="33882"/>
    <cellStyle name="Total 5 22 3" xfId="17371"/>
    <cellStyle name="Total 5 22 3 2" xfId="37439"/>
    <cellStyle name="Total 5 22 4" xfId="33881"/>
    <cellStyle name="Total 5 23" xfId="13800"/>
    <cellStyle name="Total 5 23 2" xfId="13801"/>
    <cellStyle name="Total 5 23 2 2" xfId="23860"/>
    <cellStyle name="Total 5 23 2 2 2" xfId="43928"/>
    <cellStyle name="Total 5 23 2 3" xfId="33884"/>
    <cellStyle name="Total 5 23 3" xfId="18349"/>
    <cellStyle name="Total 5 23 3 2" xfId="38417"/>
    <cellStyle name="Total 5 23 4" xfId="33883"/>
    <cellStyle name="Total 5 24" xfId="13802"/>
    <cellStyle name="Total 5 24 2" xfId="13803"/>
    <cellStyle name="Total 5 24 2 2" xfId="23861"/>
    <cellStyle name="Total 5 24 2 2 2" xfId="43929"/>
    <cellStyle name="Total 5 24 2 3" xfId="33886"/>
    <cellStyle name="Total 5 24 3" xfId="18494"/>
    <cellStyle name="Total 5 24 3 2" xfId="38562"/>
    <cellStyle name="Total 5 24 4" xfId="33885"/>
    <cellStyle name="Total 5 25" xfId="13804"/>
    <cellStyle name="Total 5 25 2" xfId="13805"/>
    <cellStyle name="Total 5 25 2 2" xfId="23862"/>
    <cellStyle name="Total 5 25 2 2 2" xfId="43930"/>
    <cellStyle name="Total 5 25 2 3" xfId="33888"/>
    <cellStyle name="Total 5 25 3" xfId="18607"/>
    <cellStyle name="Total 5 25 3 2" xfId="38675"/>
    <cellStyle name="Total 5 25 4" xfId="33887"/>
    <cellStyle name="Total 5 26" xfId="13806"/>
    <cellStyle name="Total 5 26 2" xfId="13807"/>
    <cellStyle name="Total 5 26 2 2" xfId="23863"/>
    <cellStyle name="Total 5 26 2 2 2" xfId="43931"/>
    <cellStyle name="Total 5 26 2 3" xfId="33890"/>
    <cellStyle name="Total 5 26 3" xfId="18707"/>
    <cellStyle name="Total 5 26 3 2" xfId="38775"/>
    <cellStyle name="Total 5 26 4" xfId="33889"/>
    <cellStyle name="Total 5 27" xfId="13808"/>
    <cellStyle name="Total 5 27 2" xfId="13809"/>
    <cellStyle name="Total 5 27 2 2" xfId="23864"/>
    <cellStyle name="Total 5 27 2 2 2" xfId="43932"/>
    <cellStyle name="Total 5 27 2 3" xfId="33892"/>
    <cellStyle name="Total 5 27 3" xfId="18807"/>
    <cellStyle name="Total 5 27 3 2" xfId="38875"/>
    <cellStyle name="Total 5 27 4" xfId="33891"/>
    <cellStyle name="Total 5 28" xfId="13810"/>
    <cellStyle name="Total 5 28 2" xfId="23821"/>
    <cellStyle name="Total 5 28 2 2" xfId="43889"/>
    <cellStyle name="Total 5 28 3" xfId="33893"/>
    <cellStyle name="Total 5 29" xfId="13953"/>
    <cellStyle name="Total 5 29 2" xfId="34021"/>
    <cellStyle name="Total 5 3" xfId="13811"/>
    <cellStyle name="Total 5 3 2" xfId="13812"/>
    <cellStyle name="Total 5 3 2 2" xfId="23865"/>
    <cellStyle name="Total 5 3 2 2 2" xfId="43933"/>
    <cellStyle name="Total 5 3 2 3" xfId="33895"/>
    <cellStyle name="Total 5 3 3" xfId="14621"/>
    <cellStyle name="Total 5 3 3 2" xfId="34689"/>
    <cellStyle name="Total 5 3 4" xfId="33894"/>
    <cellStyle name="Total 5 30" xfId="33806"/>
    <cellStyle name="Total 5 4" xfId="13813"/>
    <cellStyle name="Total 5 4 2" xfId="13814"/>
    <cellStyle name="Total 5 4 2 2" xfId="23866"/>
    <cellStyle name="Total 5 4 2 2 2" xfId="43934"/>
    <cellStyle name="Total 5 4 2 3" xfId="33897"/>
    <cellStyle name="Total 5 4 3" xfId="14743"/>
    <cellStyle name="Total 5 4 3 2" xfId="34811"/>
    <cellStyle name="Total 5 4 4" xfId="33896"/>
    <cellStyle name="Total 5 5" xfId="13815"/>
    <cellStyle name="Total 5 5 2" xfId="13816"/>
    <cellStyle name="Total 5 5 2 2" xfId="23867"/>
    <cellStyle name="Total 5 5 2 2 2" xfId="43935"/>
    <cellStyle name="Total 5 5 2 3" xfId="33899"/>
    <cellStyle name="Total 5 5 3" xfId="14855"/>
    <cellStyle name="Total 5 5 3 2" xfId="34923"/>
    <cellStyle name="Total 5 5 4" xfId="33898"/>
    <cellStyle name="Total 5 6" xfId="13817"/>
    <cellStyle name="Total 5 6 2" xfId="13818"/>
    <cellStyle name="Total 5 6 2 2" xfId="23868"/>
    <cellStyle name="Total 5 6 2 2 2" xfId="43936"/>
    <cellStyle name="Total 5 6 2 3" xfId="33901"/>
    <cellStyle name="Total 5 6 3" xfId="15032"/>
    <cellStyle name="Total 5 6 3 2" xfId="35100"/>
    <cellStyle name="Total 5 6 4" xfId="33900"/>
    <cellStyle name="Total 5 7" xfId="13819"/>
    <cellStyle name="Total 5 7 2" xfId="13820"/>
    <cellStyle name="Total 5 7 2 2" xfId="23869"/>
    <cellStyle name="Total 5 7 2 2 2" xfId="43937"/>
    <cellStyle name="Total 5 7 2 3" xfId="33903"/>
    <cellStyle name="Total 5 7 3" xfId="14562"/>
    <cellStyle name="Total 5 7 3 2" xfId="34630"/>
    <cellStyle name="Total 5 7 4" xfId="33902"/>
    <cellStyle name="Total 5 8" xfId="13821"/>
    <cellStyle name="Total 5 8 2" xfId="13822"/>
    <cellStyle name="Total 5 8 2 2" xfId="23870"/>
    <cellStyle name="Total 5 8 2 2 2" xfId="43938"/>
    <cellStyle name="Total 5 8 2 3" xfId="33905"/>
    <cellStyle name="Total 5 8 3" xfId="15176"/>
    <cellStyle name="Total 5 8 3 2" xfId="35244"/>
    <cellStyle name="Total 5 8 4" xfId="33904"/>
    <cellStyle name="Total 5 9" xfId="13823"/>
    <cellStyle name="Total 5 9 2" xfId="13824"/>
    <cellStyle name="Total 5 9 2 2" xfId="23871"/>
    <cellStyle name="Total 5 9 2 2 2" xfId="43939"/>
    <cellStyle name="Total 5 9 2 3" xfId="33907"/>
    <cellStyle name="Total 5 9 3" xfId="15359"/>
    <cellStyle name="Total 5 9 3 2" xfId="35427"/>
    <cellStyle name="Total 5 9 4" xfId="33906"/>
    <cellStyle name="Total 6" xfId="13825"/>
    <cellStyle name="Total 6 2" xfId="13826"/>
    <cellStyle name="Total 6 2 2" xfId="13827"/>
    <cellStyle name="Total 6 2 2 2" xfId="23873"/>
    <cellStyle name="Total 6 2 2 2 2" xfId="43941"/>
    <cellStyle name="Total 6 2 2 3" xfId="33910"/>
    <cellStyle name="Total 6 2 3" xfId="15372"/>
    <cellStyle name="Total 6 2 3 2" xfId="35440"/>
    <cellStyle name="Total 6 2 4" xfId="33909"/>
    <cellStyle name="Total 6 3" xfId="13828"/>
    <cellStyle name="Total 6 3 2" xfId="23872"/>
    <cellStyle name="Total 6 3 2 2" xfId="43940"/>
    <cellStyle name="Total 6 3 3" xfId="33911"/>
    <cellStyle name="Total 6 4" xfId="13966"/>
    <cellStyle name="Total 6 4 2" xfId="34034"/>
    <cellStyle name="Total 6 5" xfId="33908"/>
    <cellStyle name="Total 7" xfId="13829"/>
    <cellStyle name="Total 7 2" xfId="13830"/>
    <cellStyle name="Total 7 2 2" xfId="13831"/>
    <cellStyle name="Total 7 2 2 2" xfId="23875"/>
    <cellStyle name="Total 7 2 2 2 2" xfId="43943"/>
    <cellStyle name="Total 7 2 2 3" xfId="33914"/>
    <cellStyle name="Total 7 2 3" xfId="15373"/>
    <cellStyle name="Total 7 2 3 2" xfId="35441"/>
    <cellStyle name="Total 7 2 4" xfId="33913"/>
    <cellStyle name="Total 7 3" xfId="13832"/>
    <cellStyle name="Total 7 3 2" xfId="23874"/>
    <cellStyle name="Total 7 3 2 2" xfId="43942"/>
    <cellStyle name="Total 7 3 3" xfId="33915"/>
    <cellStyle name="Total 7 4" xfId="13967"/>
    <cellStyle name="Total 7 4 2" xfId="34035"/>
    <cellStyle name="Total 7 5" xfId="33912"/>
    <cellStyle name="Vérification" xfId="13833"/>
    <cellStyle name="Vérification 2" xfId="23900"/>
    <cellStyle name="Vision" xfId="13834"/>
    <cellStyle name="Vision$" xfId="13835"/>
    <cellStyle name="Vision_ER" xfId="13836"/>
    <cellStyle name="Warning Text" xfId="17" builtinId="11" customBuiltin="1"/>
    <cellStyle name="Warning Text 2" xfId="13837"/>
    <cellStyle name="Warning Text 2 2" xfId="13838"/>
    <cellStyle name="Warning Text 2 3" xfId="13839"/>
    <cellStyle name="Warning Text 2 4" xfId="13840"/>
    <cellStyle name="Warning Text 2 5" xfId="13841"/>
    <cellStyle name="Warning Text 3" xfId="13842"/>
    <cellStyle name="Warning Text 3 2" xfId="13843"/>
    <cellStyle name="Warning Text 3 3" xfId="13844"/>
    <cellStyle name="Warning Text 4" xfId="13845"/>
    <cellStyle name="Warning Text 4 2" xfId="13846"/>
    <cellStyle name="Warning Text 5" xfId="13847"/>
  </cellStyles>
  <dxfs count="165">
    <dxf>
      <alignment horizontal="general" vertical="bottom" textRotation="0" wrapText="1" relative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right" vertical="bottom" textRotation="0" wrapText="0" relative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relative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border outline="0">
        <left style="medium">
          <color indexed="64"/>
        </left>
        <top style="medium">
          <color auto="1"/>
        </top>
        <bottom style="medium">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left style="thin">
          <color auto="1"/>
        </left>
        <right style="medium">
          <color auto="1"/>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1" relativeIndent="0" justifyLastLine="0" shrinkToFit="0" readingOrder="0"/>
      <border diagonalUp="0" diagonalDown="0">
        <left style="medium">
          <color indexed="64"/>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indexed="64"/>
        </left>
        <right style="thin">
          <color indexed="64"/>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border outline="0">
        <left style="medium">
          <color indexed="64"/>
        </left>
        <top style="medium">
          <color auto="1"/>
        </top>
        <bottom style="medium">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left style="thin">
          <color auto="1"/>
        </left>
        <right style="medium">
          <color auto="1"/>
        </right>
        <top/>
        <bottom/>
        <vertical/>
        <horizontal/>
      </border>
    </dxf>
    <dxf>
      <border outline="0">
        <left style="medium">
          <color indexed="64"/>
        </left>
        <top style="medium">
          <color indexed="64"/>
        </top>
        <bottom style="medium">
          <color indexed="64"/>
        </bottom>
      </border>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left style="medium">
          <color indexed="64"/>
        </left>
        <top style="medium">
          <color auto="1"/>
        </top>
        <bottom style="medium">
          <color indexed="64"/>
        </bottom>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alignment horizontal="general" vertical="bottom" textRotation="0" wrapText="1" relativeIndent="0" justifyLastLine="0" shrinkToFit="0" readingOrder="0"/>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6" tint="0.39997558519241921"/>
        </patternFill>
      </fill>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0" tint="-0.34998626667073579"/>
        </patternFill>
      </fill>
      <alignment horizontal="general" vertical="bottom" textRotation="0" wrapText="1"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0" tint="-0.34998626667073579"/>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outline="0">
        <left style="medium">
          <color auto="1"/>
        </left>
        <right/>
        <top/>
        <bottom/>
      </border>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alignment horizontal="center"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center" textRotation="0" wrapText="1" relativeIndent="0" justifyLastLine="0" shrinkToFit="0" readingOrder="0"/>
      <border diagonalUp="0" diagonalDown="0">
        <left style="medium">
          <color indexed="64"/>
        </left>
        <right/>
        <top/>
        <bottom/>
      </border>
    </dxf>
    <dxf>
      <border outline="0">
        <left style="medium">
          <color auto="1"/>
        </left>
        <top style="thin">
          <color auto="1"/>
        </top>
        <bottom style="thin">
          <color theme="0"/>
        </bottom>
      </border>
    </dxf>
    <dxf>
      <border outline="0">
        <bottom style="medium">
          <color indexed="64"/>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left" vertical="top"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thin">
          <color indexed="64"/>
        </left>
        <right style="medium">
          <color indexed="64"/>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19" formatCode="dd/mm/yyyy"/>
      <fill>
        <patternFill patternType="solid">
          <fgColor indexed="64"/>
          <bgColor theme="6" tint="0.3999755851924192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left"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border diagonalUp="0" diagonalDown="0">
        <left style="medium">
          <color auto="1"/>
        </left>
        <right/>
        <top/>
        <bottom/>
      </border>
    </dxf>
    <dxf>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outline="0">
        <left/>
        <right style="medium">
          <color auto="1"/>
        </right>
        <top/>
        <bottom/>
      </border>
    </dxf>
    <dxf>
      <numFmt numFmtId="19" formatCode="dd/mm/yyyy"/>
      <fill>
        <patternFill patternType="solid">
          <fgColor indexed="64"/>
          <bgColor theme="6" tint="0.39997558519241921"/>
        </patternFill>
      </fill>
    </dxf>
    <dxf>
      <numFmt numFmtId="0" formatCode="General"/>
      <fill>
        <patternFill patternType="solid">
          <fgColor indexed="64"/>
          <bgColor theme="6" tint="0.39997558519241921"/>
        </patternFill>
      </fill>
    </dxf>
    <dxf>
      <fill>
        <patternFill patternType="none">
          <fgColor indexed="64"/>
          <bgColor indexed="65"/>
        </patternFill>
      </fill>
      <alignment horizontal="general" vertical="bottom" textRotation="0" wrapText="1" relativeIndent="0" justifyLastLine="0" shrinkToFit="0" readingOrder="0"/>
      <border diagonalUp="0" diagonalDown="0">
        <left style="medium">
          <color auto="1"/>
        </left>
        <right/>
        <top/>
        <bottom/>
      </border>
    </dxf>
    <dxf>
      <border outline="0">
        <left style="medium">
          <color indexed="64"/>
        </left>
        <right style="medium">
          <color auto="1"/>
        </right>
        <top style="thin">
          <color auto="1"/>
        </top>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alignment horizontal="center"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bottom" textRotation="0" wrapText="1" relativeIndent="0" justifyLastLine="0" shrinkToFit="0" readingOrder="0"/>
    </dxf>
    <dxf>
      <border outline="0">
        <left style="medium">
          <color auto="1"/>
        </left>
        <right style="medium">
          <color auto="1"/>
        </right>
        <top style="thin">
          <color auto="1"/>
        </top>
        <bottom style="thin">
          <color theme="0"/>
        </bottom>
      </border>
    </dxf>
    <dxf>
      <numFmt numFmtId="30" formatCode="@"/>
      <alignment vertical="top" textRotation="0" wrapText="1" indent="0" justifyLastLine="0" shrinkToFit="0" readingOrder="0"/>
      <border diagonalUp="0" diagonalDown="0" outline="0">
        <left/>
        <right/>
        <top/>
        <bottom/>
      </border>
    </dxf>
    <dxf>
      <numFmt numFmtId="173" formatCode="yyyy\-mm\-dd\Z"/>
      <fill>
        <patternFill patternType="solid">
          <fgColor indexed="64"/>
          <bgColor theme="0" tint="-0.249977111117893"/>
        </patternFill>
      </fill>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right" vertical="bottom"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6" tint="0.39997558519241921"/>
        </patternFill>
      </fill>
      <alignment horizontal="right" vertical="bottom"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right" vertical="bottom"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general" vertical="top" textRotation="0" wrapText="1" indent="0" justifyLastLine="0" shrinkToFit="0" readingOrder="0"/>
      <border diagonalUp="0" diagonalDown="0" outline="0">
        <left style="medium">
          <color auto="1"/>
        </left>
        <right style="medium">
          <color auto="1"/>
        </right>
        <top/>
        <bottom/>
      </border>
    </dxf>
    <dxf>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thin">
          <color indexed="64"/>
        </left>
        <right/>
        <top/>
        <bottom/>
      </border>
    </dxf>
    <dxf>
      <numFmt numFmtId="0" formatCode="General"/>
      <fill>
        <patternFill patternType="solid">
          <fgColor indexed="64"/>
          <bgColor theme="6" tint="0.39997558519241921"/>
        </patternFill>
      </fill>
      <border diagonalUp="0" diagonalDown="0">
        <left style="thin">
          <color indexed="64"/>
        </left>
        <right/>
        <top/>
        <bottom/>
      </border>
    </dxf>
    <dxf>
      <numFmt numFmtId="0" formatCode="General"/>
      <fill>
        <patternFill patternType="solid">
          <fgColor indexed="64"/>
          <bgColor theme="6" tint="0.39997558519241921"/>
        </patternFill>
      </fill>
      <alignment horizontal="general" vertical="bottom" textRotation="0" wrapText="1" indent="0" justifyLastLine="0" shrinkToFit="0" readingOrder="0"/>
      <border diagonalUp="0" diagonalDown="0">
        <left style="thin">
          <color indexed="64"/>
        </left>
        <right/>
        <top/>
        <bottom/>
      </border>
    </dxf>
    <dxf>
      <numFmt numFmtId="0" formatCode="General"/>
      <fill>
        <patternFill patternType="solid">
          <fgColor indexed="64"/>
          <bgColor theme="6" tint="0.39997558519241921"/>
        </patternFill>
      </fill>
      <border diagonalUp="0" diagonalDown="0">
        <left style="dashDot">
          <color indexed="64"/>
        </left>
        <right style="thin">
          <color auto="1"/>
        </right>
        <top/>
        <bottom/>
      </border>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none">
          <fgColor indexed="64"/>
          <bgColor indexed="65"/>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6" tint="0.39997558519241921"/>
        </patternFill>
      </fill>
      <alignment horizontal="general" vertical="bottom" textRotation="0" wrapText="1" indent="0" justifyLastLine="0" shrinkToFit="0" readingOrder="0"/>
      <border diagonalUp="0" diagonalDown="0">
        <left style="medium">
          <color auto="1"/>
        </left>
        <right/>
        <top/>
        <bottom/>
      </border>
    </dxf>
    <dxf>
      <numFmt numFmtId="0" formatCode="General"/>
      <fill>
        <patternFill patternType="solid">
          <fgColor indexed="64"/>
          <bgColor theme="6" tint="0.39997558519241921"/>
        </patternFill>
      </fill>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alignment horizontal="general" vertical="bottom" textRotation="0" wrapText="1" relativeIndent="0" justifyLastLine="0" shrinkToFit="0" readingOrder="0"/>
    </dxf>
    <dxf>
      <numFmt numFmtId="0" formatCode="General"/>
      <fill>
        <patternFill patternType="solid">
          <fgColor indexed="64"/>
          <bgColor theme="6" tint="0.39997558519241921"/>
        </patternFill>
      </fill>
      <alignment horizontal="general" vertical="bottom" textRotation="0" wrapText="1" relativeIndent="0" justifyLastLine="0" shrinkToFit="0" readingOrder="0"/>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outline="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0" tint="-0.34998626667073579"/>
        </patternFill>
      </fill>
    </dxf>
    <dxf>
      <numFmt numFmtId="0" formatCode="General"/>
      <fill>
        <patternFill patternType="solid">
          <fgColor indexed="64"/>
          <bgColor theme="0" tint="-0.34998626667073579"/>
        </patternFill>
      </fill>
      <border diagonalUp="0" diagonalDown="0">
        <left style="medium">
          <color auto="1"/>
        </left>
        <right/>
        <top/>
        <bottom/>
      </border>
    </dxf>
    <dxf>
      <numFmt numFmtId="0" formatCode="General"/>
      <fill>
        <patternFill patternType="solid">
          <fgColor indexed="64"/>
          <bgColor theme="6" tint="0.39997558519241921"/>
        </patternFill>
      </fill>
      <border diagonalUp="0" diagonalDown="0">
        <left/>
        <right style="medium">
          <color indexed="64"/>
        </right>
        <top/>
        <bottom/>
      </border>
    </dxf>
    <dxf>
      <numFmt numFmtId="0" formatCode="General"/>
      <border diagonalUp="0" diagonalDown="0">
        <left style="medium">
          <color auto="1"/>
        </left>
        <right/>
        <top/>
        <bottom/>
      </border>
    </dxf>
    <dxf>
      <numFmt numFmtId="0" formatCode="General"/>
      <border diagonalUp="0" diagonalDown="0">
        <left style="medium">
          <color auto="1"/>
        </left>
        <right/>
        <top/>
        <bottom/>
      </border>
    </dxf>
    <dxf>
      <numFmt numFmtId="0" formatCode="General"/>
      <fill>
        <patternFill patternType="solid">
          <fgColor indexed="64"/>
          <bgColor theme="0" tint="-0.34998626667073579"/>
        </patternFill>
      </fill>
      <alignment horizontal="left" vertical="bottom" textRotation="0" wrapText="1" relativeIndent="0" justifyLastLine="0" shrinkToFit="0" readingOrder="0"/>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dxf>
    <dxf>
      <numFmt numFmtId="0" formatCode="General"/>
      <fill>
        <patternFill patternType="solid">
          <fgColor indexed="64"/>
          <bgColor theme="6" tint="0.39997558519241921"/>
        </patternFill>
      </fill>
    </dxf>
    <dxf>
      <numFmt numFmtId="0" formatCode="General"/>
      <fill>
        <patternFill patternType="solid">
          <fgColor indexed="64"/>
          <bgColor theme="6" tint="0.39997558519241921"/>
        </patternFill>
      </fill>
      <alignment horizontal="left" vertical="top" textRotation="0" wrapText="0" 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general" vertical="bottom" textRotation="0" wrapText="1" relativeIndent="0" justifyLastLine="0" shrinkToFit="0" readingOrder="0"/>
    </dxf>
    <dxf>
      <numFmt numFmtId="19" formatCode="dd/mm/yyyy"/>
      <fill>
        <patternFill patternType="none">
          <fgColor indexed="64"/>
          <bgColor indexed="65"/>
        </patternFill>
      </fill>
      <alignment horizontal="center" vertical="bottom" textRotation="0" wrapText="1" relativeIndent="0" justifyLastLine="0" shrinkToFit="0" readingOrder="0"/>
      <border diagonalUp="0" diagonalDown="0">
        <left style="medium">
          <color auto="1"/>
        </left>
        <right/>
        <top/>
        <bottom/>
      </border>
    </dxf>
    <dxf>
      <border outline="0">
        <right style="medium">
          <color auto="1"/>
        </right>
        <bottom style="medium">
          <color indexed="64"/>
        </bottom>
      </border>
    </dxf>
    <dxf>
      <numFmt numFmtId="30" formatCode="@"/>
      <alignment vertical="top" textRotation="0" wrapText="1" indent="0" justifyLastLine="0" shrinkToFit="0" readingOrder="0"/>
      <border diagonalUp="0" diagonalDown="0" outline="0">
        <left/>
        <right/>
        <top/>
        <bottom/>
      </border>
    </dxf>
    <dxf>
      <numFmt numFmtId="0" formatCode="General"/>
      <fill>
        <patternFill patternType="solid">
          <fgColor indexed="64"/>
          <bgColor theme="0" tint="-0.249977111117893"/>
        </patternFill>
      </fill>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0" tint="-0.249977111117893"/>
        </patternFill>
      </fill>
      <alignment horizontal="right" vertical="bottom" textRotation="0" wrapText="0" relativeIndent="0" justifyLastLine="0" shrinkToFit="0" readingOrder="0"/>
      <border diagonalUp="0" diagonalDown="0" outline="0">
        <left style="medium">
          <color indexed="64"/>
        </left>
        <right/>
        <top/>
        <bottom/>
      </border>
    </dxf>
    <dxf>
      <fill>
        <patternFill>
          <fgColor indexed="64"/>
          <bgColor theme="0" tint="-0.249977111117893"/>
        </patternFill>
      </fill>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general" vertical="top" textRotation="0" wrapText="1" indent="0" justifyLastLine="0" shrinkToFit="0" readingOrder="0"/>
      <border diagonalUp="0" diagonalDown="0" outline="0">
        <left style="medium">
          <color auto="1"/>
        </left>
        <right style="medium">
          <color auto="1"/>
        </right>
        <top/>
        <bottom/>
      </border>
    </dxf>
    <dxf>
      <fill>
        <patternFill patternType="solid">
          <fgColor indexed="64"/>
          <bgColor theme="6" tint="0.39997558519241921"/>
        </patternFill>
      </fill>
    </dxf>
    <dxf>
      <numFmt numFmtId="0" formatCode="General"/>
      <fill>
        <patternFill patternType="solid">
          <fgColor indexed="64"/>
          <bgColor theme="6" tint="0.39997558519241921"/>
        </patternFill>
      </fill>
    </dxf>
    <dxf>
      <fill>
        <patternFill patternType="solid">
          <fgColor indexed="64"/>
          <bgColor theme="6" tint="0.39997558519241921"/>
        </patternFill>
      </fill>
    </dxf>
    <dxf>
      <alignment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XML/1998/namespace' xmlns:ns2='http://www.w3.org/2001/XMLSchema'">
  <Schema ID="Schema13" Namespace="http://www.w3.org/XML/1998/namespace">
    <xsd:schema xmlns:xsd="http://www.w3.org/2001/XMLSchema" xmlns:xml="http://www.w3.org/XML/1998/namespace" xmlns="" targetNamespace="http://www.w3.org/XML/1998/namespace">
      <xsd:attribute name="lang" type="xsd:string"/>
    </xsd:schema>
  </Schema>
  <Schema ID="Schema14" SchemaRef="Schema13">
    <xsd:schema xmlns:xsd="http://www.w3.org/2001/XMLSchema" xmlns:xml="http://www.w3.org/XML/1998/namespace" xmlns="">
      <xsd:import namespace="http://www.w3.org/XML/1998/namespace"/>
      <xsd:element nillable="true" name="iati-activities">
        <xsd:complexType>
          <xsd:sequence minOccurs="0">
            <xsd:element minOccurs="0" maxOccurs="unbounded" nillable="true" name="iati-activity" form="unqualified">
              <xsd:complexType>
                <xsd:all>
                  <xsd:element minOccurs="0" nillable="true" type="xsd:string" name="iati-identifier" form="unqualified"/>
                  <xsd:element minOccurs="0" nillable="true" type="xsd:string" name="title" form="unqualified"/>
                  <xsd:element minOccurs="0" nillable="true" name="description" form="unqualified">
                    <xsd:complexType>
                      <xsd:simpleContent>
                        <xsd:extension base="xsd:string">
                          <xsd:attribute name="type" form="unqualified" type="xsd:string"/>
                        </xsd:extension>
                      </xsd:simpleContent>
                    </xsd:complexType>
                  </xsd:element>
                  <xsd:element minOccurs="0" nillable="true" name="reporting-org" form="unqualified">
                    <xsd:complexType>
                      <xsd:simpleContent>
                        <xsd:extension base="xsd:string">
                          <xsd:attribute name="ref" form="unqualified" type="xsd:string"/>
                          <xsd:attribute name="type" form="unqualified" type="xsd:string"/>
                        </xsd:extension>
                      </xsd:simpleContent>
                    </xsd:complexType>
                  </xsd:element>
                  <xsd:element minOccurs="0" nillable="true" name="activity-status" form="unqualified">
                    <xsd:complexType>
                      <xsd:simpleContent>
                        <xsd:extension base="xsd:string">
                          <xsd:attribute name="code" form="unqualified" type="xsd:string"/>
                        </xsd:extension>
                      </xsd:simpleContent>
                    </xsd:complexType>
                  </xsd:element>
                  <xsd:element minOccurs="0" nillable="true" name="recipient-country" form="unqualified">
                    <xsd:complexType>
                      <xsd:simpleContent>
                        <xsd:extension base="xsd:string">
                          <xsd:attribute name="code" form="unqualified" type="xsd:string"/>
                        </xsd:extension>
                      </xsd:simpleContent>
                    </xsd:complexType>
                  </xsd:element>
                  <xsd:element minOccurs="0" nillable="true" name="sector" form="unqualified">
                    <xsd:complexType>
                      <xsd:simpleContent>
                        <xsd:extension base="xsd:string">
                          <xsd:attribute name="vocabulary" form="unqualified" type="xsd:string"/>
                          <xsd:attribute name="code" form="unqualified" type="xsd:string"/>
                          <xsd:attribute name="percentage" form="unqualified" type="xsd:integer"/>
                        </xsd:extension>
                      </xsd:simpleContent>
                    </xsd:complexType>
                  </xsd:element>
                  <xsd:element minOccurs="0" nillable="true" type="xsd:string" name="activity-website" form="unqualified"/>
                  <xsd:element minOccurs="0" nillable="true" name="default-flow-type" form="unqualified">
                    <xsd:complexType>
                      <xsd:simpleContent>
                        <xsd:extension base="xsd:string">
                          <xsd:attribute name="code" form="unqualified" type="xsd:string"/>
                        </xsd:extension>
                      </xsd:simpleContent>
                    </xsd:complexType>
                  </xsd:element>
                  <xsd:element minOccurs="0" nillable="true" name="default-finance-type" form="unqualified">
                    <xsd:complexType>
                      <xsd:simpleContent>
                        <xsd:extension base="xsd:string">
                          <xsd:attribute name="code" form="unqualified" type="xsd:string"/>
                        </xsd:extension>
                      </xsd:simpleContent>
                    </xsd:complexType>
                  </xsd:element>
                  <xsd:element minOccurs="0" nillable="true" name="default-aid-type" form="unqualified">
                    <xsd:complexType>
                      <xsd:simpleContent>
                        <xsd:extension base="xsd:string">
                          <xsd:attribute name="code" form="unqualified" type="xsd:string"/>
                        </xsd:extension>
                      </xsd:simpleContent>
                    </xsd:complexType>
                  </xsd:element>
                  <xsd:element minOccurs="0" nillable="true" name="default-tied-status" form="unqualified">
                    <xsd:complexType>
                      <xsd:simpleContent>
                        <xsd:extension base="xsd:string">
                          <xsd:attribute name="code" form="unqualified" type="xsd:string"/>
                        </xsd:extension>
                      </xsd:simpleContent>
                    </xsd:complexType>
                  </xsd:element>
                  <xsd:element minOccurs="0" nillable="true" name="contact-info" form="unqualified">
                    <xsd:complexType>
                      <xsd:sequence minOccurs="0">
                        <xsd:element minOccurs="0" nillable="true" type="xsd:string" name="organisation" form="unqualified"/>
                        <xsd:element minOccurs="0" nillable="true" type="xsd:string" name="mailing-address" form="unqualified"/>
                        <xsd:element minOccurs="0" nillable="true" type="xsd:string" name="email" form="unqualified"/>
                        <xsd:element minOccurs="0" nillable="true" type="xsd:string" name="website" form="unqualified"/>
                      </xsd:sequence>
                      <xsd:attribute name="type" form="unqualified" type="xsd:string"/>
                    </xsd:complexType>
                  </xsd:element>
                </xsd:all>
                <xsd:attribute name="hierarchy" form="unqualified" type="xsd:integer"/>
                <xsd:attribute ref="xml:lang"/>
                <xsd:attribute name="default-currency" form="unqualified" type="xsd:string"/>
                <xsd:attribute name="last-updated-datetime" form="unqualified" type="xsd:dateTime"/>
              </xsd:complexType>
            </xsd:element>
          </xsd:sequence>
          <xsd:attribute name="version" form="unqualified" type="xsd:double"/>
          <xsd:attribute name="generated-datetime" form="unqualified" type="xsd:dateTime"/>
        </xsd:complexType>
      </xsd:element>
    </xsd:schema>
  </Schema>
  <Schema ID="Schema8">
    <xsd:schema xmlns:xsd="http://www.w3.org/2001/XMLSchema" xmlns="">
      <xsd:element nillable="true" name="iati-activities">
        <xsd:complexType>
          <xsd:sequence minOccurs="0">
            <xsd:element minOccurs="0" nillable="true" name="iati-activity" form="unqualified">
              <xsd:complexType>
                <xsd:sequence minOccurs="0">
                  <xsd:element minOccurs="0" maxOccurs="unbounded" nillable="true" name="activity-date" form="unqualified">
                    <xsd:complexType>
                      <xsd:simpleContent>
                        <xsd:extension base="xsd:string">
                          <xsd:attribute name="iso-date" form="unqualified" type="xsd:date"/>
                          <xsd:attribute name="type" form="unqualified" type="xsd:string"/>
                        </xsd:extension>
                      </xsd:simpleContent>
                    </xsd:complexType>
                  </xsd:element>
                  <xsd:element minOccurs="0" maxOccurs="unbounded" nillable="true" name="transaction" form="unqualified">
                    <xsd:complexType>
                      <xsd:sequence minOccurs="0">
                        <xsd:element minOccurs="0" nillable="true" name="transaction-type" form="unqualified">
                          <xsd:complexType>
                            <xsd:simpleContent>
                              <xsd:extension base="xsd:string">
                                <xsd:attribute name="code" form="unqualified" type="xsd:string"/>
                              </xsd:extension>
                            </xsd:simpleContent>
                          </xsd:complexType>
                        </xsd:element>
                        <xsd:element minOccurs="0" nillable="true" type="xsd:string" name="description" form="unqualified"/>
                        <xsd:element minOccurs="0" nillable="true" name="transaction-date" form="unqualified">
                          <xsd:complexType>
                            <xsd:simpleContent>
                              <xsd:extension base="xsd:string">
                                <xsd:attribute name="iso-date" form="unqualified" type="xsd:date"/>
                              </xsd:extension>
                            </xsd:simpleContent>
                          </xsd:complexType>
                        </xsd:element>
                        <xsd:element minOccurs="0" nillable="true" name="value" form="unqualified">
                          <xsd:complexType>
                            <xsd:simpleContent>
                              <xsd:extension base="xsd:integer">
                                <xsd:attribute name="currency" form="unqualified" type="xsd:string"/>
                                <xsd:attribute name="value-date" form="unqualified" type="xsd:date"/>
                              </xsd:extension>
                            </xsd:simpleContent>
                          </xsd:complexType>
                        </xsd:element>
                        <xsd:element minOccurs="0" nillable="true" name="flow-type" form="unqualified">
                          <xsd:complexType>
                            <xsd:simpleContent>
                              <xsd:extension base="xsd:string">
                                <xsd:attribute name="code" form="unqualified" type="xsd:string"/>
                              </xsd:extension>
                            </xsd:simpleContent>
                          </xsd:complexType>
                        </xsd:element>
                        <xsd:element minOccurs="0" nillable="true" name="provider-org" form="unqualified">
                          <xsd:complexType>
                            <xsd:simpleContent>
                              <xsd:extension base="xsd:string">
                                <xsd:attribute name="ref" form="unqualified" type="xsd:string"/>
                                <xsd:attribute name="provider-activity-id" form="unqualified" type="xsd:string"/>
                              </xsd:extension>
                            </xsd:simpleContent>
                          </xsd:complexType>
                        </xsd:element>
                        <xsd:element minOccurs="0" nillable="true" name="receiver-org" form="unqualified">
                          <xsd:complexType>
                            <xsd:simpleContent>
                              <xsd:extension base="xsd:string">
                                <xsd:attribute name="ref" form="unqualified" type="xsd:string"/>
                                <xsd:attribute name="receiver-activity-id" form="unqualified" type="xsd:string"/>
                              </xsd:extension>
                            </xsd:simpleContent>
                          </xsd:complexType>
                        </xsd:element>
                      </xsd:sequence>
                      <xsd:attribute name="ref" form="unqualified" type="xsd:string"/>
                    </xsd:complexType>
                  </xsd:element>
                  <xsd:element minOccurs="0" maxOccurs="unbounded" nillable="true" name="participating-org" form="unqualified">
                    <xsd:complexType>
                      <xsd:simpleContent>
                        <xsd:extension base="xsd:string">
                          <xsd:attribute name="role" form="unqualified" type="xsd:string"/>
                          <xsd:attribute name="ref" form="unqualified" type="xsd:string"/>
                          <xsd:attribute name="type" form="unqualified" type="xsd:string"/>
                        </xsd:extension>
                      </xsd:simpleContent>
                    </xsd:complexType>
                  </xsd:element>
                  <xsd:element minOccurs="0" maxOccurs="unbounded" nillable="true" name="related-activity" form="unqualified">
                    <xsd:complexType>
                      <xsd:simpleContent>
                        <xsd:extension base="xsd:string">
                          <xsd:attribute name="type" form="unqualified" type="xsd:string"/>
                          <xsd:attribute name="ref" form="unqualified" type="xsd:string"/>
                        </xsd:extension>
                      </xsd:simpleContent>
                    </xsd:complexType>
                  </xsd:element>
                </xsd:sequence>
              </xsd:complexType>
            </xsd:element>
          </xsd:sequence>
          <xsd:attribute name="version" form="unqualified" type="xsd:double"/>
          <xsd:attribute name="generated-datetime" form="unqualified" type="xsd:dateTime"/>
        </xsd:complexType>
      </xsd:element>
    </xsd:schema>
  </Schema>
  <Schema ID="Schema4" Namespace="http://www.w3.org/XML/1998/namespace">
    <xsd:schema xmlns:xsd="http://www.w3.org/2001/XMLSchema" xmlns:xml="http://www.w3.org/XML/1998/namespace" xmlns="" targetNamespace="http://www.w3.org/XML/1998/namespace">
      <xsd:attribute name="lang" type="xsd:string"/>
    </xsd:schema>
  </Schema>
  <Schema ID="Schema5" SchemaRef="Schema4" Namespace="http://www.w3.org/2001/XMLSchema">
    <xsd:schema xmlns:xsd="http://www.w3.org/2001/XMLSchema" xmlns:xml="http://www.w3.org/XML/1998/namespace" xmlns:ns1="http://www.w3.org/2001/XMLSchema" xmlns="" targetNamespace="http://www.w3.org/2001/XMLSchema">
      <xsd:import namespace="http://www.w3.org/XML/1998/namespace"/>
      <xsd:element nillable="true" name="schema">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element minOccurs="0" nillable="true" name="include" form="qualified">
              <xsd:complexType>
                <xsd:attribute name="schemaLocation" form="unqualified" type="xsd:string"/>
              </xsd:complexType>
            </xsd:element>
            <xsd:element minOccurs="0" nillable="true" name="import" form="qualified">
              <xsd:complexType>
                <xsd:attribute name="namespace" form="unqualified" type="xsd:anyURI"/>
                <xsd:attribute name="schemaLocation" form="unqualified" type="xsd:string"/>
              </xsd:complexType>
            </xsd:element>
            <xsd:element minOccurs="0" maxOccurs="unbounded" nillable="true" name="element"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element minOccurs="0" nillable="true" name="complexType" form="qualified">
                    <xsd:complexType>
                      <xsd:sequence minOccurs="0" maxOccurs="unbounded">
                        <xsd:element minOccurs="0" nillable="true" name="choice" form="qualified">
                          <xsd:complexType>
                            <xsd:sequence minOccurs="0">
                              <xsd:element minOccurs="0" maxOccurs="unbounded" nillable="true" name="element"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sequence>
                                  <xsd:attribute name="ref" form="unqualified" type="xsd:string"/>
                                  <xsd:attribute name="name" form="unqualified" type="xsd:string"/>
                                  <xsd:attribute name="type" form="unqualified" type="xsd:string"/>
                                </xsd:complexType>
                              </xsd:element>
                              <xsd:element minOccurs="0" nillable="true" name="any" form="qualified">
                                <xsd:complexType>
                                  <xsd:attribute name="namespace" form="unqualified" type="xsd:string"/>
                                  <xsd:attribute name="processContents" form="unqualified" type="xsd:string"/>
                                </xsd:complexType>
                              </xsd:element>
                            </xsd:sequence>
                            <xsd:attribute name="minOccurs" form="unqualified" type="xsd:integer"/>
                            <xsd:attribute name="maxOccurs" form="unqualified" type="xsd:string"/>
                          </xsd:complexType>
                        </xsd:element>
                        <xsd:element minOccurs="0" maxOccurs="unbounded" nillable="true" name="attribute"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sequence>
                            <xsd:attribute name="name" form="unqualified" type="xsd:string"/>
                            <xsd:attribute name="type" form="unqualified" type="xsd:string"/>
                            <xsd:attribute name="use" form="unqualified" type="xsd:string"/>
                            <xsd:attribute name="ref" form="unqualified" type="xsd:string"/>
                          </xsd:complexType>
                        </xsd:element>
                        <xsd:element minOccurs="0" nillable="true" name="anyAttribute" form="qualified">
                          <xsd:complexType>
                            <xsd:attribute name="processContents" form="unqualified" type="xsd:string"/>
                            <xsd:attribute name="namespace" form="unqualified" type="xsd:string"/>
                          </xsd:complexType>
                        </xsd:element>
                        <xsd:element minOccurs="0" nillable="true" name="attributeGroup" form="qualified">
                          <xsd:complexType>
                            <xsd:attribute name="ref" form="unqualified" type="xsd:string"/>
                          </xsd:complexType>
                        </xsd:element>
                      </xsd:sequence>
                      <xsd:attribute name="mixed" form="unqualified" type="xsd:boolean"/>
                    </xsd:complexType>
                  </xsd:element>
                </xsd:sequence>
                <xsd:attribute name="name" form="unqualified" type="xsd:string"/>
              </xsd:complexType>
            </xsd:element>
          </xsd:sequence>
          <xsd:attribute name="targetNamespace" form="unqualified" type="xsd:anyURI"/>
          <xsd:attribute name="version" form="unqualified" type="xsd:double"/>
        </xsd:complexType>
      </xsd:element>
    </xsd:schema>
  </Schema>
  <Map ID="16" Name="Main" RootElement="iati-activities" SchemaID="Schema14" ShowImportExportValidationErrors="false" AutoFit="true" Append="false" PreserveSortAFLayout="true" PreserveFormat="true">
    <DataBinding FileBinding="true" ConnectionID="2" DataBindingLoadMode="1"/>
  </Map>
  <Map ID="23" Name="Rest" RootElement="iati-activities" SchemaID="Schema8" ShowImportExportValidationErrors="false" AutoFit="true" Append="false" PreserveSortAFLayout="true" PreserveFormat="true">
    <DataBinding FileBinding="true" ConnectionID="3" DataBindingLoadMode="1"/>
  </Map>
  <Map ID="24" Name="schema_Map" RootElement="schema"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14" name="Data_Org" displayName="Data_Org" ref="C17:F39" totalsRowShown="0" headerRowDxfId="164">
  <autoFilter ref="C17:F39"/>
  <tableColumns count="4">
    <tableColumn id="1" name="Partner" dataDxfId="163"/>
    <tableColumn id="3" name="Type" dataDxfId="162"/>
    <tableColumn id="4" name="Organisation's reference for Partner" dataDxfId="161"/>
    <tableColumn id="2" name="IATI ID" dataDxfId="160"/>
  </tableColumns>
  <tableStyleInfo name="TableStyleMedium9" showFirstColumn="0" showLastColumn="0" showRowStripes="1" showColumnStripes="0"/>
</table>
</file>

<file path=xl/tables/table2.xml><?xml version="1.0" encoding="utf-8"?>
<table xmlns="http://schemas.openxmlformats.org/spreadsheetml/2006/main" id="22" name="Data_Inter_Activity" displayName="Data_Inter_Activity" ref="I17:J18" totalsRowShown="0" headerRowDxfId="159" dataDxfId="158">
  <autoFilter ref="I17:J18"/>
  <tableColumns count="2">
    <tableColumn id="1" name="Activity" dataDxfId="157">
      <calculatedColumnFormula>CONCATENATE(VLOOKUP(info_reporting_org_name,Data_Org[],4,FALSE), "-", VLOOKUP(info_Activity_File, Table_WA_CPs[],2,FALSE))</calculatedColumnFormula>
    </tableColumn>
    <tableColumn id="2" name="Title" dataDxfId="156">
      <calculatedColumnFormula>CONCATENATE("WaterAid ", info_Activity_File)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29" name="Data_Activities" displayName="Data_Activities" ref="C20:D21" totalsRowShown="0" headerRowDxfId="155" dataDxfId="154">
  <autoFilter ref="C20:D21"/>
  <tableColumns count="2">
    <tableColumn id="4" name="@version" dataDxfId="153">
      <calculatedColumnFormula>info_IATI_standard_version</calculatedColumnFormula>
    </tableColumn>
    <tableColumn id="2" name="@generated-datetime" dataDxfId="152">
      <calculatedColumnFormula>info_last_file_update_time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Data_Main" displayName="Data_Main" ref="C20:AK28" tableType="xml" totalsRowShown="0" headerRowDxfId="151" tableBorderDxfId="150" connectionId="2">
  <autoFilter ref="C20:AK28"/>
  <sortState ref="C21:AK28">
    <sortCondition ref="C20:C28"/>
  </sortState>
  <tableColumns count="35">
    <tableColumn id="15" uniqueName="15" name="meta-iati-activity-ref" dataDxfId="149">
      <calculatedColumnFormula>VLOOKUP(Default_Recipient_Country,Table_Country[],2,FALSE)&amp;"999"</calculatedColumnFormula>
    </tableColumn>
    <tableColumn id="17" uniqueName="17" name="meta-first-published" dataDxfId="148"/>
    <tableColumn id="3" uniqueName="hierarchy" name="iati-activity@hierarchy" dataDxfId="147">
      <calculatedColumnFormula>Default_Hierarchy</calculatedColumnFormula>
      <xmlColumnPr mapId="16" xpath="/iati-activities/iati-activity/@hierarchy" xmlDataType="integer"/>
    </tableColumn>
    <tableColumn id="4" uniqueName="ns1:lang" name="iati-activity@xml:lang" dataDxfId="146">
      <calculatedColumnFormula>Default_Default_Language_Code</calculatedColumnFormula>
      <xmlColumnPr mapId="16" xpath="/iati-activities/iati-activity/@ns1:lang" xmlDataType="string"/>
    </tableColumn>
    <tableColumn id="5" uniqueName="default-currency" name="iati-activity@default-currency" dataDxfId="145">
      <calculatedColumnFormula>Default_Default_Currency</calculatedColumnFormula>
      <xmlColumnPr mapId="16" xpath="/iati-activities/iati-activity/@default-currency" xmlDataType="string"/>
    </tableColumn>
    <tableColumn id="6" uniqueName="last-updated-datetime" name="iati-activity@last-updated-datetime" dataDxfId="144">
      <calculatedColumnFormula>info_last_file_update_time</calculatedColumnFormula>
      <xmlColumnPr mapId="16" xpath="/iati-activities/iati-activity/@last-updated-datetime" xmlDataType="dateTime"/>
    </tableColumn>
    <tableColumn id="2" uniqueName="iati-identifier" name="iati-identifier" dataDxfId="143">
      <calculatedColumnFormula>CONCATENATE(VLOOKUP(info_reporting_org_name,Data_Org[],4,FALSE), "-", Data_Main[[#This Row],[meta-iati-activity-ref]])</calculatedColumnFormula>
      <xmlColumnPr mapId="16" xpath="/iati-activities/iati-activity/iati-identifier" xmlDataType="string"/>
    </tableColumn>
    <tableColumn id="7" uniqueName="title" name="title" dataDxfId="142">
      <calculatedColumnFormula>"WaterAid "&amp;Default_Recipient_Country&amp;" Unrestricted Project"</calculatedColumnFormula>
      <xmlColumnPr mapId="16" xpath="/iati-activities/iati-activity/title" xmlDataType="string"/>
    </tableColumn>
    <tableColumn id="8" uniqueName="description" name="description" dataDxfId="141">
      <xmlColumnPr mapId="16" xpath="/iati-activities/iati-activity/description" xmlDataType="string"/>
    </tableColumn>
    <tableColumn id="9" uniqueName="type" name="description@type" dataDxfId="140">
      <calculatedColumnFormula>Default_Description_Type</calculatedColumnFormula>
      <xmlColumnPr mapId="16" xpath="/iati-activities/iati-activity/description/@type" xmlDataType="string"/>
    </tableColumn>
    <tableColumn id="10" uniqueName="reporting-org" name="reporting-org" dataDxfId="139">
      <calculatedColumnFormula>info_reporting_org_name</calculatedColumnFormula>
      <xmlColumnPr mapId="16" xpath="/iati-activities/iati-activity/reporting-org" xmlDataType="string"/>
    </tableColumn>
    <tableColumn id="11" uniqueName="ref" name="reporting-org@ref" dataDxfId="138">
      <calculatedColumnFormula>VLOOKUP(Data_Main[[#This Row],[reporting-org]],Data_Org[],4,FALSE)</calculatedColumnFormula>
      <xmlColumnPr mapId="16" xpath="/iati-activities/iati-activity/reporting-org/@ref" xmlDataType="string"/>
    </tableColumn>
    <tableColumn id="12" uniqueName="type" name="reporting-org@type" dataDxfId="137">
      <calculatedColumnFormula>VLOOKUP(info_reporting_org_type,Table_Org_Type[],2,FALSE)</calculatedColumnFormula>
      <xmlColumnPr mapId="16" xpath="/iati-activities/iati-activity/reporting-org/@type" xmlDataType="string"/>
    </tableColumn>
    <tableColumn id="13" uniqueName="activity-status" name="activity-status" dataDxfId="136">
      <calculatedColumnFormula array="1">IFERROR(IF(INDEX(Data_Activity_Date[meta-activity-date],MATCH(1,--(Data_Activity_Date[activity-date]="end-actual")*--(Data_Activity_Date[meta-parent-ref]=Data_Main[[#This Row],[meta-iati-activity-ref]]),0))&gt;info_end_range_publish,"Completion","Implementation"),"Implementation")</calculatedColumnFormula>
      <xmlColumnPr mapId="16" xpath="/iati-activities/iati-activity/activity-status" xmlDataType="string"/>
    </tableColumn>
    <tableColumn id="14" uniqueName="code" name="activity-status@code" dataDxfId="135">
      <calculatedColumnFormula>VLOOKUP(Data_Main[[#This Row],[activity-status]],Table_Status[],2,FALSE)</calculatedColumnFormula>
      <xmlColumnPr mapId="16" xpath="/iati-activities/iati-activity/activity-status/@code" xmlDataType="string"/>
    </tableColumn>
    <tableColumn id="28" uniqueName="recipient-country" name="recipient-country" dataDxfId="134">
      <calculatedColumnFormula>Default_Recipient_Country</calculatedColumnFormula>
      <xmlColumnPr mapId="16" xpath="/iati-activities/iati-activity/recipient-country" xmlDataType="string"/>
    </tableColumn>
    <tableColumn id="27" uniqueName="code" name="recipient-country@code" dataDxfId="133">
      <calculatedColumnFormula>VLOOKUP(R21,Table_Country[],2,FALSE)</calculatedColumnFormula>
      <xmlColumnPr mapId="16" xpath="/iati-activities/iati-activity/recipient-country/@code" xmlDataType="string"/>
    </tableColumn>
    <tableColumn id="30" uniqueName="vocabulary" name="sector" dataDxfId="132">
      <calculatedColumnFormula>Default_Sector_code</calculatedColumnFormula>
      <xmlColumnPr mapId="16" xpath="/iati-activities/iati-activity/sector/@vocabulary" xmlDataType="string"/>
    </tableColumn>
    <tableColumn id="29" uniqueName="sector" name="sector@vocabulary" dataDxfId="131">
      <xmlColumnPr mapId="16" xpath="/iati-activities/iati-activity/sector" xmlDataType="string"/>
    </tableColumn>
    <tableColumn id="31" uniqueName="code" name="sector@code" dataDxfId="130">
      <calculatedColumnFormula>VLOOKUP(T21,Table_DAC_Sector[],2,FALSE)</calculatedColumnFormula>
      <xmlColumnPr mapId="16" xpath="/iati-activities/iati-activity/sector/@code" xmlDataType="string"/>
    </tableColumn>
    <tableColumn id="32" uniqueName="percentage" name="sector@percentage" dataDxfId="129">
      <calculatedColumnFormula>Default_Sector_Percentage</calculatedColumnFormula>
      <xmlColumnPr mapId="16" xpath="/iati-activities/iati-activity/sector/@percentage" xmlDataType="integer"/>
    </tableColumn>
    <tableColumn id="33" uniqueName="activity-website" name="activity-website" dataDxfId="128">
      <calculatedColumnFormula>VLOOKUP(Data_Main[[#This Row],[recipient-country]],Table_WA_CPs[],3,FALSE)</calculatedColumnFormula>
      <xmlColumnPr mapId="16" xpath="/iati-activities/iati-activity/activity-website" xmlDataType="string"/>
    </tableColumn>
    <tableColumn id="34" uniqueName="default-flow-type" name="default-flow-type" dataDxfId="127">
      <calculatedColumnFormula>Default_Default_Flow_Type</calculatedColumnFormula>
      <xmlColumnPr mapId="16" xpath="/iati-activities/iati-activity/default-flow-type" xmlDataType="string"/>
    </tableColumn>
    <tableColumn id="35" uniqueName="code" name="default-flow-type@code" dataDxfId="126">
      <calculatedColumnFormula>VLOOKUP(Data_Main[[#This Row],[default-flow-type]],Table_Flow_Type[],2,FALSE)</calculatedColumnFormula>
      <xmlColumnPr mapId="16" xpath="/iati-activities/iati-activity/default-flow-type/@code" xmlDataType="string"/>
    </tableColumn>
    <tableColumn id="36" uniqueName="default-finance-type" name="default-finance-type" dataDxfId="125">
      <calculatedColumnFormula>Default_Default_Finance_Type</calculatedColumnFormula>
      <xmlColumnPr mapId="16" xpath="/iati-activities/iati-activity/default-finance-type" xmlDataType="string"/>
    </tableColumn>
    <tableColumn id="37" uniqueName="code" name="default-finance-type@code" dataDxfId="124">
      <calculatedColumnFormula>VLOOKUP(Data_Main[[#This Row],[default-finance-type]],Table_Finance_Type[],2,FALSE)</calculatedColumnFormula>
      <xmlColumnPr mapId="16" xpath="/iati-activities/iati-activity/default-finance-type/@code" xmlDataType="string"/>
    </tableColumn>
    <tableColumn id="38" uniqueName="default-aid-type" name="default-aid-type" dataDxfId="123">
      <calculatedColumnFormula>Default_Default_Aid_Type</calculatedColumnFormula>
      <xmlColumnPr mapId="16" xpath="/iati-activities/iati-activity/default-aid-type" xmlDataType="string"/>
    </tableColumn>
    <tableColumn id="39" uniqueName="code" name="default-aid-type@code" dataDxfId="122">
      <calculatedColumnFormula>VLOOKUP(Data_Main[[#This Row],[default-aid-type]],Table_Aid_Type[],2,FALSE)</calculatedColumnFormula>
      <xmlColumnPr mapId="16" xpath="/iati-activities/iati-activity/default-aid-type/@code" xmlDataType="string"/>
    </tableColumn>
    <tableColumn id="40" uniqueName="default-tied-status" name="default-tied-status" dataDxfId="121">
      <xmlColumnPr mapId="16" xpath="/iati-activities/iati-activity/default-tied-status" xmlDataType="string"/>
    </tableColumn>
    <tableColumn id="41" uniqueName="code" name="default-tied-status@code" dataDxfId="120">
      <calculatedColumnFormula>VLOOKUP(Data_Main[[#This Row],[default-tied-status]],Table_Tied_Status[],2,FALSE)</calculatedColumnFormula>
      <xmlColumnPr mapId="16" xpath="/iati-activities/iati-activity/default-tied-status/@code" xmlDataType="string"/>
    </tableColumn>
    <tableColumn id="46" uniqueName="type" name="contact-info@type" dataDxfId="119">
      <calculatedColumnFormula>Default_Contact_Type</calculatedColumnFormula>
      <xmlColumnPr mapId="16" xpath="/iati-activities/iati-activity/contact-info/@type" xmlDataType="string"/>
    </tableColumn>
    <tableColumn id="42" uniqueName="organisation" name="contact-info\organisation" dataDxfId="118">
      <calculatedColumnFormula>info_reporting_org_name</calculatedColumnFormula>
      <xmlColumnPr mapId="16" xpath="/iati-activities/iati-activity/contact-info/organisation" xmlDataType="string"/>
    </tableColumn>
    <tableColumn id="43" uniqueName="mailing-address" name="contact-info\mailing-address" dataDxfId="117">
      <calculatedColumnFormula>Default_Contact_Address</calculatedColumnFormula>
      <xmlColumnPr mapId="16" xpath="/iati-activities/iati-activity/contact-info/mailing-address" xmlDataType="string"/>
    </tableColumn>
    <tableColumn id="44" uniqueName="email" name="contact-info\email" dataDxfId="116">
      <calculatedColumnFormula>Default_Contact_Email</calculatedColumnFormula>
      <xmlColumnPr mapId="16" xpath="/iati-activities/iati-activity/contact-info/email" xmlDataType="string"/>
    </tableColumn>
    <tableColumn id="45" uniqueName="website" name="contact-info\website" dataDxfId="115">
      <calculatedColumnFormula>Default_Contact_Website</calculatedColumnFormula>
      <xmlColumnPr mapId="16" xpath="/iati-activities/iati-activity/contact-info/website" xmlDataType="string"/>
    </tableColumn>
  </tableColumns>
  <tableStyleInfo name="TableStyleMedium9" showFirstColumn="0" showLastColumn="0" showRowStripes="1" showColumnStripes="0"/>
</table>
</file>

<file path=xl/tables/table5.xml><?xml version="1.0" encoding="utf-8"?>
<table xmlns="http://schemas.openxmlformats.org/spreadsheetml/2006/main" id="10" name="Data_Activity_Date" displayName="Data_Activity_Date" ref="C20:H35" tableType="xml" totalsRowShown="0" headerRowDxfId="114" connectionId="3">
  <autoFilter ref="C20:H35"/>
  <sortState ref="C21:H35">
    <sortCondition ref="C20:C35"/>
  </sortState>
  <tableColumns count="6">
    <tableColumn id="5" uniqueName="5" name="meta-parent-ref" dataDxfId="113"/>
    <tableColumn id="6" uniqueName="6" name="meta-first-published" dataDxfId="112">
      <calculatedColumnFormula>VLOOKUP(Data_Activity_Date[[#This Row],[meta-parent-ref]],Data_Main[],2,FALSE)</calculatedColumnFormula>
    </tableColumn>
    <tableColumn id="1" uniqueName="1" name="meta-activity-date" dataDxfId="111"/>
    <tableColumn id="4" uniqueName="type" name="activity-date" dataDxfId="110">
      <calculatedColumnFormula>VLOOKUP(Data_Activity_Date[[#This Row],[activity-date@type]],Table_WA_Dates[], 2, FALSE)</calculatedColumnFormula>
      <xmlColumnPr mapId="23" xpath="/iati-activities/iati-activity/activity-date/@type" xmlDataType="string"/>
    </tableColumn>
    <tableColumn id="2" uniqueName="activity-date" name="activity-date@type" dataDxfId="109">
      <xmlColumnPr mapId="23" xpath="/iati-activities/iati-activity/activity-date" xmlDataType="string"/>
    </tableColumn>
    <tableColumn id="3" uniqueName="iso-date" name="activity-date@iso-date" dataDxfId="108">
      <calculatedColumnFormula>TEXT(Data_Activity_Date[[#This Row],[meta-activity-date]],"yyyy-mm-ddZ")</calculatedColumnFormula>
      <xmlColumnPr mapId="23" xpath="/iati-activities/iati-activity/activity-date/@iso-date" xmlDataType="date"/>
    </tableColumn>
  </tableColumns>
  <tableStyleInfo name="TableStyleMedium9" showFirstColumn="0" showLastColumn="0" showRowStripes="1" showColumnStripes="0"/>
</table>
</file>

<file path=xl/tables/table6.xml><?xml version="1.0" encoding="utf-8"?>
<table xmlns="http://schemas.openxmlformats.org/spreadsheetml/2006/main" id="25" name="Data_Part_Org" displayName="Data_Part_Org" ref="C20:H66" tableType="xml" totalsRowShown="0" headerRowDxfId="107" tableBorderDxfId="106" connectionId="3">
  <autoFilter ref="C20:H66"/>
  <sortState ref="C21:H66">
    <sortCondition ref="C20:C66"/>
  </sortState>
  <tableColumns count="6">
    <tableColumn id="6" uniqueName="6" name="meta-parent-ref" dataDxfId="105">
      <calculatedColumnFormula>VLOOKUP(Default_Recipient_Country,Table_Country[],2,FALSE)&amp;"999"</calculatedColumnFormula>
    </tableColumn>
    <tableColumn id="1" uniqueName="1" name="meta-first-published" dataDxfId="104">
      <calculatedColumnFormula array="1">IFERROR(MIN(INDEX(Data_Fund_Flows[meta-first-published],MATCH(1,--(Data_Fund_Flows[meta-partner-name]=Data_Part_Org[[#This Row],[participating-org]])*--(Data_Fund_Flows[meta-parent-ref]=Data_Part_Org[[#This Row],[meta-parent-ref]]),0))),VLOOKUP(Data_Part_Org[[#This Row],[meta-parent-ref]],Data_Main[],2,FALSE))</calculatedColumnFormula>
    </tableColumn>
    <tableColumn id="2" uniqueName="participating-org" name="participating-org" dataDxfId="103">
      <xmlColumnPr mapId="23" xpath="/iati-activities/iati-activity/participating-org" xmlDataType="string"/>
    </tableColumn>
    <tableColumn id="3" uniqueName="role" name="participating-org@role" dataDxfId="102">
      <xmlColumnPr mapId="23" xpath="/iati-activities/iati-activity/participating-org/@role" xmlDataType="string"/>
    </tableColumn>
    <tableColumn id="4" uniqueName="ref" name="participating-org@ref" dataDxfId="101">
      <calculatedColumnFormula>IF(NOT(ISBLANK(VLOOKUP(Data_Part_Org[[#This Row],[participating-org]],Data_Org[],4,FALSE))),VLOOKUP(Data_Part_Org[[#This Row],[participating-org]],Data_Org[],4,FALSE),"")</calculatedColumnFormula>
      <xmlColumnPr mapId="23" xpath="/iati-activities/iati-activity/participating-org/@ref" xmlDataType="string"/>
    </tableColumn>
    <tableColumn id="5" uniqueName="type" name="participating-org@type" dataDxfId="100">
      <calculatedColumnFormula>VLOOKUP(VLOOKUP(Data_Part_Org[[#This Row],[participating-org]],Data_Org[],2,FALSE),Table_Org_Type[],2,FALSE)</calculatedColumnFormula>
      <xmlColumnPr mapId="23" xpath="/iati-activities/iati-activity/participating-org/@type" xmlDataType="string"/>
    </tableColumn>
  </tableColumns>
  <tableStyleInfo name="TableStyleMedium9" showFirstColumn="0" showLastColumn="0" showRowStripes="1" showColumnStripes="0"/>
</table>
</file>

<file path=xl/tables/table7.xml><?xml version="1.0" encoding="utf-8"?>
<table xmlns="http://schemas.openxmlformats.org/spreadsheetml/2006/main" id="24" name="Data_Fund_Flows" displayName="Data_Fund_Flows" ref="C20:W51" tableType="xml" totalsRowShown="0" headerRowDxfId="99" tableBorderDxfId="98" connectionId="3">
  <autoFilter ref="C20:W51"/>
  <sortState ref="C21:W51">
    <sortCondition ref="C20:C51"/>
  </sortState>
  <tableColumns count="21">
    <tableColumn id="19" uniqueName="19" name="meta-parent-ref" dataDxfId="97"/>
    <tableColumn id="21" uniqueName="21" name="meta-transaction-ref" dataDxfId="96">
      <calculatedColumnFormula>CONCATENATE( LEFT(Data_Fund_Flows[[#This Row],[transaction-date@iso-date]],4), "-", VLOOKUP(RIGHT(Data_Fund_Flows[[#This Row],[transaction-date@iso-date]],7),Table_WA_Date_Conversion[],3,FALSE), "-",Data_Fund_Flows[[#This Row],[transaction-type@code]], "-", VLOOKUP(Data_Fund_Flows[[#This Row],[meta-partner-name]],Data_Org[],3,FALSE))</calculatedColumnFormula>
    </tableColumn>
    <tableColumn id="20" uniqueName="20" name="meta-first-published" dataDxfId="95">
      <calculatedColumnFormula>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calculatedColumnFormula>
    </tableColumn>
    <tableColumn id="1" uniqueName="0" name="meta-partner-name" dataDxfId="94"/>
    <tableColumn id="2" uniqueName="ref" name="transaction@ref" dataDxfId="93">
      <calculatedColumnFormula>CONCATENATE(VLOOKUP(info_reporting_org_name,Data_Org[],4,FALSE), "-", Data_Fund_Flows[[#This Row],[meta-parent-ref]], "-", Data_Fund_Flows[[#This Row],[meta-transaction-ref]])</calculatedColumnFormula>
      <xmlColumnPr mapId="23" xpath="/iati-activities/iati-activity/transaction/@ref" xmlDataType="string"/>
    </tableColumn>
    <tableColumn id="6" uniqueName="transaction-type" name="transaction-type" dataDxfId="92">
      <xmlColumnPr mapId="23" xpath="/iati-activities/iati-activity/transaction/transaction-type" xmlDataType="string"/>
    </tableColumn>
    <tableColumn id="7" uniqueName="code" name="transaction-type@code" dataDxfId="91">
      <calculatedColumnFormula>VLOOKUP(Data_Fund_Flows[[#This Row],[transaction-type]],Table_Transaction_Type[],2,FALSE)</calculatedColumnFormula>
      <xmlColumnPr mapId="23" xpath="/iati-activities/iati-activity/transaction/transaction-type/@code" xmlDataType="string"/>
    </tableColumn>
    <tableColumn id="8" uniqueName="description" name="description" dataDxfId="90">
      <calculatedColumnFormula>VLOOKUP(Data_Fund_Flows[[#This Row],[transaction-type]],Table_WA_Transaction_Type[],2,FALSE)</calculatedColumnFormula>
      <xmlColumnPr mapId="23" xpath="/iati-activities/iati-activity/transaction/description" xmlDataType="string"/>
    </tableColumn>
    <tableColumn id="11" uniqueName="transaction-date" name="transaction-date" dataDxfId="89">
      <calculatedColumnFormula>VLOOKUP(Data_Fund_Flows[[#This Row],[transaction-type]],Table_WA_Transaction_Type[],3,FALSE)</calculatedColumnFormula>
      <xmlColumnPr mapId="23" xpath="/iati-activities/iati-activity/transaction/transaction-date" xmlDataType="string"/>
    </tableColumn>
    <tableColumn id="12" uniqueName="iso-date" name="transaction-date@iso-date" dataDxfId="88">
      <xmlColumnPr mapId="23" xpath="/iati-activities/iati-activity/transaction/transaction-date/@iso-date" xmlDataType="date"/>
    </tableColumn>
    <tableColumn id="3" uniqueName="value" name="value" dataDxfId="87">
      <xmlColumnPr mapId="23" xpath="/iati-activities/iati-activity/transaction/value" xmlDataType="integer"/>
    </tableColumn>
    <tableColumn id="4" uniqueName="currency" name="value@currency" dataDxfId="86">
      <calculatedColumnFormula>Default_Default_Currency</calculatedColumnFormula>
      <xmlColumnPr mapId="23" xpath="/iati-activities/iati-activity/transaction/value/@currency" xmlDataType="string"/>
    </tableColumn>
    <tableColumn id="5" uniqueName="value-date" name="value@value-date" dataDxfId="85">
      <calculatedColumnFormula>LEFT(Data_Fund_Flows[[#This Row],[transaction-date@iso-date]],4) &amp; VLOOKUP(RIGHT(Data_Fund_Flows[[#This Row],[transaction-date@iso-date]],7),Table_WA_Date_Conversion[],2,FALSE)</calculatedColumnFormula>
      <xmlColumnPr mapId="23" xpath="/iati-activities/iati-activity/transaction/value/@value-date" xmlDataType="date"/>
    </tableColumn>
    <tableColumn id="9" uniqueName="flow-type" name="flow-type" dataDxfId="84">
      <calculatedColumnFormula>IF(OR(VLOOKUP(Data_Fund_Flows[[#This Row],[provider-org]],Data_Org[],2,FALSE)="Government", VLOOKUP(Data_Fund_Flows[[#This Row],[provider-org]],Data_Org[],2,FALSE)="Multilateral"),"ODA", "Private Grants")</calculatedColumnFormula>
      <xmlColumnPr mapId="23" xpath="/iati-activities/iati-activity/transaction/flow-type" xmlDataType="string"/>
    </tableColumn>
    <tableColumn id="10" uniqueName="code" name="flow-type@code" dataDxfId="83">
      <calculatedColumnFormula>VLOOKUP(Data_Fund_Flows[[#This Row],[flow-type]],Table_Flow_Type[],2,FALSE)</calculatedColumnFormula>
      <xmlColumnPr mapId="23" xpath="/iati-activities/iati-activity/transaction/flow-type/@code" xmlDataType="string"/>
    </tableColumn>
    <tableColumn id="13" uniqueName="provider-org" name="provider-org" dataDxfId="82">
      <calculatedColumnFormula>IF(VLOOKUP(Data_Fund_Flows[[#This Row],[transaction-type]],Table_WA_Transaction_Type[], 5,FALSE), Data_Fund_Flows[[#This Row],[meta-partner-name]], info_reporting_org_name)</calculatedColumnFormula>
      <xmlColumnPr mapId="23" xpath="/iati-activities/iati-activity/transaction/provider-org" xmlDataType="string"/>
    </tableColumn>
    <tableColumn id="14" uniqueName="ref" name="provider-org@ref" dataDxfId="81">
      <calculatedColumnFormula>IF(NOT(ISBLANK(VLOOKUP(Data_Fund_Flows[[#This Row],[provider-org]],Data_Org[],4,FALSE))),VLOOKUP(Data_Fund_Flows[[#This Row],[provider-org]],Data_Org[],4,FALSE),"")</calculatedColumnFormula>
      <xmlColumnPr mapId="23" xpath="/iati-activities/iati-activity/transaction/provider-org/@ref" xmlDataType="string"/>
    </tableColumn>
    <tableColumn id="15" uniqueName="provider-activity-id" name="provider-org@provider-activity-id" dataDxfId="80">
      <calculatedColumnFormula>IF(EXACT(Data_Fund_Flows[[#This Row],[provider-org]],info_reporting_org_name),CONCATENATE(VLOOKUP(info_reporting_org_name,Data_Org[],4,FALSE), "-", Data_Fund_Flows[[#This Row],[meta-parent-ref]]),"")</calculatedColumnFormula>
      <xmlColumnPr mapId="23" xpath="/iati-activities/iati-activity/transaction/provider-org/@provider-activity-id" xmlDataType="string"/>
    </tableColumn>
    <tableColumn id="16" uniqueName="receiver-org" name="receiver-org" dataDxfId="79">
      <calculatedColumnFormula>IF(NOT(VLOOKUP(Data_Fund_Flows[[#This Row],[transaction-type]],Table_WA_Transaction_Type[], 5,FALSE)), Data_Fund_Flows[[#This Row],[meta-partner-name]], IF(VLOOKUP(Data_Fund_Flows[[#This Row],[transaction-type]],Table_WA_Transaction_Type[], 6,FALSE), info_reporting_org_name, ""))</calculatedColumnFormula>
      <xmlColumnPr mapId="23" xpath="/iati-activities/iati-activity/transaction/receiver-org" xmlDataType="string"/>
    </tableColumn>
    <tableColumn id="17" uniqueName="ref" name="receiver-org@ref" dataDxfId="78">
      <calculatedColumnFormula>IF(EXACT(Data_Fund_Flows[[#This Row],[receiver-org]], ""), "", IF(NOT(ISBLANK(VLOOKUP(Data_Fund_Flows[[#This Row],[receiver-org]],Data_Org[],4,FALSE))),VLOOKUP(Data_Fund_Flows[[#This Row],[receiver-org]],Data_Org[],4,FALSE),""))</calculatedColumnFormula>
      <xmlColumnPr mapId="23" xpath="/iati-activities/iati-activity/transaction/receiver-org/@ref" xmlDataType="string"/>
    </tableColumn>
    <tableColumn id="18" uniqueName="receiver-activity-id" name="receiver-org@receiver-activity-id" dataDxfId="77">
      <calculatedColumnFormula>IF(EXACT(Data_Fund_Flows[[#This Row],[receiver-org]],info_reporting_org_name),CONCATENATE(VLOOKUP(info_reporting_org_name,Data_Org[],4,FALSE), "-", Data_Fund_Flows[[#This Row],[meta-parent-ref]]),"")</calculatedColumnFormula>
      <xmlColumnPr mapId="23" xpath="/iati-activities/iati-activity/transaction/receiver-org/@receiver-activity-id" xmlDataType="string"/>
    </tableColumn>
  </tableColumns>
  <tableStyleInfo name="TableStyleMedium9" showFirstColumn="0" showLastColumn="0" showRowStripes="1" showColumnStripes="0"/>
</table>
</file>

<file path=xl/tables/table8.xml><?xml version="1.0" encoding="utf-8"?>
<table xmlns="http://schemas.openxmlformats.org/spreadsheetml/2006/main" id="21" name="Data_Related_Activity" displayName="Data_Related_Activity" ref="C20:J92" tableType="xml" totalsRowShown="0" headerRowDxfId="76" headerRowBorderDxfId="75" tableBorderDxfId="74" connectionId="3">
  <autoFilter ref="C20:J92"/>
  <sortState ref="C21:J92">
    <sortCondition ref="C20:C92"/>
  </sortState>
  <tableColumns count="8">
    <tableColumn id="1" uniqueName="0" name="meta-parent-ref" dataDxfId="73"/>
    <tableColumn id="8" uniqueName="8" name="meta-first-published" dataDxfId="72">
      <calculatedColumnFormula>MAX(VLOOKUP(Data_Related_Activity[[#This Row],[meta-parent-ref]],Data_Main[],2,FALSE),IFERROR(VLOOKUP(RIGHT(Data_Related_Activity[[#This Row],[related-activity]],5),Data_Main[],2,FALSE),0))</calculatedColumnFormula>
    </tableColumn>
    <tableColumn id="2" uniqueName="0" name="meta-relation-type" dataDxfId="71"/>
    <tableColumn id="6" uniqueName="0" name="meta-published-this-file" dataDxfId="70"/>
    <tableColumn id="4" uniqueName="ref" name="related-activity" dataDxfId="69">
      <calculatedColumnFormula>INDEX(INDIRECT(VLOOKUP(Data_Related_Activity[[#This Row],[meta-published-this-file]],Name_Table_In_File,3,FALSE)),MATCH(Data_Related_Activity[[#This Row],[related-activity@ref]],INDIRECT(VLOOKUP(Data_Related_Activity[[#This Row],[meta-published-this-file]],Name_Table_In_File,2,FALSE)),0))</calculatedColumnFormula>
      <xmlColumnPr mapId="23" xpath="/iati-activities/iati-activity/related-activity/@ref" xmlDataType="string"/>
    </tableColumn>
    <tableColumn id="5" uniqueName="related-activity" name="related-activity@ref" dataDxfId="68">
      <calculatedColumnFormula>INDEX(INDIRECT(VLOOKUP(Data_Related_Activity[[#This Row],[meta-published-this-file]],Name_Table_In_File,3,FALSE)),MATCH(Data_Related_Activity[[#This Row],[related-activity]],INDIRECT(VLOOKUP(Data_Related_Activity[[#This Row],[meta-published-this-file]],Name_Table_In_File,2,FALSE)),0))</calculatedColumnFormula>
      <xmlColumnPr mapId="23" xpath="/iati-activities/iati-activity/related-activity" xmlDataType="string"/>
    </tableColumn>
    <tableColumn id="3" uniqueName="type" name="related-activity@type" dataDxfId="67">
      <calculatedColumnFormula>VLOOKUP(E21,Table_related[],2,FALSE)</calculatedColumnFormula>
      <xmlColumnPr mapId="23" xpath="/iati-activities/iati-activity/related-activity/@type" xmlDataType="string"/>
    </tableColumn>
    <tableColumn id="7" uniqueName="7" name="meta-wateraid-only" dataDxfId="66">
      <calculatedColumnFormula>Data_Related_Activity[[#This Row],[meta-parent-ref]] = RIGHT(Data_Related_Activity[[#This Row],[related-activity]],5)</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32" name="Table32" displayName="Table32" ref="I10:AK11" tableType="xml" insertRow="1" totalsRowShown="0" connectionId="1">
  <autoFilter ref="I10:AK11"/>
  <tableColumns count="29">
    <tableColumn id="1" uniqueName="targetNamespace" name="targetNamespace" dataDxfId="65">
      <xmlColumnPr mapId="24" xpath="/ns2:schema/@targetNamespace" xmlDataType="anyURI"/>
    </tableColumn>
    <tableColumn id="2" uniqueName="version" name="version" dataDxfId="64">
      <xmlColumnPr mapId="24" xpath="/ns2:schema/@version" xmlDataType="double"/>
    </tableColumn>
    <tableColumn id="3" uniqueName="ns2:documentation" name="ns2:documentation">
      <xmlColumnPr mapId="24" xpath="/ns2:schema/ns2:annotation/ns2:documentation" xmlDataType="string"/>
    </tableColumn>
    <tableColumn id="4" uniqueName="ns1:lang" name="ns1:lang">
      <xmlColumnPr mapId="24" xpath="/ns2:schema/ns2:annotation/ns2:documentation/@ns1:lang" xmlDataType="string"/>
    </tableColumn>
    <tableColumn id="5" uniqueName="schemaLocation" name="schemaLocation">
      <xmlColumnPr mapId="24" xpath="/ns2:schema/ns2:include/@schemaLocation" xmlDataType="string"/>
    </tableColumn>
    <tableColumn id="6" uniqueName="namespace" name="namespace">
      <xmlColumnPr mapId="24" xpath="/ns2:schema/ns2:import/@namespace" xmlDataType="anyURI"/>
    </tableColumn>
    <tableColumn id="7" uniqueName="schemaLocation" name="schemaLocation2">
      <xmlColumnPr mapId="24" xpath="/ns2:schema/ns2:import/@schemaLocation" xmlDataType="string"/>
    </tableColumn>
    <tableColumn id="8" uniqueName="name" name="name">
      <xmlColumnPr mapId="24" xpath="/ns2:schema/ns2:element/@name" xmlDataType="string"/>
    </tableColumn>
    <tableColumn id="9" uniqueName="ns2:documentation" name="ns2:documentation3">
      <xmlColumnPr mapId="24" xpath="/ns2:schema/ns2:element/ns2:annotation/ns2:documentation" xmlDataType="string"/>
    </tableColumn>
    <tableColumn id="10" uniqueName="ns1:lang" name="ns1:lang4">
      <xmlColumnPr mapId="24" xpath="/ns2:schema/ns2:element/ns2:annotation/ns2:documentation/@ns1:lang" xmlDataType="string"/>
    </tableColumn>
    <tableColumn id="11" uniqueName="mixed" name="mixed">
      <xmlColumnPr mapId="24" xpath="/ns2:schema/ns2:element/ns2:complexType/@mixed" xmlDataType="boolean"/>
    </tableColumn>
    <tableColumn id="12" uniqueName="minOccurs" name="minOccurs">
      <xmlColumnPr mapId="24" xpath="/ns2:schema/ns2:element/ns2:complexType/ns2:choice/@minOccurs" xmlDataType="integer"/>
    </tableColumn>
    <tableColumn id="13" uniqueName="maxOccurs" name="maxOccurs">
      <xmlColumnPr mapId="24" xpath="/ns2:schema/ns2:element/ns2:complexType/ns2:choice/@maxOccurs" xmlDataType="string"/>
    </tableColumn>
    <tableColumn id="14" uniqueName="ref" name="ref" dataDxfId="63">
      <xmlColumnPr mapId="24" xpath="/ns2:schema/ns2:element/ns2:complexType/ns2:choice/ns2:element/@ref" xmlDataType="string"/>
    </tableColumn>
    <tableColumn id="15" uniqueName="name" name="name5">
      <xmlColumnPr mapId="24" xpath="/ns2:schema/ns2:element/ns2:complexType/ns2:choice/ns2:element/@name" xmlDataType="string"/>
    </tableColumn>
    <tableColumn id="16" uniqueName="type" name="type">
      <xmlColumnPr mapId="24" xpath="/ns2:schema/ns2:element/ns2:complexType/ns2:choice/ns2:element/@type" xmlDataType="string"/>
    </tableColumn>
    <tableColumn id="17" uniqueName="ns2:documentation" name="ns2:documentation6">
      <xmlColumnPr mapId="24" xpath="/ns2:schema/ns2:element/ns2:complexType/ns2:choice/ns2:element/ns2:annotation/ns2:documentation" xmlDataType="string"/>
    </tableColumn>
    <tableColumn id="18" uniqueName="ns1:lang" name="ns1:lang7">
      <xmlColumnPr mapId="24" xpath="/ns2:schema/ns2:element/ns2:complexType/ns2:choice/ns2:element/ns2:annotation/ns2:documentation/@ns1:lang" xmlDataType="string"/>
    </tableColumn>
    <tableColumn id="19" uniqueName="namespace" name="namespace8">
      <xmlColumnPr mapId="24" xpath="/ns2:schema/ns2:element/ns2:complexType/ns2:choice/ns2:any/@namespace" xmlDataType="string"/>
    </tableColumn>
    <tableColumn id="20" uniqueName="processContents" name="processContents">
      <xmlColumnPr mapId="24" xpath="/ns2:schema/ns2:element/ns2:complexType/ns2:choice/ns2:any/@processContents" xmlDataType="string"/>
    </tableColumn>
    <tableColumn id="21" uniqueName="name" name="name9">
      <xmlColumnPr mapId="24" xpath="/ns2:schema/ns2:element/ns2:complexType/ns2:attribute/@name" xmlDataType="string"/>
    </tableColumn>
    <tableColumn id="22" uniqueName="type" name="type10">
      <xmlColumnPr mapId="24" xpath="/ns2:schema/ns2:element/ns2:complexType/ns2:attribute/@type" xmlDataType="string"/>
    </tableColumn>
    <tableColumn id="23" uniqueName="use" name="use">
      <xmlColumnPr mapId="24" xpath="/ns2:schema/ns2:element/ns2:complexType/ns2:attribute/@use" xmlDataType="string"/>
    </tableColumn>
    <tableColumn id="24" uniqueName="ref" name="ref11">
      <xmlColumnPr mapId="24" xpath="/ns2:schema/ns2:element/ns2:complexType/ns2:attribute/@ref" xmlDataType="string"/>
    </tableColumn>
    <tableColumn id="25" uniqueName="ns2:documentation" name="ns2:documentation12">
      <xmlColumnPr mapId="24" xpath="/ns2:schema/ns2:element/ns2:complexType/ns2:attribute/ns2:annotation/ns2:documentation" xmlDataType="string"/>
    </tableColumn>
    <tableColumn id="26" uniqueName="ns1:lang" name="ns1:lang13">
      <xmlColumnPr mapId="24" xpath="/ns2:schema/ns2:element/ns2:complexType/ns2:attribute/ns2:annotation/ns2:documentation/@ns1:lang" xmlDataType="string"/>
    </tableColumn>
    <tableColumn id="27" uniqueName="processContents" name="processContents14">
      <xmlColumnPr mapId="24" xpath="/ns2:schema/ns2:element/ns2:complexType/ns2:anyAttribute/@processContents" xmlDataType="string"/>
    </tableColumn>
    <tableColumn id="28" uniqueName="namespace" name="namespace15">
      <xmlColumnPr mapId="24" xpath="/ns2:schema/ns2:element/ns2:complexType/ns2:anyAttribute/@namespace" xmlDataType="string"/>
    </tableColumn>
    <tableColumn id="29" uniqueName="ref" name="ref16">
      <xmlColumnPr mapId="24" xpath="/ns2:schema/ns2:element/ns2:complexType/ns2:attributeGroup/@ref" xmlDataType="string"/>
    </tableColumn>
  </tableColumns>
  <tableStyleInfo name="TableStyleMedium9" showFirstColumn="0" showLastColumn="0" showRowStripes="1" showColumnStripes="0"/>
</table>
</file>

<file path=xl/tables/table10.xml><?xml version="1.0" encoding="utf-8"?>
<table xmlns="http://schemas.openxmlformats.org/spreadsheetml/2006/main" id="1" name="Table_Currency" displayName="Table_Currency" ref="X2:Y168" totalsRowShown="0" dataDxfId="62" dataCellStyle="Normal 2">
  <autoFilter ref="X2:Y168"/>
  <tableColumns count="2">
    <tableColumn id="2" name="Currency" dataDxfId="61" dataCellStyle="Normal 2"/>
    <tableColumn id="1" name="Code" dataDxfId="60" dataCellStyle="Normal 2"/>
  </tableColumns>
  <tableStyleInfo name="TableStyleMedium9" showFirstColumn="0" showLastColumn="0" showRowStripes="1" showColumnStripes="0"/>
</table>
</file>

<file path=xl/tables/table11.xml><?xml version="1.0" encoding="utf-8"?>
<table xmlns="http://schemas.openxmlformats.org/spreadsheetml/2006/main" id="2" name="Table_Country" displayName="Table_Country" ref="B2:C250" totalsRowShown="0" dataDxfId="59" dataCellStyle="Normal 2">
  <autoFilter ref="B2:C250"/>
  <tableColumns count="2">
    <tableColumn id="2" name="Country" dataDxfId="58" dataCellStyle="Normal 2"/>
    <tableColumn id="1" name="Code" dataDxfId="57" dataCellStyle="Normal 2"/>
  </tableColumns>
  <tableStyleInfo name="TableStyleMedium9" showFirstColumn="0" showLastColumn="0" showRowStripes="1" showColumnStripes="0"/>
</table>
</file>

<file path=xl/tables/table12.xml><?xml version="1.0" encoding="utf-8"?>
<table xmlns="http://schemas.openxmlformats.org/spreadsheetml/2006/main" id="3" name="Table_DAC_Sector" displayName="Table_DAC_Sector" ref="L2:M239" totalsRowShown="0">
  <autoFilter ref="L2:M239"/>
  <tableColumns count="2">
    <tableColumn id="2" name="DAC Sector" dataDxfId="56" dataCellStyle="Normal 2"/>
    <tableColumn id="3" name="Column1" dataDxfId="55" dataCellStyle="Normal 2"/>
  </tableColumns>
  <tableStyleInfo name="TableStyleMedium9" showFirstColumn="0" showLastColumn="0" showRowStripes="1" showColumnStripes="0"/>
</table>
</file>

<file path=xl/tables/table13.xml><?xml version="1.0" encoding="utf-8"?>
<table xmlns="http://schemas.openxmlformats.org/spreadsheetml/2006/main" id="6" name="Table_Flow_Type" displayName="Table_Flow_Type" ref="O2:P8" totalsRowShown="0" headerRowBorderDxfId="54" tableBorderDxfId="53">
  <autoFilter ref="O2:P8"/>
  <tableColumns count="2">
    <tableColumn id="2" name="Flow Type" dataDxfId="52" dataCellStyle="Normal 2"/>
    <tableColumn id="1" name="Code" dataDxfId="51" dataCellStyle="Normal 2"/>
  </tableColumns>
  <tableStyleInfo name="TableStyleMedium9" showFirstColumn="0" showLastColumn="0" showRowStripes="1" showColumnStripes="0"/>
</table>
</file>

<file path=xl/tables/table14.xml><?xml version="1.0" encoding="utf-8"?>
<table xmlns="http://schemas.openxmlformats.org/spreadsheetml/2006/main" id="7" name="Table_Status" displayName="Table_Status" ref="R2:S7" totalsRowShown="0" headerRowDxfId="50" headerRowBorderDxfId="49" tableBorderDxfId="48" headerRowCellStyle="Normal 2">
  <autoFilter ref="R2:S7"/>
  <tableColumns count="2">
    <tableColumn id="2" name="Activity Status" dataDxfId="47" dataCellStyle="Normal 2"/>
    <tableColumn id="1" name="Code" dataDxfId="46" dataCellStyle="Normal 2"/>
  </tableColumns>
  <tableStyleInfo name="TableStyleMedium9" showFirstColumn="0" showLastColumn="0" showRowStripes="1" showColumnStripes="0"/>
</table>
</file>

<file path=xl/tables/table15.xml><?xml version="1.0" encoding="utf-8"?>
<table xmlns="http://schemas.openxmlformats.org/spreadsheetml/2006/main" id="9" name="Table_Sector_Vocab" displayName="Table_Sector_Vocab" ref="H2:J3" totalsRowShown="0" dataDxfId="45">
  <autoFilter ref="H2:J3"/>
  <tableColumns count="3">
    <tableColumn id="1" name="Code" dataDxfId="44"/>
    <tableColumn id="2" name="Vocabulary" dataDxfId="43"/>
    <tableColumn id="3" name="Named Range" dataDxfId="42" dataCellStyle="Normal 2"/>
  </tableColumns>
  <tableStyleInfo name="TableStyleMedium9" showFirstColumn="0" showLastColumn="0" showRowStripes="1" showColumnStripes="0"/>
</table>
</file>

<file path=xl/tables/table16.xml><?xml version="1.0" encoding="utf-8"?>
<table xmlns="http://schemas.openxmlformats.org/spreadsheetml/2006/main" id="12" name="Table_Org_Type" displayName="Table_Org_Type" ref="U2:V14" totalsRowShown="0">
  <autoFilter ref="U2:V14"/>
  <tableColumns count="2">
    <tableColumn id="2" name="Organisation Type" dataDxfId="41"/>
    <tableColumn id="1" name="Code"/>
  </tableColumns>
  <tableStyleInfo name="TableStyleMedium9" showFirstColumn="0" showLastColumn="0" showRowStripes="1" showColumnStripes="0"/>
</table>
</file>

<file path=xl/tables/table17.xml><?xml version="1.0" encoding="utf-8"?>
<table xmlns="http://schemas.openxmlformats.org/spreadsheetml/2006/main" id="15" name="Table_Finance_Type" displayName="Table_Finance_Type" ref="AA2:AB56" totalsRowShown="0">
  <autoFilter ref="AA2:AB56"/>
  <tableColumns count="2">
    <tableColumn id="1" name="Finance Type" dataDxfId="40"/>
    <tableColumn id="2" name="Code" dataDxfId="39" dataCellStyle="Normal 2"/>
  </tableColumns>
  <tableStyleInfo name="TableStyleMedium9" showFirstColumn="0" showLastColumn="0" showRowStripes="1" showColumnStripes="0"/>
</table>
</file>

<file path=xl/tables/table18.xml><?xml version="1.0" encoding="utf-8"?>
<table xmlns="http://schemas.openxmlformats.org/spreadsheetml/2006/main" id="16" name="Table_Aid_Type" displayName="Table_Aid_Type" ref="AD2:AE25" totalsRowShown="0" dataDxfId="38" dataCellStyle="Normal 2">
  <autoFilter ref="AD2:AE25"/>
  <tableColumns count="2">
    <tableColumn id="1" name="Aid Type" dataDxfId="37" dataCellStyle="Normal 2"/>
    <tableColumn id="2" name="Code" dataDxfId="36" dataCellStyle="Normal 2"/>
  </tableColumns>
  <tableStyleInfo name="TableStyleMedium9" showFirstColumn="0" showLastColumn="0" showRowStripes="1" showColumnStripes="0"/>
</table>
</file>

<file path=xl/tables/table19.xml><?xml version="1.0" encoding="utf-8"?>
<table xmlns="http://schemas.openxmlformats.org/spreadsheetml/2006/main" id="17" name="Table_Tied_Status" displayName="Table_Tied_Status" ref="AG2:AH5" totalsRowShown="0" tableBorderDxfId="35">
  <autoFilter ref="AG2:AH5"/>
  <tableColumns count="2">
    <tableColumn id="1" name="Tied Status" dataDxfId="34" dataCellStyle="Normal 2"/>
    <tableColumn id="2" name="Code" dataDxfId="33" dataCellStyle="Normal 2"/>
  </tableColumns>
  <tableStyleInfo name="TableStyleMedium9" showFirstColumn="0" showLastColumn="0" showRowStripes="1" showColumnStripes="0"/>
</table>
</file>

<file path=xl/tables/table20.xml><?xml version="1.0" encoding="utf-8"?>
<table xmlns="http://schemas.openxmlformats.org/spreadsheetml/2006/main" id="18" name="Table_Org_Role" displayName="Table_Org_Role" ref="AJ2:AJ6" totalsRowShown="0" headerRowDxfId="32" dataDxfId="30" headerRowBorderDxfId="31" tableBorderDxfId="29" headerRowCellStyle="Normal 2" dataCellStyle="Normal 2">
  <autoFilter ref="AJ2:AJ6"/>
  <tableColumns count="1">
    <tableColumn id="1" name="Organisation Role" dataDxfId="28" dataCellStyle="Normal 2"/>
  </tableColumns>
  <tableStyleInfo name="TableStyleMedium9" showFirstColumn="0" showLastColumn="0" showRowStripes="1" showColumnStripes="0"/>
</table>
</file>

<file path=xl/tables/table21.xml><?xml version="1.0" encoding="utf-8"?>
<table xmlns="http://schemas.openxmlformats.org/spreadsheetml/2006/main" id="20" name="Table_related" displayName="Table_related" ref="AL2:AM6" totalsRowShown="0" tableBorderDxfId="27">
  <autoFilter ref="AL2:AM6"/>
  <tableColumns count="2">
    <tableColumn id="1" name="Related Activity Type" dataDxfId="26" dataCellStyle="Normal 2"/>
    <tableColumn id="2" name="Code" dataDxfId="25" dataCellStyle="Normal 2"/>
  </tableColumns>
  <tableStyleInfo name="TableStyleMedium9" showFirstColumn="0" showLastColumn="0" showRowStripes="1" showColumnStripes="0"/>
</table>
</file>

<file path=xl/tables/table22.xml><?xml version="1.0" encoding="utf-8"?>
<table xmlns="http://schemas.openxmlformats.org/spreadsheetml/2006/main" id="26" name="Table_Transaction_Type" displayName="Table_Transaction_Type" ref="AO2:AP12" totalsRowShown="0" tableBorderDxfId="24">
  <autoFilter ref="AO2:AP12"/>
  <tableColumns count="2">
    <tableColumn id="1" name="Transaction Type" dataDxfId="23" dataCellStyle="Normal 2"/>
    <tableColumn id="2" name="Code" dataDxfId="22" dataCellStyle="Normal 2"/>
  </tableColumns>
  <tableStyleInfo name="TableStyleMedium9" showFirstColumn="0" showLastColumn="0" showRowStripes="1" showColumnStripes="0"/>
</table>
</file>

<file path=xl/tables/table23.xml><?xml version="1.0" encoding="utf-8"?>
<table xmlns="http://schemas.openxmlformats.org/spreadsheetml/2006/main" id="8" name="Table_Contact_Type" displayName="Table_Contact_Type" ref="AR2:AS6" totalsRowShown="0" tableBorderDxfId="21">
  <autoFilter ref="AR2:AS6"/>
  <tableColumns count="2">
    <tableColumn id="1" name="Code" dataDxfId="20" dataCellStyle="Normal 2"/>
    <tableColumn id="2" name="Contact_Type" dataDxfId="19" dataCellStyle="Normal 2"/>
  </tableColumns>
  <tableStyleInfo name="TableStyleMedium9" showFirstColumn="0" showLastColumn="0" showRowStripes="1" showColumnStripes="0"/>
</table>
</file>

<file path=xl/tables/table24.xml><?xml version="1.0" encoding="utf-8"?>
<table xmlns="http://schemas.openxmlformats.org/spreadsheetml/2006/main" id="11" name="Table_Activity_Dates" displayName="Table_Activity_Dates" ref="AU2:AU6" totalsRowShown="0" headerRowDxfId="18" dataDxfId="16" headerRowBorderDxfId="17" tableBorderDxfId="15" headerRowCellStyle="Normal 2" dataCellStyle="Normal 2">
  <autoFilter ref="AU2:AU6"/>
  <tableColumns count="1">
    <tableColumn id="1" name="Activity Date Type" dataDxfId="14" dataCellStyle="Normal 2"/>
  </tableColumns>
  <tableStyleInfo name="TableStyleMedium9" showFirstColumn="0" showLastColumn="0" showRowStripes="1" showColumnStripes="0"/>
</table>
</file>

<file path=xl/tables/table25.xml><?xml version="1.0" encoding="utf-8"?>
<table xmlns="http://schemas.openxmlformats.org/spreadsheetml/2006/main" id="23" name="Table_In_File" displayName="Table_In_File" ref="AW2:AY4" totalsRowShown="0" headerRowDxfId="13">
  <autoFilter ref="AW2:AY4"/>
  <tableColumns count="3">
    <tableColumn id="1" name="In this File"/>
    <tableColumn id="2" name="Activity Named Range"/>
    <tableColumn id="3" name="Title Named Range"/>
  </tableColumns>
  <tableStyleInfo name="TableStyleMedium9" showFirstColumn="0" showLastColumn="0" showRowStripes="1" showColumnStripes="0"/>
</table>
</file>

<file path=xl/tables/table26.xml><?xml version="1.0" encoding="utf-8"?>
<table xmlns="http://schemas.openxmlformats.org/spreadsheetml/2006/main" id="31" name="Table_Language" displayName="Table_Language" ref="E2:F183" totalsRowShown="0" dataDxfId="12" dataCellStyle="Normal 2">
  <autoFilter ref="E2:F183"/>
  <tableColumns count="2">
    <tableColumn id="1" name="Language" dataDxfId="11" dataCellStyle="Normal 2"/>
    <tableColumn id="2" name="Code" dataDxfId="10" dataCellStyle="Normal 2"/>
  </tableColumns>
  <tableStyleInfo name="TableStyleMedium9" showFirstColumn="0" showLastColumn="0" showRowStripes="1" showColumnStripes="0"/>
</table>
</file>

<file path=xl/tables/table27.xml><?xml version="1.0" encoding="utf-8"?>
<table xmlns="http://schemas.openxmlformats.org/spreadsheetml/2006/main" id="13" name="Table_WA_CPs" displayName="Table_WA_CPs" ref="B2:E26" totalsRowShown="0" headerRowDxfId="9">
  <autoFilter ref="B2:E26"/>
  <tableColumns count="4">
    <tableColumn id="1" name="Code" dataDxfId="8"/>
    <tableColumn id="2" name="Code2" dataDxfId="7"/>
    <tableColumn id="3" name="Website" dataDxfId="6"/>
    <tableColumn id="5" name="Date Started"/>
  </tableColumns>
  <tableStyleInfo name="TableStyleMedium9" showFirstColumn="0" showLastColumn="0" showRowStripes="1" showColumnStripes="0"/>
</table>
</file>

<file path=xl/tables/table28.xml><?xml version="1.0" encoding="utf-8"?>
<table xmlns="http://schemas.openxmlformats.org/spreadsheetml/2006/main" id="27" name="Table_WA_Date_Conversion" displayName="Table_WA_Date_Conversion" ref="N2:R6" totalsRowShown="0" headerRowDxfId="5">
  <autoFilter ref="N2:R6"/>
  <tableColumns count="5">
    <tableColumn id="1" name="Start Month Day"/>
    <tableColumn id="2" name="End Month Day"/>
    <tableColumn id="3" name="Quarter"/>
    <tableColumn id="4" name="Publish day"/>
    <tableColumn id="5" name="Add Year For Publish date" dataDxfId="4"/>
  </tableColumns>
  <tableStyleInfo name="TableStyleMedium9" showFirstColumn="0" showLastColumn="0" showRowStripes="1" showColumnStripes="0"/>
</table>
</file>

<file path=xl/tables/table29.xml><?xml version="1.0" encoding="utf-8"?>
<table xmlns="http://schemas.openxmlformats.org/spreadsheetml/2006/main" id="30" name="Table_WA_Transaction_Type" displayName="Table_WA_Transaction_Type" ref="G2:L6" totalsRowShown="0" headerRowDxfId="3">
  <autoFilter ref="G2:L6"/>
  <tableColumns count="6">
    <tableColumn id="1" name="WaterAid Transaction Types"/>
    <tableColumn id="2" name="Description" dataDxfId="2"/>
    <tableColumn id="3" name="Date Description" dataDxfId="1"/>
    <tableColumn id="4" name="Org Named Range"/>
    <tableColumn id="5" name="Providing organisation is Partner?"/>
    <tableColumn id="7" name="Recieving organisation is Reporting Organisation?"/>
  </tableColumns>
  <tableStyleInfo name="TableStyleMedium9" showFirstColumn="0" showLastColumn="0" showRowStripes="1" showColumnStripes="0"/>
</table>
</file>

<file path=xl/tables/table30.xml><?xml version="1.0" encoding="utf-8"?>
<table xmlns="http://schemas.openxmlformats.org/spreadsheetml/2006/main" id="4" name="Table_WA_Dates" displayName="Table_WA_Dates" ref="T2:U6" totalsRowShown="0" headerRowDxfId="0">
  <autoFilter ref="T2:U6"/>
  <tableColumns count="2">
    <tableColumn id="1" name="Activity Status"/>
    <tableColumn id="2" name="Description"/>
  </tableColumns>
  <tableStyleInfo name="TableStyleMedium9" showFirstColumn="0" showLastColumn="0" showRowStripes="1" showColumnStripes="0"/>
</table>
</file>

<file path=xl/tables/tableSingleCells1.xml><?xml version="1.0" encoding="utf-8"?>
<singleXmlCells xmlns="http://schemas.openxmlformats.org/spreadsheetml/2006/main">
  <singleXmlCell id="19" r="G12" connectionId="2">
    <xmlCellPr id="1" uniqueName="version">
      <xmlPr mapId="16" xpath="/iati-activities/@version" xmlDataType="double"/>
    </xmlCellPr>
  </singleXmlCell>
  <singleXmlCell id="28" r="G11" connectionId="2">
    <xmlCellPr id="1" uniqueName="generated-datetime">
      <xmlPr mapId="16" xpath="/iati-activities/@generated-datetime" xmlDataType="dateTime"/>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tableSingleCells" Target="../tables/tableSingleCells1.xml"/><Relationship Id="rId1" Type="http://schemas.openxmlformats.org/officeDocument/2006/relationships/vmlDrawing" Target="../drawings/vmlDrawing1.vml"/><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hyperlink" Target="mailto:iati-activity@xml:lang" TargetMode="External"/><Relationship Id="rId13" Type="http://schemas.openxmlformats.org/officeDocument/2006/relationships/hyperlink" Target="mailto:reporting-org@ref" TargetMode="External"/><Relationship Id="rId18" Type="http://schemas.openxmlformats.org/officeDocument/2006/relationships/hyperlink" Target="mailto:sector@vocabulary" TargetMode="External"/><Relationship Id="rId26" Type="http://schemas.openxmlformats.org/officeDocument/2006/relationships/comments" Target="../comments2.xml"/><Relationship Id="rId3" Type="http://schemas.openxmlformats.org/officeDocument/2006/relationships/hyperlink" Target="http://iatistandard.org/activities-standard/basic-activity-information/activity-contacts/email" TargetMode="External"/><Relationship Id="rId21" Type="http://schemas.openxmlformats.org/officeDocument/2006/relationships/hyperlink" Target="mailto:default-aid-type@code" TargetMode="External"/><Relationship Id="rId7" Type="http://schemas.openxmlformats.org/officeDocument/2006/relationships/hyperlink" Target="mailto:iati-activity@hierarchy" TargetMode="External"/><Relationship Id="rId12" Type="http://schemas.openxmlformats.org/officeDocument/2006/relationships/hyperlink" Target="mailto:reporting-org@type" TargetMode="External"/><Relationship Id="rId17" Type="http://schemas.openxmlformats.org/officeDocument/2006/relationships/hyperlink" Target="mailto:sector@percentage" TargetMode="External"/><Relationship Id="rId25" Type="http://schemas.openxmlformats.org/officeDocument/2006/relationships/table" Target="../tables/table4.xml"/><Relationship Id="rId2" Type="http://schemas.openxmlformats.org/officeDocument/2006/relationships/hyperlink" Target="http://iatistandard.org/activities-standard/basic-activity-information/activity-contacts/mailing-address" TargetMode="External"/><Relationship Id="rId16" Type="http://schemas.openxmlformats.org/officeDocument/2006/relationships/hyperlink" Target="mailto:sector@vocabulary" TargetMode="External"/><Relationship Id="rId20" Type="http://schemas.openxmlformats.org/officeDocument/2006/relationships/hyperlink" Target="mailto:default-finance-type@code" TargetMode="External"/><Relationship Id="rId1" Type="http://schemas.openxmlformats.org/officeDocument/2006/relationships/hyperlink" Target="http://iatistandard.org/activities-standard/related-documents/activity-documents" TargetMode="External"/><Relationship Id="rId6" Type="http://schemas.openxmlformats.org/officeDocument/2006/relationships/hyperlink" Target="http://iatistandard.org/activities-standard/related-documents/activity-documentshttp:/iatistandard.org/activities-standard/related-documents/activity-documents" TargetMode="External"/><Relationship Id="rId11" Type="http://schemas.openxmlformats.org/officeDocument/2006/relationships/hyperlink" Target="mailto:description@type" TargetMode="External"/><Relationship Id="rId24" Type="http://schemas.openxmlformats.org/officeDocument/2006/relationships/vmlDrawing" Target="../drawings/vmlDrawing2.vml"/><Relationship Id="rId5" Type="http://schemas.openxmlformats.org/officeDocument/2006/relationships/hyperlink" Target="http://www.wateraid.org/uk/open" TargetMode="External"/><Relationship Id="rId15" Type="http://schemas.openxmlformats.org/officeDocument/2006/relationships/hyperlink" Target="mailto:recipient-country@code" TargetMode="External"/><Relationship Id="rId23" Type="http://schemas.openxmlformats.org/officeDocument/2006/relationships/hyperlink" Target="mailto:contact-info@type" TargetMode="External"/><Relationship Id="rId10" Type="http://schemas.openxmlformats.org/officeDocument/2006/relationships/hyperlink" Target="mailto:iati-activity@last-updated-datetime" TargetMode="External"/><Relationship Id="rId19" Type="http://schemas.openxmlformats.org/officeDocument/2006/relationships/hyperlink" Target="mailto:default-flow-type@code" TargetMode="External"/><Relationship Id="rId4" Type="http://schemas.openxmlformats.org/officeDocument/2006/relationships/hyperlink" Target="http://iatistandard.org/activities-standard/contact-info/website/" TargetMode="External"/><Relationship Id="rId9" Type="http://schemas.openxmlformats.org/officeDocument/2006/relationships/hyperlink" Target="mailto:iati-activity@default-currency" TargetMode="External"/><Relationship Id="rId14" Type="http://schemas.openxmlformats.org/officeDocument/2006/relationships/hyperlink" Target="mailto:activity-status@code" TargetMode="External"/><Relationship Id="rId22" Type="http://schemas.openxmlformats.org/officeDocument/2006/relationships/hyperlink" Target="mailto:default-tied-status@code"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hyperlink" Target="mailto:activity-date@type" TargetMode="External"/><Relationship Id="rId1" Type="http://schemas.openxmlformats.org/officeDocument/2006/relationships/hyperlink" Target="mailto:activity-date@iso-date" TargetMode="Externa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hyperlink" Target="mailto:participating-org@ref" TargetMode="External"/><Relationship Id="rId2" Type="http://schemas.openxmlformats.org/officeDocument/2006/relationships/hyperlink" Target="mailto:participating-org@type" TargetMode="External"/><Relationship Id="rId1" Type="http://schemas.openxmlformats.org/officeDocument/2006/relationships/hyperlink" Target="mailto:participating-org@role" TargetMode="External"/><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8" Type="http://schemas.openxmlformats.org/officeDocument/2006/relationships/hyperlink" Target="mailto:value@value-date" TargetMode="External"/><Relationship Id="rId13" Type="http://schemas.openxmlformats.org/officeDocument/2006/relationships/hyperlink" Target="mailto:provider-org@provider-activity-id" TargetMode="External"/><Relationship Id="rId18" Type="http://schemas.openxmlformats.org/officeDocument/2006/relationships/hyperlink" Target="mailto:transaction@ref" TargetMode="External"/><Relationship Id="rId3" Type="http://schemas.openxmlformats.org/officeDocument/2006/relationships/hyperlink" Target="http://iatistandard.org/activities-standard/financial-transaction/transaction-receiver" TargetMode="External"/><Relationship Id="rId21" Type="http://schemas.openxmlformats.org/officeDocument/2006/relationships/comments" Target="../comments5.xml"/><Relationship Id="rId7" Type="http://schemas.openxmlformats.org/officeDocument/2006/relationships/hyperlink" Target="mailto:value@currency" TargetMode="External"/><Relationship Id="rId12" Type="http://schemas.openxmlformats.org/officeDocument/2006/relationships/hyperlink" Target="mailto:provider-org@ref" TargetMode="External"/><Relationship Id="rId17" Type="http://schemas.openxmlformats.org/officeDocument/2006/relationships/hyperlink" Target="mailto:receiver-org@receiver-activity-id" TargetMode="External"/><Relationship Id="rId2" Type="http://schemas.openxmlformats.org/officeDocument/2006/relationships/hyperlink" Target="http://iatistandard.org/activities-standard/financial-transaction/transaction-provider" TargetMode="External"/><Relationship Id="rId16" Type="http://schemas.openxmlformats.org/officeDocument/2006/relationships/hyperlink" Target="mailto:receiver-org@ref" TargetMode="External"/><Relationship Id="rId20" Type="http://schemas.openxmlformats.org/officeDocument/2006/relationships/table" Target="../tables/table7.xml"/><Relationship Id="rId1" Type="http://schemas.openxmlformats.org/officeDocument/2006/relationships/hyperlink" Target="http://iatistandard.org/activities-standard/financial-transaction/transaction-description" TargetMode="External"/><Relationship Id="rId6" Type="http://schemas.openxmlformats.org/officeDocument/2006/relationships/hyperlink" Target="mailto:transaction-date@iso-date" TargetMode="External"/><Relationship Id="rId11" Type="http://schemas.openxmlformats.org/officeDocument/2006/relationships/hyperlink" Target="http://iatistandard.org/activities-standard/financial-transaction/transaction-provider" TargetMode="External"/><Relationship Id="rId5" Type="http://schemas.openxmlformats.org/officeDocument/2006/relationships/hyperlink" Target="mailto:transaction-type@code" TargetMode="External"/><Relationship Id="rId15" Type="http://schemas.openxmlformats.org/officeDocument/2006/relationships/hyperlink" Target="http://iatistandard.org/activities-standard/financial-transaction/transaction-receiver" TargetMode="External"/><Relationship Id="rId10" Type="http://schemas.openxmlformats.org/officeDocument/2006/relationships/hyperlink" Target="http://iatistandard.org/activities-standard/financial-transaction/transaction-provider" TargetMode="External"/><Relationship Id="rId19" Type="http://schemas.openxmlformats.org/officeDocument/2006/relationships/vmlDrawing" Target="../drawings/vmlDrawing5.vml"/><Relationship Id="rId4" Type="http://schemas.openxmlformats.org/officeDocument/2006/relationships/hyperlink" Target="http://iatistandard.org/activities-standard/financial-transaction/transaction" TargetMode="External"/><Relationship Id="rId9" Type="http://schemas.openxmlformats.org/officeDocument/2006/relationships/hyperlink" Target="mailto:flow-type@code" TargetMode="External"/><Relationship Id="rId14" Type="http://schemas.openxmlformats.org/officeDocument/2006/relationships/hyperlink" Target="http://iatistandard.org/activities-standard/financial-transaction/transaction-receiver"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hyperlink" Target="mailto:related-activity@type" TargetMode="External"/><Relationship Id="rId1" Type="http://schemas.openxmlformats.org/officeDocument/2006/relationships/hyperlink" Target="mailto:related-activity@ref" TargetMode="External"/><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 Type="http://schemas.openxmlformats.org/officeDocument/2006/relationships/table" Target="../tables/table11.xml"/><Relationship Id="rId16" Type="http://schemas.openxmlformats.org/officeDocument/2006/relationships/table" Target="../tables/table25.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bin"/><Relationship Id="rId5" Type="http://schemas.openxmlformats.org/officeDocument/2006/relationships/table" Target="../tables/table30.xml"/><Relationship Id="rId4"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rereq">
    <tabColor theme="6" tint="-0.249977111117893"/>
    <pageSetUpPr fitToPage="1"/>
  </sheetPr>
  <dimension ref="A2:J56"/>
  <sheetViews>
    <sheetView zoomScaleNormal="100" zoomScalePageLayoutView="70" workbookViewId="0">
      <selection activeCell="C14" sqref="C14"/>
    </sheetView>
  </sheetViews>
  <sheetFormatPr defaultRowHeight="15"/>
  <cols>
    <col min="1" max="1" width="29.28515625" customWidth="1"/>
    <col min="2" max="2" width="3.85546875" style="210" customWidth="1"/>
    <col min="3" max="3" width="42.28515625" style="87" customWidth="1"/>
    <col min="4" max="4" width="18.42578125" style="87" customWidth="1"/>
    <col min="5" max="5" width="16.28515625" customWidth="1"/>
    <col min="6" max="6" width="16.42578125" customWidth="1"/>
    <col min="7" max="7" width="4.28515625" customWidth="1"/>
    <col min="8" max="8" width="14.42578125" customWidth="1"/>
    <col min="9" max="9" width="30.140625" customWidth="1"/>
    <col min="10" max="10" width="24.5703125" customWidth="1"/>
  </cols>
  <sheetData>
    <row r="2" spans="1:9" s="76" customFormat="1">
      <c r="A2" s="76" t="s">
        <v>1425</v>
      </c>
      <c r="B2" s="210"/>
      <c r="C2" s="87"/>
      <c r="D2" s="87"/>
    </row>
    <row r="3" spans="1:9" s="76" customFormat="1" ht="15.75" thickBot="1">
      <c r="B3" s="210"/>
      <c r="C3" s="87"/>
      <c r="D3" s="87"/>
    </row>
    <row r="4" spans="1:9" s="210" customFormat="1" ht="16.5" customHeight="1" thickBot="1">
      <c r="B4" s="404" t="s">
        <v>1463</v>
      </c>
      <c r="C4" s="405"/>
      <c r="D4" s="405"/>
      <c r="E4" s="406"/>
    </row>
    <row r="5" spans="1:9" s="210" customFormat="1" ht="15" customHeight="1">
      <c r="B5" s="246"/>
      <c r="C5" s="417" t="s">
        <v>1502</v>
      </c>
      <c r="D5" s="417"/>
      <c r="E5" s="418"/>
    </row>
    <row r="6" spans="1:9" s="210" customFormat="1" ht="15" customHeight="1">
      <c r="B6" s="247"/>
      <c r="C6" s="419" t="s">
        <v>1450</v>
      </c>
      <c r="D6" s="419"/>
      <c r="E6" s="420"/>
    </row>
    <row r="7" spans="1:9" s="210" customFormat="1" ht="15.75" customHeight="1" thickBot="1">
      <c r="B7" s="248"/>
      <c r="C7" s="421" t="s">
        <v>1526</v>
      </c>
      <c r="D7" s="421"/>
      <c r="E7" s="422"/>
    </row>
    <row r="8" spans="1:9" s="210" customFormat="1">
      <c r="C8" s="211"/>
      <c r="D8" s="211"/>
    </row>
    <row r="9" spans="1:9" s="84" customFormat="1" ht="15.75">
      <c r="A9" s="408" t="s">
        <v>1525</v>
      </c>
      <c r="B9" s="408"/>
      <c r="C9" s="408"/>
      <c r="D9" s="87"/>
      <c r="E9" s="408" t="s">
        <v>1524</v>
      </c>
      <c r="F9" s="408"/>
      <c r="G9" s="408"/>
      <c r="H9" s="408"/>
      <c r="I9" s="408"/>
    </row>
    <row r="10" spans="1:9" s="84" customFormat="1">
      <c r="A10" s="409" t="s">
        <v>1518</v>
      </c>
      <c r="B10" s="409"/>
      <c r="C10" s="240" t="s">
        <v>1199</v>
      </c>
      <c r="D10" s="87"/>
      <c r="E10" s="409" t="s">
        <v>1521</v>
      </c>
      <c r="F10" s="409"/>
      <c r="G10" s="411" t="str">
        <f>"wa-opendata-" &amp; LOWER(VLOOKUP(info_Activity_File,Table_WA_CPs[],2,FALSE)) &amp; ".xml"</f>
        <v>wa-opendata-ug.xml</v>
      </c>
      <c r="H10" s="411"/>
      <c r="I10" s="411"/>
    </row>
    <row r="11" spans="1:9" s="210" customFormat="1" ht="15" customHeight="1">
      <c r="A11" s="425" t="s">
        <v>1907</v>
      </c>
      <c r="B11" s="425"/>
      <c r="C11" s="309">
        <v>41456</v>
      </c>
      <c r="D11" s="211"/>
      <c r="E11" s="409" t="s">
        <v>1522</v>
      </c>
      <c r="F11" s="409"/>
      <c r="G11" s="412" t="s">
        <v>1527</v>
      </c>
      <c r="H11" s="412"/>
      <c r="I11" s="412"/>
    </row>
    <row r="12" spans="1:9" s="307" customFormat="1">
      <c r="A12" s="425" t="s">
        <v>1908</v>
      </c>
      <c r="B12" s="425"/>
      <c r="C12" s="309">
        <v>41547</v>
      </c>
      <c r="D12" s="308"/>
      <c r="E12" s="410" t="s">
        <v>1523</v>
      </c>
      <c r="F12" s="410"/>
      <c r="G12" s="413">
        <v>1.03</v>
      </c>
      <c r="H12" s="413"/>
      <c r="I12" s="413"/>
    </row>
    <row r="13" spans="1:9" s="305" customFormat="1">
      <c r="A13" s="310"/>
      <c r="B13" s="311" t="s">
        <v>1906</v>
      </c>
      <c r="C13" s="309">
        <v>41639</v>
      </c>
      <c r="D13" s="306"/>
    </row>
    <row r="14" spans="1:9" s="84" customFormat="1">
      <c r="A14" s="414" t="s">
        <v>1519</v>
      </c>
      <c r="B14" s="414"/>
      <c r="C14" s="241">
        <v>41627.5</v>
      </c>
      <c r="D14" s="87"/>
    </row>
    <row r="15" spans="1:9" s="84" customFormat="1">
      <c r="A15" s="414" t="s">
        <v>1520</v>
      </c>
      <c r="B15" s="414"/>
      <c r="C15" s="212" t="s">
        <v>1517</v>
      </c>
      <c r="D15" s="87"/>
    </row>
    <row r="16" spans="1:9" s="76" customFormat="1">
      <c r="B16" s="210"/>
      <c r="C16" s="87"/>
      <c r="D16" s="87"/>
    </row>
    <row r="17" spans="1:10" s="78" customFormat="1" ht="45" customHeight="1">
      <c r="A17" s="407" t="s">
        <v>1443</v>
      </c>
      <c r="B17" s="407"/>
      <c r="C17" s="87" t="s">
        <v>1442</v>
      </c>
      <c r="D17" s="87" t="s">
        <v>46</v>
      </c>
      <c r="E17" s="87" t="s">
        <v>1441</v>
      </c>
      <c r="F17" s="78" t="s">
        <v>1150</v>
      </c>
      <c r="H17" s="407" t="s">
        <v>1426</v>
      </c>
      <c r="I17" s="78" t="s">
        <v>1115</v>
      </c>
      <c r="J17" s="78" t="s">
        <v>45</v>
      </c>
    </row>
    <row r="18" spans="1:10">
      <c r="A18" s="407"/>
      <c r="B18" s="407"/>
      <c r="C18" s="242" t="s">
        <v>65</v>
      </c>
      <c r="D18" s="242" t="s">
        <v>79</v>
      </c>
      <c r="E18" s="243" t="s">
        <v>1444</v>
      </c>
      <c r="F18" s="244" t="s">
        <v>142</v>
      </c>
      <c r="H18" s="407"/>
      <c r="I18" s="245" t="str">
        <f>CONCATENATE(VLOOKUP(info_reporting_org_name,Data_Org[],4,FALSE), "-", VLOOKUP(info_Activity_File, Table_WA_CPs[],2,FALSE))</f>
        <v>GB-CHC-288701-UG</v>
      </c>
      <c r="J18" s="245" t="str">
        <f>CONCATENATE("WaterAid ", info_Activity_File)</f>
        <v>WaterAid Uganda</v>
      </c>
    </row>
    <row r="19" spans="1:10" ht="30">
      <c r="A19" s="407"/>
      <c r="B19" s="407"/>
      <c r="C19" s="349" t="s">
        <v>1931</v>
      </c>
      <c r="D19" s="322" t="s">
        <v>77</v>
      </c>
      <c r="E19" s="352" t="s">
        <v>1976</v>
      </c>
      <c r="F19" s="79"/>
      <c r="H19" s="407"/>
    </row>
    <row r="20" spans="1:10">
      <c r="A20" s="407"/>
      <c r="B20" s="407"/>
      <c r="C20" s="349" t="s">
        <v>1932</v>
      </c>
      <c r="D20" s="322" t="s">
        <v>83</v>
      </c>
      <c r="E20" s="352" t="s">
        <v>1977</v>
      </c>
      <c r="F20" s="79"/>
    </row>
    <row r="21" spans="1:10">
      <c r="A21" s="407"/>
      <c r="B21" s="407"/>
      <c r="C21" s="349" t="s">
        <v>1933</v>
      </c>
      <c r="D21" s="322" t="s">
        <v>83</v>
      </c>
      <c r="E21" s="352" t="s">
        <v>1978</v>
      </c>
      <c r="F21" s="79"/>
    </row>
    <row r="22" spans="1:10">
      <c r="A22" s="407"/>
      <c r="B22" s="407"/>
      <c r="C22" s="349" t="s">
        <v>1934</v>
      </c>
      <c r="D22" s="322" t="s">
        <v>79</v>
      </c>
      <c r="E22" s="352" t="s">
        <v>1979</v>
      </c>
      <c r="F22" s="79"/>
    </row>
    <row r="23" spans="1:10" ht="45">
      <c r="A23" s="407"/>
      <c r="B23" s="407"/>
      <c r="C23" s="349" t="s">
        <v>1935</v>
      </c>
      <c r="D23" s="322" t="s">
        <v>77</v>
      </c>
      <c r="E23" s="352" t="s">
        <v>1980</v>
      </c>
      <c r="F23" s="79"/>
    </row>
    <row r="24" spans="1:10" ht="30">
      <c r="A24" s="407"/>
      <c r="B24" s="407"/>
      <c r="C24" s="349" t="s">
        <v>1936</v>
      </c>
      <c r="D24" s="322" t="s">
        <v>84</v>
      </c>
      <c r="E24" s="352" t="s">
        <v>1981</v>
      </c>
      <c r="F24" s="79"/>
    </row>
    <row r="25" spans="1:10" ht="45" customHeight="1" thickBot="1">
      <c r="A25" s="423" t="s">
        <v>1490</v>
      </c>
      <c r="B25" s="424"/>
      <c r="C25" s="349" t="s">
        <v>1937</v>
      </c>
      <c r="D25" s="351" t="s">
        <v>86</v>
      </c>
      <c r="E25" s="352" t="s">
        <v>1982</v>
      </c>
      <c r="F25" s="350"/>
    </row>
    <row r="26" spans="1:10" ht="45" customHeight="1" thickBot="1">
      <c r="A26" s="415" t="s">
        <v>1491</v>
      </c>
      <c r="B26" s="416"/>
      <c r="C26" s="321" t="s">
        <v>1939</v>
      </c>
      <c r="D26" s="351" t="s">
        <v>80</v>
      </c>
      <c r="E26" s="320" t="s">
        <v>1952</v>
      </c>
      <c r="F26" s="79"/>
    </row>
    <row r="27" spans="1:10">
      <c r="C27" s="321" t="s">
        <v>1940</v>
      </c>
      <c r="D27" s="321" t="s">
        <v>80</v>
      </c>
      <c r="E27" s="320" t="s">
        <v>1953</v>
      </c>
      <c r="F27" s="79"/>
    </row>
    <row r="28" spans="1:10">
      <c r="C28" s="402" t="s">
        <v>2050</v>
      </c>
      <c r="D28" s="321" t="s">
        <v>80</v>
      </c>
      <c r="E28" s="320" t="s">
        <v>1954</v>
      </c>
      <c r="F28" s="79"/>
    </row>
    <row r="29" spans="1:10">
      <c r="C29" s="321" t="s">
        <v>1941</v>
      </c>
      <c r="D29" s="321" t="s">
        <v>80</v>
      </c>
      <c r="E29" s="320" t="s">
        <v>1955</v>
      </c>
      <c r="F29" s="79"/>
    </row>
    <row r="30" spans="1:10">
      <c r="C30" s="321" t="s">
        <v>1942</v>
      </c>
      <c r="D30" s="321" t="s">
        <v>80</v>
      </c>
      <c r="E30" s="320" t="s">
        <v>1956</v>
      </c>
      <c r="F30" s="79"/>
    </row>
    <row r="31" spans="1:10">
      <c r="C31" s="321" t="s">
        <v>1943</v>
      </c>
      <c r="D31" s="321" t="s">
        <v>80</v>
      </c>
      <c r="E31" s="320" t="s">
        <v>1957</v>
      </c>
      <c r="F31" s="79"/>
    </row>
    <row r="32" spans="1:10">
      <c r="C32" s="321" t="s">
        <v>1944</v>
      </c>
      <c r="D32" s="321" t="s">
        <v>80</v>
      </c>
      <c r="E32" s="320" t="s">
        <v>1958</v>
      </c>
      <c r="F32" s="79"/>
    </row>
    <row r="33" spans="3:7">
      <c r="C33" s="321" t="s">
        <v>1945</v>
      </c>
      <c r="D33" s="321" t="s">
        <v>80</v>
      </c>
      <c r="E33" s="320" t="s">
        <v>1959</v>
      </c>
      <c r="F33" s="79"/>
    </row>
    <row r="34" spans="3:7">
      <c r="C34" s="321" t="s">
        <v>1946</v>
      </c>
      <c r="D34" s="321" t="s">
        <v>80</v>
      </c>
      <c r="E34" s="320" t="s">
        <v>1960</v>
      </c>
      <c r="F34" s="79"/>
    </row>
    <row r="35" spans="3:7">
      <c r="C35" s="321" t="s">
        <v>1947</v>
      </c>
      <c r="D35" s="321" t="s">
        <v>80</v>
      </c>
      <c r="E35" s="320" t="s">
        <v>1961</v>
      </c>
      <c r="F35" s="79"/>
    </row>
    <row r="36" spans="3:7">
      <c r="C36" s="321" t="s">
        <v>1948</v>
      </c>
      <c r="D36" s="321" t="s">
        <v>80</v>
      </c>
      <c r="E36" s="320" t="s">
        <v>1962</v>
      </c>
      <c r="F36" s="79"/>
    </row>
    <row r="37" spans="3:7">
      <c r="C37" s="321" t="s">
        <v>1949</v>
      </c>
      <c r="D37" s="321" t="s">
        <v>80</v>
      </c>
      <c r="E37" s="320" t="s">
        <v>1963</v>
      </c>
      <c r="F37" s="79"/>
    </row>
    <row r="38" spans="3:7" ht="30">
      <c r="C38" s="321" t="s">
        <v>1950</v>
      </c>
      <c r="D38" s="321" t="s">
        <v>80</v>
      </c>
      <c r="E38" s="320" t="s">
        <v>1964</v>
      </c>
      <c r="F38" s="79"/>
    </row>
    <row r="39" spans="3:7">
      <c r="C39" s="321" t="s">
        <v>1951</v>
      </c>
      <c r="D39" s="321" t="s">
        <v>80</v>
      </c>
      <c r="E39" s="320" t="s">
        <v>1965</v>
      </c>
      <c r="F39" s="79"/>
      <c r="G39" s="31"/>
    </row>
    <row r="40" spans="3:7">
      <c r="C40"/>
      <c r="D40"/>
      <c r="G40" s="31"/>
    </row>
    <row r="41" spans="3:7">
      <c r="C41"/>
      <c r="D41"/>
      <c r="G41" s="31"/>
    </row>
    <row r="42" spans="3:7">
      <c r="C42"/>
      <c r="D42"/>
      <c r="G42" s="31"/>
    </row>
    <row r="43" spans="3:7">
      <c r="C43"/>
      <c r="D43"/>
      <c r="G43" s="31"/>
    </row>
    <row r="44" spans="3:7">
      <c r="C44"/>
      <c r="D44"/>
      <c r="G44" s="31"/>
    </row>
    <row r="45" spans="3:7">
      <c r="C45"/>
      <c r="D45"/>
      <c r="G45" s="31"/>
    </row>
    <row r="46" spans="3:7">
      <c r="C46"/>
      <c r="D46"/>
      <c r="G46" s="23"/>
    </row>
    <row r="47" spans="3:7">
      <c r="C47"/>
      <c r="D47"/>
    </row>
    <row r="48" spans="3:7">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sheetData>
  <mergeCells count="21">
    <mergeCell ref="A26:B26"/>
    <mergeCell ref="A17:B24"/>
    <mergeCell ref="C5:E5"/>
    <mergeCell ref="C6:E6"/>
    <mergeCell ref="C7:E7"/>
    <mergeCell ref="A25:B25"/>
    <mergeCell ref="A15:B15"/>
    <mergeCell ref="A10:B10"/>
    <mergeCell ref="A11:B11"/>
    <mergeCell ref="A12:B12"/>
    <mergeCell ref="B4:E4"/>
    <mergeCell ref="H17:H19"/>
    <mergeCell ref="A9:C9"/>
    <mergeCell ref="E10:F10"/>
    <mergeCell ref="E11:F11"/>
    <mergeCell ref="E12:F12"/>
    <mergeCell ref="G10:I10"/>
    <mergeCell ref="G11:I11"/>
    <mergeCell ref="G12:I12"/>
    <mergeCell ref="E9:I9"/>
    <mergeCell ref="A14:B14"/>
  </mergeCells>
  <dataValidations count="3">
    <dataValidation type="list" allowBlank="1" showInputMessage="1" showErrorMessage="1" sqref="D18">
      <formula1>List_Org_Type</formula1>
    </dataValidation>
    <dataValidation type="list" allowBlank="1" showInputMessage="1" showErrorMessage="1" sqref="C10">
      <formula1>List_WA_CP</formula1>
    </dataValidation>
    <dataValidation type="list" allowBlank="1" showInputMessage="1" showErrorMessage="1" sqref="D19:D39">
      <formula1>Donor_Category</formula1>
    </dataValidation>
  </dataValidations>
  <pageMargins left="0.17142857142857143" right="0.17455357142857142" top="0.17857142857142858" bottom="0.17455357142857142" header="0.3" footer="0.3"/>
  <pageSetup paperSize="9" scale="51" fitToHeight="0" orientation="portrait"/>
  <legacyDrawing r:id="rId1"/>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oot">
    <tabColor theme="5" tint="0.39997558519241921"/>
  </sheetPr>
  <dimension ref="A1:D89"/>
  <sheetViews>
    <sheetView workbookViewId="0">
      <selection sqref="A1:B1"/>
    </sheetView>
  </sheetViews>
  <sheetFormatPr defaultRowHeight="15"/>
  <cols>
    <col min="1" max="1" width="22.140625" style="87" customWidth="1"/>
    <col min="2" max="2" width="4.42578125" style="87" customWidth="1"/>
    <col min="3" max="3" width="19.5703125" style="177" customWidth="1"/>
    <col min="4" max="4" width="37.42578125" style="177" customWidth="1"/>
    <col min="5" max="16384" width="9.140625" style="177"/>
  </cols>
  <sheetData>
    <row r="1" spans="1:4" ht="15.75" customHeight="1">
      <c r="A1" s="433" t="s">
        <v>1460</v>
      </c>
      <c r="B1" s="433"/>
      <c r="C1" s="175" t="s">
        <v>1503</v>
      </c>
      <c r="D1" s="164" t="s">
        <v>1475</v>
      </c>
    </row>
    <row r="2" spans="1:4" ht="15.75">
      <c r="A2" s="1"/>
      <c r="B2" s="1"/>
      <c r="C2" s="1"/>
      <c r="D2" s="179"/>
    </row>
    <row r="3" spans="1:4" ht="16.5" thickBot="1">
      <c r="A3" s="176"/>
      <c r="B3" s="176"/>
      <c r="C3" s="179"/>
      <c r="D3" s="179"/>
    </row>
    <row r="4" spans="1:4" ht="16.5" customHeight="1" thickBot="1">
      <c r="A4" s="176"/>
      <c r="B4" s="404" t="s">
        <v>1463</v>
      </c>
      <c r="C4" s="405"/>
      <c r="D4" s="406"/>
    </row>
    <row r="5" spans="1:4" ht="30" customHeight="1">
      <c r="A5" s="176"/>
      <c r="B5" s="117"/>
      <c r="C5" s="434" t="s">
        <v>1502</v>
      </c>
      <c r="D5" s="435"/>
    </row>
    <row r="6" spans="1:4" ht="15.75" customHeight="1" thickBot="1">
      <c r="A6" s="176"/>
      <c r="B6" s="118"/>
      <c r="C6" s="436" t="s">
        <v>1450</v>
      </c>
      <c r="D6" s="437"/>
    </row>
    <row r="7" spans="1:4">
      <c r="A7" s="1"/>
      <c r="B7" s="1"/>
      <c r="C7" s="1"/>
      <c r="D7" s="1"/>
    </row>
    <row r="8" spans="1:4" ht="15.75" customHeight="1">
      <c r="A8" s="430" t="s">
        <v>1508</v>
      </c>
      <c r="B8" s="430"/>
      <c r="C8" s="430"/>
      <c r="D8" s="430"/>
    </row>
    <row r="9" spans="1:4" ht="27" customHeight="1">
      <c r="A9" s="430"/>
      <c r="B9" s="430"/>
      <c r="C9" s="430"/>
      <c r="D9" s="430"/>
    </row>
    <row r="10" spans="1:4" ht="15" customHeight="1">
      <c r="A10" s="1"/>
      <c r="B10" s="203"/>
      <c r="C10" s="203"/>
      <c r="D10" s="203"/>
    </row>
    <row r="11" spans="1:4" ht="15" customHeight="1">
      <c r="A11" s="1"/>
      <c r="B11" s="204"/>
      <c r="C11" s="203"/>
      <c r="D11" s="203"/>
    </row>
    <row r="12" spans="1:4" ht="15.75" customHeight="1">
      <c r="A12" s="1"/>
      <c r="B12" s="203"/>
      <c r="C12" s="203"/>
      <c r="D12" s="203"/>
    </row>
    <row r="13" spans="1:4">
      <c r="A13" s="1"/>
      <c r="B13" s="123"/>
      <c r="C13" s="105"/>
      <c r="D13" s="1"/>
    </row>
    <row r="14" spans="1:4" ht="16.5" customHeight="1">
      <c r="A14" s="438"/>
      <c r="B14" s="438"/>
      <c r="C14" s="438"/>
      <c r="D14" s="179"/>
    </row>
    <row r="15" spans="1:4" ht="7.5" customHeight="1">
      <c r="A15" s="182"/>
      <c r="B15" s="182"/>
      <c r="C15" s="182"/>
      <c r="D15" s="179"/>
    </row>
    <row r="16" spans="1:4" ht="7.5" customHeight="1" thickBot="1">
      <c r="A16" s="1"/>
      <c r="B16" s="1"/>
      <c r="C16" s="1"/>
      <c r="D16" s="1"/>
    </row>
    <row r="17" spans="1:4" ht="31.5" customHeight="1">
      <c r="A17" s="431" t="s">
        <v>1509</v>
      </c>
      <c r="B17" s="432"/>
      <c r="C17" s="426" t="s">
        <v>1506</v>
      </c>
      <c r="D17" s="427"/>
    </row>
    <row r="18" spans="1:4" ht="55.5" customHeight="1">
      <c r="A18" s="180" t="s">
        <v>1459</v>
      </c>
      <c r="B18" s="187"/>
      <c r="C18" s="428" t="s">
        <v>1507</v>
      </c>
      <c r="D18" s="429"/>
    </row>
    <row r="19" spans="1:4" ht="48.75" customHeight="1">
      <c r="A19" s="119" t="s">
        <v>1464</v>
      </c>
      <c r="B19" s="103"/>
      <c r="C19" s="136" t="s">
        <v>1440</v>
      </c>
      <c r="D19" s="137" t="s">
        <v>1469</v>
      </c>
    </row>
    <row r="20" spans="1:4" ht="47.25" customHeight="1" thickBot="1">
      <c r="A20" s="178" t="s">
        <v>1465</v>
      </c>
      <c r="B20" s="186"/>
      <c r="C20" s="193" t="s">
        <v>1504</v>
      </c>
      <c r="D20" s="194" t="s">
        <v>1505</v>
      </c>
    </row>
    <row r="21" spans="1:4">
      <c r="C21" s="205">
        <f>info_IATI_standard_version</f>
        <v>1.03</v>
      </c>
      <c r="D21" s="206" t="str">
        <f>info_last_file_update_time</f>
        <v>2013-12-19T12:00:00Z</v>
      </c>
    </row>
    <row r="83" spans="1:4" s="87" customFormat="1">
      <c r="A83" s="31"/>
      <c r="B83" s="31"/>
      <c r="C83" s="177"/>
      <c r="D83" s="177"/>
    </row>
    <row r="84" spans="1:4" s="87" customFormat="1">
      <c r="A84" s="31"/>
      <c r="B84" s="31"/>
      <c r="C84" s="177"/>
      <c r="D84" s="177"/>
    </row>
    <row r="85" spans="1:4" s="87" customFormat="1">
      <c r="A85" s="31"/>
      <c r="B85" s="31"/>
      <c r="C85" s="177"/>
      <c r="D85" s="177"/>
    </row>
    <row r="86" spans="1:4" s="87" customFormat="1">
      <c r="A86" s="31"/>
      <c r="B86" s="31"/>
      <c r="C86" s="177"/>
      <c r="D86" s="177"/>
    </row>
    <row r="87" spans="1:4" s="87" customFormat="1">
      <c r="A87" s="31"/>
      <c r="B87" s="31"/>
      <c r="C87" s="177"/>
      <c r="D87" s="177"/>
    </row>
    <row r="88" spans="1:4" s="87" customFormat="1">
      <c r="A88" s="31"/>
      <c r="B88" s="31"/>
      <c r="C88" s="177"/>
      <c r="D88" s="177"/>
    </row>
    <row r="89" spans="1:4" s="87" customFormat="1">
      <c r="A89" s="31"/>
      <c r="B89" s="31"/>
      <c r="C89" s="177"/>
      <c r="D89" s="177"/>
    </row>
  </sheetData>
  <mergeCells count="9">
    <mergeCell ref="C17:D17"/>
    <mergeCell ref="C18:D18"/>
    <mergeCell ref="A8:D9"/>
    <mergeCell ref="A17:B17"/>
    <mergeCell ref="A1:B1"/>
    <mergeCell ref="B4:D4"/>
    <mergeCell ref="C5:D5"/>
    <mergeCell ref="C6:D6"/>
    <mergeCell ref="A14:C14"/>
  </mergeCells>
  <pageMargins left="0.7" right="0.7" top="0.75" bottom="0.75" header="0.3" footer="0.3"/>
  <pageSetup paperSize="9" orientation="portrait" verticalDpi="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ain">
    <tabColor theme="5" tint="0.39997558519241921"/>
    <pageSetUpPr fitToPage="1"/>
  </sheetPr>
  <dimension ref="A1:AK28"/>
  <sheetViews>
    <sheetView topLeftCell="A20" zoomScale="85" zoomScaleNormal="85" zoomScaleSheetLayoutView="55" zoomScalePageLayoutView="70" workbookViewId="0">
      <selection activeCell="K21" sqref="K21"/>
    </sheetView>
  </sheetViews>
  <sheetFormatPr defaultRowHeight="15"/>
  <cols>
    <col min="1" max="1" width="22.140625" style="87" customWidth="1"/>
    <col min="2" max="2" width="4" style="87" customWidth="1"/>
    <col min="3" max="3" width="15.42578125" style="3" customWidth="1"/>
    <col min="4" max="4" width="11.5703125" style="67" customWidth="1"/>
    <col min="5" max="5" width="11.28515625" customWidth="1"/>
    <col min="6" max="6" width="11.42578125" style="4" customWidth="1"/>
    <col min="7" max="7" width="9" style="4" customWidth="1"/>
    <col min="8" max="8" width="19.85546875" style="4" customWidth="1"/>
    <col min="9" max="9" width="21" style="4" customWidth="1"/>
    <col min="10" max="10" width="46.7109375" style="67" customWidth="1"/>
    <col min="11" max="11" width="102.7109375" style="34" customWidth="1"/>
    <col min="12" max="12" width="7.42578125" style="3" customWidth="1"/>
    <col min="13" max="13" width="16" style="4" customWidth="1"/>
    <col min="14" max="14" width="15.28515625" style="14" customWidth="1"/>
    <col min="15" max="15" width="8.140625" style="14" customWidth="1"/>
    <col min="16" max="16" width="18.42578125" style="4" customWidth="1"/>
    <col min="17" max="17" width="9.28515625" style="4" customWidth="1"/>
    <col min="18" max="18" width="14.7109375" style="4" customWidth="1"/>
    <col min="19" max="19" width="8.5703125" style="4" customWidth="1"/>
    <col min="20" max="20" width="10.7109375" customWidth="1"/>
    <col min="21" max="21" width="33.5703125" style="4" customWidth="1"/>
    <col min="22" max="22" width="6.28515625" style="4" customWidth="1"/>
    <col min="23" max="23" width="10.7109375" customWidth="1"/>
    <col min="24" max="24" width="33.28515625" style="14" customWidth="1"/>
    <col min="25" max="25" width="36" style="4" customWidth="1"/>
    <col min="26" max="26" width="6.140625" customWidth="1"/>
    <col min="27" max="27" width="48.140625" style="23" customWidth="1"/>
    <col min="28" max="28" width="6.42578125" style="23" customWidth="1"/>
    <col min="29" max="29" width="26.85546875" style="18" customWidth="1"/>
    <col min="30" max="30" width="7.85546875" style="19" customWidth="1"/>
    <col min="31" max="31" width="21.140625" style="18" customWidth="1"/>
    <col min="32" max="32" width="7.7109375" style="19" customWidth="1"/>
    <col min="33" max="33" width="32.140625" style="31" customWidth="1"/>
    <col min="34" max="34" width="16.7109375" style="3" customWidth="1"/>
    <col min="35" max="35" width="22.7109375" style="4" customWidth="1"/>
    <col min="36" max="36" width="24" style="4" customWidth="1"/>
    <col min="37" max="37" width="24" style="15" customWidth="1"/>
    <col min="38" max="16384" width="9.140625" style="3"/>
  </cols>
  <sheetData>
    <row r="1" spans="1:37" s="87" customFormat="1">
      <c r="A1" s="433" t="s">
        <v>1460</v>
      </c>
      <c r="B1" s="433"/>
      <c r="C1" s="160" t="s">
        <v>1472</v>
      </c>
      <c r="D1" s="161"/>
      <c r="E1" s="162"/>
      <c r="F1" s="165"/>
      <c r="G1" s="164" t="s">
        <v>1475</v>
      </c>
      <c r="H1" s="165"/>
      <c r="I1" s="165"/>
      <c r="J1" s="161"/>
      <c r="K1" s="171"/>
      <c r="L1" s="172"/>
      <c r="M1" s="165"/>
      <c r="N1" s="170"/>
      <c r="O1" s="170"/>
      <c r="P1" s="165"/>
      <c r="Q1" s="165"/>
      <c r="R1" s="165"/>
      <c r="S1" s="165"/>
      <c r="T1" s="173"/>
      <c r="U1" s="165"/>
      <c r="V1" s="165"/>
      <c r="W1" s="173"/>
      <c r="X1" s="170"/>
      <c r="Y1" s="165"/>
      <c r="Z1" s="173"/>
      <c r="AA1" s="165"/>
      <c r="AB1" s="165"/>
      <c r="AC1" s="172"/>
      <c r="AD1" s="165"/>
      <c r="AE1" s="172"/>
      <c r="AF1" s="165"/>
      <c r="AG1" s="165"/>
      <c r="AH1" s="172"/>
      <c r="AI1" s="165"/>
      <c r="AJ1" s="165"/>
      <c r="AK1" s="165"/>
    </row>
    <row r="2" spans="1:37" ht="34.5" customHeight="1" thickBot="1">
      <c r="B2" s="464" t="s">
        <v>21</v>
      </c>
      <c r="C2" s="464"/>
      <c r="D2" s="464"/>
      <c r="E2" s="464"/>
      <c r="F2" s="464"/>
      <c r="G2" s="464"/>
      <c r="H2" s="464"/>
      <c r="I2" s="464"/>
      <c r="J2" s="464"/>
      <c r="K2" s="110"/>
      <c r="L2" s="110"/>
      <c r="M2" s="110"/>
      <c r="N2" s="110"/>
      <c r="O2" s="110"/>
      <c r="P2" s="110"/>
      <c r="Q2" s="110"/>
      <c r="R2" s="110"/>
      <c r="S2" s="110"/>
      <c r="T2" s="107"/>
      <c r="U2" s="107"/>
      <c r="V2" s="107"/>
      <c r="W2" s="109"/>
      <c r="X2" s="112"/>
      <c r="Y2" s="112"/>
      <c r="Z2" s="112"/>
      <c r="AA2" s="112"/>
      <c r="AB2" s="112"/>
      <c r="AC2" s="112"/>
      <c r="AD2" s="112"/>
      <c r="AE2" s="2"/>
      <c r="AF2" s="2"/>
      <c r="AG2" s="2"/>
      <c r="AH2" s="2"/>
      <c r="AI2" s="2"/>
      <c r="AJ2" s="2"/>
      <c r="AK2" s="2"/>
    </row>
    <row r="3" spans="1:37" ht="23.25">
      <c r="A3" s="2"/>
      <c r="B3" s="439" t="s">
        <v>1463</v>
      </c>
      <c r="C3" s="440"/>
      <c r="D3" s="440"/>
      <c r="E3" s="440"/>
      <c r="F3" s="440"/>
      <c r="G3" s="440"/>
      <c r="H3" s="441"/>
      <c r="I3" s="107"/>
      <c r="J3" s="106"/>
      <c r="K3" s="220"/>
      <c r="L3" s="107"/>
      <c r="M3" s="109"/>
      <c r="N3" s="109"/>
      <c r="O3" s="107"/>
      <c r="P3" s="107"/>
      <c r="Q3" s="107"/>
      <c r="R3" s="107"/>
      <c r="S3" s="111"/>
      <c r="T3" s="107"/>
      <c r="U3" s="107"/>
      <c r="V3" s="107"/>
      <c r="W3" s="109"/>
      <c r="X3" s="112"/>
      <c r="Y3" s="112"/>
      <c r="Z3" s="112"/>
      <c r="AA3" s="112"/>
      <c r="AB3" s="112"/>
      <c r="AC3" s="112"/>
      <c r="AD3" s="112"/>
      <c r="AE3" s="2"/>
      <c r="AF3" s="2"/>
      <c r="AG3" s="2"/>
      <c r="AH3" s="2"/>
      <c r="AI3" s="2"/>
      <c r="AJ3" s="2"/>
      <c r="AK3" s="2"/>
    </row>
    <row r="4" spans="1:37" s="87" customFormat="1" ht="36" customHeight="1">
      <c r="A4" s="2"/>
      <c r="B4" s="117"/>
      <c r="C4" s="442" t="s">
        <v>1502</v>
      </c>
      <c r="D4" s="443"/>
      <c r="E4" s="443"/>
      <c r="F4" s="443"/>
      <c r="G4" s="443"/>
      <c r="H4" s="444"/>
      <c r="I4" s="2"/>
      <c r="J4" s="249"/>
      <c r="K4" s="249"/>
      <c r="L4" s="2"/>
      <c r="M4" s="2"/>
      <c r="N4" s="2"/>
      <c r="O4" s="2"/>
      <c r="P4" s="2"/>
      <c r="Q4" s="2"/>
      <c r="R4" s="107"/>
      <c r="S4" s="111"/>
      <c r="T4" s="107"/>
      <c r="U4" s="107"/>
      <c r="V4" s="107"/>
      <c r="W4" s="109"/>
      <c r="X4" s="112"/>
      <c r="Y4" s="112"/>
      <c r="Z4" s="112"/>
      <c r="AA4" s="112"/>
      <c r="AB4" s="112"/>
      <c r="AC4" s="112"/>
      <c r="AD4" s="112"/>
      <c r="AE4" s="2"/>
      <c r="AF4" s="2"/>
      <c r="AG4" s="2"/>
      <c r="AH4" s="2"/>
      <c r="AI4" s="2"/>
      <c r="AJ4" s="2"/>
      <c r="AK4" s="2"/>
    </row>
    <row r="5" spans="1:37" s="87" customFormat="1" ht="27" customHeight="1" thickBot="1">
      <c r="A5" s="2"/>
      <c r="B5" s="118"/>
      <c r="C5" s="421" t="s">
        <v>1450</v>
      </c>
      <c r="D5" s="421"/>
      <c r="E5" s="421"/>
      <c r="F5" s="421"/>
      <c r="G5" s="421"/>
      <c r="H5" s="422"/>
      <c r="I5" s="2"/>
      <c r="J5" s="249"/>
      <c r="K5" s="249"/>
      <c r="L5" s="2"/>
      <c r="M5" s="2"/>
      <c r="N5" s="2"/>
      <c r="O5" s="2"/>
      <c r="P5" s="2"/>
      <c r="Q5" s="2"/>
      <c r="R5" s="113"/>
      <c r="S5" s="113"/>
      <c r="T5" s="114"/>
      <c r="U5" s="113"/>
      <c r="V5" s="113"/>
      <c r="W5" s="113"/>
      <c r="X5" s="115"/>
      <c r="Y5" s="116"/>
      <c r="Z5" s="116"/>
      <c r="AA5" s="116"/>
      <c r="AB5" s="116"/>
      <c r="AC5" s="116"/>
      <c r="AD5" s="2"/>
      <c r="AE5" s="2"/>
      <c r="AF5" s="2"/>
      <c r="AG5" s="2"/>
      <c r="AH5" s="2"/>
      <c r="AI5" s="2"/>
      <c r="AJ5" s="2"/>
      <c r="AK5" s="2"/>
    </row>
    <row r="6" spans="1:37" s="87" customFormat="1" ht="16.5" customHeight="1">
      <c r="A6" s="249"/>
      <c r="B6" s="249"/>
      <c r="C6" s="249"/>
      <c r="D6" s="249"/>
      <c r="E6" s="249"/>
      <c r="F6" s="249"/>
      <c r="G6" s="249"/>
      <c r="H6" s="249"/>
      <c r="I6" s="249"/>
      <c r="J6" s="249"/>
      <c r="K6" s="249"/>
      <c r="L6" s="2"/>
      <c r="M6" s="2"/>
      <c r="N6" s="2"/>
      <c r="O6" s="2"/>
      <c r="P6" s="2"/>
      <c r="Q6" s="2"/>
      <c r="R6" s="113"/>
      <c r="S6" s="113"/>
      <c r="T6" s="114"/>
      <c r="U6" s="113"/>
      <c r="V6" s="113"/>
      <c r="W6" s="113"/>
      <c r="X6" s="115"/>
      <c r="Y6" s="116"/>
      <c r="Z6" s="116"/>
      <c r="AA6" s="116"/>
      <c r="AB6" s="116"/>
      <c r="AC6" s="116"/>
      <c r="AD6" s="2"/>
      <c r="AE6" s="2"/>
      <c r="AF6" s="2"/>
      <c r="AG6" s="2"/>
      <c r="AH6" s="2"/>
      <c r="AI6" s="2"/>
      <c r="AJ6" s="2"/>
      <c r="AK6" s="2"/>
    </row>
    <row r="7" spans="1:37" customFormat="1" ht="19.5" customHeight="1">
      <c r="A7" s="445" t="s">
        <v>1900</v>
      </c>
      <c r="B7" s="445"/>
      <c r="C7" s="445"/>
      <c r="D7" s="445"/>
      <c r="E7" s="445"/>
      <c r="F7" s="445"/>
      <c r="G7" s="445"/>
      <c r="H7" s="445"/>
      <c r="I7" s="263"/>
      <c r="J7" s="106"/>
      <c r="K7" s="220"/>
      <c r="L7" s="1"/>
      <c r="M7" s="1"/>
      <c r="N7" s="1"/>
      <c r="O7" s="1"/>
      <c r="P7" s="1"/>
      <c r="Q7" s="1"/>
      <c r="R7" s="1"/>
      <c r="S7" s="1"/>
      <c r="T7" s="1"/>
      <c r="U7" s="1"/>
      <c r="V7" s="1"/>
      <c r="W7" s="1"/>
      <c r="X7" s="1"/>
      <c r="Y7" s="1"/>
      <c r="Z7" s="1"/>
      <c r="AA7" s="1"/>
      <c r="AB7" s="1"/>
      <c r="AC7" s="1"/>
      <c r="AD7" s="1"/>
      <c r="AE7" s="1"/>
      <c r="AF7" s="1"/>
      <c r="AG7" s="1"/>
      <c r="AH7" s="1"/>
      <c r="AI7" s="1"/>
      <c r="AJ7" s="1"/>
      <c r="AK7" s="1"/>
    </row>
    <row r="8" spans="1:37" customFormat="1" ht="19.5" customHeight="1">
      <c r="A8" s="255"/>
      <c r="B8" s="257" t="s">
        <v>1890</v>
      </c>
      <c r="C8" s="111">
        <v>4</v>
      </c>
      <c r="D8" s="213"/>
      <c r="E8" s="213"/>
      <c r="F8" s="258" t="s">
        <v>1893</v>
      </c>
      <c r="G8" s="260" t="s">
        <v>981</v>
      </c>
      <c r="H8" s="213"/>
      <c r="I8" s="213"/>
      <c r="J8" s="106"/>
      <c r="K8" s="220"/>
      <c r="L8" s="1"/>
      <c r="M8" s="1"/>
      <c r="N8" s="1"/>
      <c r="O8" s="1"/>
      <c r="P8" s="1"/>
      <c r="Q8" s="1"/>
      <c r="R8" s="1"/>
      <c r="S8" s="1"/>
      <c r="T8" s="1"/>
      <c r="U8" s="1"/>
      <c r="V8" s="1"/>
      <c r="W8" s="1"/>
      <c r="X8" s="1"/>
      <c r="Y8" s="1"/>
      <c r="Z8" s="1"/>
      <c r="AA8" s="1"/>
      <c r="AB8" s="1"/>
      <c r="AC8" s="1"/>
      <c r="AD8" s="1"/>
      <c r="AE8" s="1"/>
      <c r="AF8" s="1"/>
      <c r="AG8" s="1"/>
      <c r="AH8" s="1"/>
      <c r="AI8" s="1"/>
      <c r="AJ8" s="1"/>
      <c r="AK8" s="1"/>
    </row>
    <row r="9" spans="1:37" customFormat="1" ht="19.5" customHeight="1">
      <c r="A9" s="255"/>
      <c r="B9" s="258" t="s">
        <v>1892</v>
      </c>
      <c r="C9" s="214" t="s">
        <v>64</v>
      </c>
      <c r="D9" s="213"/>
      <c r="E9" s="213"/>
      <c r="F9" s="256" t="s">
        <v>1895</v>
      </c>
      <c r="G9" s="261" t="s">
        <v>91</v>
      </c>
      <c r="H9" s="213"/>
      <c r="I9" s="213"/>
      <c r="J9" s="106"/>
      <c r="K9" s="220"/>
      <c r="L9" s="1"/>
      <c r="M9" s="1"/>
      <c r="N9" s="1"/>
      <c r="O9" s="1"/>
      <c r="P9" s="1"/>
      <c r="Q9" s="1"/>
      <c r="R9" s="1"/>
      <c r="S9" s="1"/>
      <c r="T9" s="1"/>
      <c r="U9" s="1"/>
      <c r="V9" s="1"/>
      <c r="W9" s="1"/>
      <c r="X9" s="1"/>
      <c r="Y9" s="1"/>
      <c r="Z9" s="1"/>
      <c r="AA9" s="1"/>
      <c r="AB9" s="1"/>
      <c r="AC9" s="1"/>
      <c r="AD9" s="1"/>
      <c r="AE9" s="1"/>
      <c r="AF9" s="1"/>
      <c r="AG9" s="1"/>
      <c r="AH9" s="1"/>
      <c r="AI9" s="1"/>
      <c r="AJ9" s="1"/>
      <c r="AK9" s="1"/>
    </row>
    <row r="10" spans="1:37" customFormat="1" ht="18" customHeight="1">
      <c r="A10" s="255"/>
      <c r="B10" s="259" t="s">
        <v>1901</v>
      </c>
      <c r="C10" s="111" t="s">
        <v>112</v>
      </c>
      <c r="D10" s="213"/>
      <c r="E10" s="213"/>
      <c r="F10" s="256" t="s">
        <v>1894</v>
      </c>
      <c r="G10" s="261" t="s">
        <v>1082</v>
      </c>
      <c r="H10" s="213"/>
      <c r="I10" s="213"/>
      <c r="J10" s="106"/>
      <c r="K10" s="220"/>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1:37" s="91" customFormat="1" ht="18" customHeight="1">
      <c r="A11" s="255"/>
      <c r="B11" s="259" t="s">
        <v>1891</v>
      </c>
      <c r="C11" s="214">
        <v>1</v>
      </c>
      <c r="D11" s="213"/>
      <c r="E11" s="213"/>
      <c r="F11" s="256" t="s">
        <v>1896</v>
      </c>
      <c r="G11" s="262">
        <v>1</v>
      </c>
      <c r="H11" s="213"/>
      <c r="I11" s="213"/>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row>
    <row r="12" spans="1:37" customFormat="1" ht="18" customHeight="1">
      <c r="A12" s="255"/>
      <c r="B12" s="256" t="s">
        <v>1905</v>
      </c>
      <c r="C12" s="111" t="str">
        <f>info_Activity_File</f>
        <v>Uganda</v>
      </c>
      <c r="D12" s="213"/>
      <c r="E12" s="213"/>
      <c r="F12" s="256" t="s">
        <v>1897</v>
      </c>
      <c r="G12" s="262" t="s">
        <v>119</v>
      </c>
      <c r="H12" s="213"/>
      <c r="I12" s="213"/>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row>
    <row r="13" spans="1:37" customFormat="1" ht="18" customHeight="1">
      <c r="A13" s="255"/>
      <c r="B13" s="259" t="s">
        <v>1902</v>
      </c>
      <c r="C13" s="214" t="s">
        <v>122</v>
      </c>
      <c r="D13" s="213"/>
      <c r="E13" s="213"/>
      <c r="F13" s="256" t="s">
        <v>1898</v>
      </c>
      <c r="G13" s="262" t="s">
        <v>120</v>
      </c>
      <c r="H13" s="213"/>
      <c r="I13" s="213"/>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row>
    <row r="14" spans="1:37" customFormat="1" ht="18" customHeight="1" thickBot="1">
      <c r="A14" s="255"/>
      <c r="B14" s="259" t="s">
        <v>1903</v>
      </c>
      <c r="C14" s="446" t="s">
        <v>759</v>
      </c>
      <c r="D14" s="446"/>
      <c r="E14" s="213"/>
      <c r="F14" s="256" t="s">
        <v>1899</v>
      </c>
      <c r="G14" s="262" t="s">
        <v>1432</v>
      </c>
      <c r="H14" s="213"/>
      <c r="I14" s="213"/>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row>
    <row r="15" spans="1:37" customFormat="1" ht="15.75">
      <c r="A15" s="264"/>
      <c r="B15" s="256" t="s">
        <v>1904</v>
      </c>
      <c r="C15" s="214">
        <v>100</v>
      </c>
      <c r="D15" s="252"/>
      <c r="E15" s="213"/>
      <c r="F15" s="219"/>
      <c r="G15" s="252"/>
      <c r="H15" s="252"/>
      <c r="I15" s="252"/>
      <c r="J15" s="252"/>
      <c r="K15" s="1"/>
      <c r="L15" s="1"/>
      <c r="M15" s="1"/>
      <c r="N15" s="1"/>
      <c r="O15" s="1"/>
      <c r="P15" s="1"/>
      <c r="Q15" s="1"/>
      <c r="R15" s="1"/>
      <c r="S15" s="1"/>
      <c r="T15" s="1"/>
      <c r="U15" s="1"/>
      <c r="V15" s="1"/>
      <c r="W15" s="1"/>
      <c r="X15" s="1"/>
      <c r="Y15" s="1"/>
      <c r="Z15" s="1"/>
      <c r="AA15" s="1"/>
      <c r="AB15" s="1"/>
      <c r="AC15" s="1"/>
      <c r="AD15" s="1"/>
      <c r="AE15" s="431" t="s">
        <v>1458</v>
      </c>
      <c r="AF15" s="432"/>
      <c r="AG15" s="426" t="s">
        <v>31</v>
      </c>
      <c r="AH15" s="427"/>
      <c r="AI15" s="427"/>
      <c r="AJ15" s="427"/>
      <c r="AK15" s="454"/>
    </row>
    <row r="16" spans="1:37" customFormat="1" ht="15.75" thickBot="1">
      <c r="A16" s="1"/>
      <c r="B16" s="1"/>
      <c r="C16" s="1"/>
      <c r="D16" s="1"/>
      <c r="E16" s="1"/>
      <c r="F16" s="107"/>
      <c r="G16" s="107"/>
      <c r="H16" s="107"/>
      <c r="I16" s="107"/>
      <c r="J16" s="106"/>
      <c r="K16" s="108"/>
      <c r="L16" s="2"/>
      <c r="M16" s="107"/>
      <c r="N16" s="109"/>
      <c r="O16" s="109"/>
      <c r="P16" s="107"/>
      <c r="Q16" s="107"/>
      <c r="R16" s="107"/>
      <c r="S16" s="107"/>
      <c r="T16" s="1"/>
      <c r="U16" s="107"/>
      <c r="V16" s="107"/>
      <c r="W16" s="1"/>
      <c r="X16" s="109"/>
      <c r="Y16" s="107"/>
      <c r="Z16" s="1"/>
      <c r="AA16" s="107"/>
      <c r="AB16" s="107"/>
      <c r="AC16" s="2"/>
      <c r="AD16" s="107"/>
      <c r="AE16" s="457" t="s">
        <v>1459</v>
      </c>
      <c r="AF16" s="458"/>
      <c r="AG16" s="459"/>
      <c r="AH16" s="460"/>
      <c r="AI16" s="460"/>
      <c r="AJ16" s="460"/>
      <c r="AK16" s="461"/>
    </row>
    <row r="17" spans="1:37" s="4" customFormat="1" ht="34.5" customHeight="1">
      <c r="A17" s="431" t="s">
        <v>1509</v>
      </c>
      <c r="B17" s="432"/>
      <c r="C17" s="382" t="s">
        <v>1461</v>
      </c>
      <c r="D17" s="382" t="s">
        <v>1461</v>
      </c>
      <c r="E17" s="377" t="s">
        <v>22</v>
      </c>
      <c r="F17" s="377" t="s">
        <v>22</v>
      </c>
      <c r="G17" s="377" t="s">
        <v>22</v>
      </c>
      <c r="H17" s="377" t="s">
        <v>22</v>
      </c>
      <c r="I17" s="77" t="s">
        <v>25</v>
      </c>
      <c r="J17" s="378" t="s">
        <v>23</v>
      </c>
      <c r="K17" s="377" t="s">
        <v>24</v>
      </c>
      <c r="L17" s="377" t="s">
        <v>24</v>
      </c>
      <c r="M17" s="377" t="s">
        <v>26</v>
      </c>
      <c r="N17" s="377" t="s">
        <v>26</v>
      </c>
      <c r="O17" s="377" t="s">
        <v>26</v>
      </c>
      <c r="P17" s="377" t="s">
        <v>27</v>
      </c>
      <c r="Q17" s="377" t="s">
        <v>27</v>
      </c>
      <c r="R17" s="377" t="s">
        <v>29</v>
      </c>
      <c r="S17" s="377" t="s">
        <v>29</v>
      </c>
      <c r="T17" s="376" t="s">
        <v>30</v>
      </c>
      <c r="U17" s="376" t="s">
        <v>30</v>
      </c>
      <c r="V17" s="376" t="s">
        <v>30</v>
      </c>
      <c r="W17" s="376" t="s">
        <v>30</v>
      </c>
      <c r="X17" s="93" t="s">
        <v>32</v>
      </c>
      <c r="Y17" s="377" t="s">
        <v>114</v>
      </c>
      <c r="Z17" s="377" t="s">
        <v>114</v>
      </c>
      <c r="AA17" s="377" t="s">
        <v>33</v>
      </c>
      <c r="AB17" s="377" t="s">
        <v>33</v>
      </c>
      <c r="AC17" s="377" t="s">
        <v>94</v>
      </c>
      <c r="AD17" s="377" t="s">
        <v>94</v>
      </c>
      <c r="AE17" s="377" t="s">
        <v>92</v>
      </c>
      <c r="AF17" s="377" t="s">
        <v>92</v>
      </c>
      <c r="AG17" s="230" t="s">
        <v>1510</v>
      </c>
      <c r="AH17" s="226" t="s">
        <v>62</v>
      </c>
      <c r="AI17" s="222" t="s">
        <v>66</v>
      </c>
      <c r="AJ17" s="223" t="s">
        <v>88</v>
      </c>
      <c r="AK17" s="224" t="s">
        <v>1156</v>
      </c>
    </row>
    <row r="18" spans="1:37" s="5" customFormat="1" ht="60" customHeight="1">
      <c r="A18" s="465" t="s">
        <v>1459</v>
      </c>
      <c r="B18" s="466"/>
      <c r="C18" s="467" t="s">
        <v>1462</v>
      </c>
      <c r="D18" s="468"/>
      <c r="E18" s="469" t="s">
        <v>34</v>
      </c>
      <c r="F18" s="470"/>
      <c r="G18" s="470"/>
      <c r="H18" s="468"/>
      <c r="I18" s="97" t="s">
        <v>1436</v>
      </c>
      <c r="J18" s="96" t="s">
        <v>35</v>
      </c>
      <c r="K18" s="471" t="s">
        <v>36</v>
      </c>
      <c r="L18" s="472"/>
      <c r="M18" s="447" t="s">
        <v>37</v>
      </c>
      <c r="N18" s="472"/>
      <c r="O18" s="448"/>
      <c r="P18" s="447" t="s">
        <v>38</v>
      </c>
      <c r="Q18" s="448"/>
      <c r="R18" s="453" t="s">
        <v>140</v>
      </c>
      <c r="S18" s="452"/>
      <c r="T18" s="451" t="s">
        <v>39</v>
      </c>
      <c r="U18" s="451"/>
      <c r="V18" s="451"/>
      <c r="W18" s="452"/>
      <c r="X18" s="97" t="s">
        <v>117</v>
      </c>
      <c r="Y18" s="447" t="s">
        <v>115</v>
      </c>
      <c r="Z18" s="448"/>
      <c r="AA18" s="449" t="s">
        <v>40</v>
      </c>
      <c r="AB18" s="450"/>
      <c r="AC18" s="449" t="s">
        <v>116</v>
      </c>
      <c r="AD18" s="450"/>
      <c r="AE18" s="449" t="s">
        <v>93</v>
      </c>
      <c r="AF18" s="450"/>
      <c r="AG18" s="225" t="s">
        <v>1163</v>
      </c>
      <c r="AH18" s="227" t="s">
        <v>1176</v>
      </c>
      <c r="AI18" s="98" t="s">
        <v>67</v>
      </c>
      <c r="AJ18" s="94" t="s">
        <v>90</v>
      </c>
      <c r="AK18" s="68" t="s">
        <v>1157</v>
      </c>
    </row>
    <row r="19" spans="1:37" s="4" customFormat="1" ht="45" customHeight="1">
      <c r="A19" s="462" t="s">
        <v>1464</v>
      </c>
      <c r="B19" s="463"/>
      <c r="C19" s="137" t="s">
        <v>1437</v>
      </c>
      <c r="D19" s="129" t="s">
        <v>1451</v>
      </c>
      <c r="E19" s="130" t="s">
        <v>41</v>
      </c>
      <c r="F19" s="131" t="s">
        <v>42</v>
      </c>
      <c r="G19" s="131" t="s">
        <v>43</v>
      </c>
      <c r="H19" s="132" t="s">
        <v>44</v>
      </c>
      <c r="I19" s="133" t="s">
        <v>47</v>
      </c>
      <c r="J19" s="134" t="s">
        <v>45</v>
      </c>
      <c r="K19" s="128" t="s">
        <v>14</v>
      </c>
      <c r="L19" s="135" t="s">
        <v>46</v>
      </c>
      <c r="M19" s="136" t="s">
        <v>48</v>
      </c>
      <c r="N19" s="137" t="s">
        <v>47</v>
      </c>
      <c r="O19" s="138" t="s">
        <v>49</v>
      </c>
      <c r="P19" s="136" t="s">
        <v>50</v>
      </c>
      <c r="Q19" s="129" t="s">
        <v>13</v>
      </c>
      <c r="R19" s="136" t="s">
        <v>0</v>
      </c>
      <c r="S19" s="129" t="s">
        <v>52</v>
      </c>
      <c r="T19" s="136" t="s">
        <v>51</v>
      </c>
      <c r="U19" s="135" t="s">
        <v>14</v>
      </c>
      <c r="V19" s="135" t="s">
        <v>52</v>
      </c>
      <c r="W19" s="135" t="s">
        <v>53</v>
      </c>
      <c r="X19" s="133" t="s">
        <v>54</v>
      </c>
      <c r="Y19" s="139" t="s">
        <v>9</v>
      </c>
      <c r="Z19" s="140" t="s">
        <v>52</v>
      </c>
      <c r="AA19" s="139" t="s">
        <v>9</v>
      </c>
      <c r="AB19" s="140" t="s">
        <v>52</v>
      </c>
      <c r="AC19" s="139" t="s">
        <v>9</v>
      </c>
      <c r="AD19" s="140" t="s">
        <v>52</v>
      </c>
      <c r="AE19" s="139" t="s">
        <v>9</v>
      </c>
      <c r="AF19" s="140" t="s">
        <v>52</v>
      </c>
      <c r="AG19" s="136" t="s">
        <v>1162</v>
      </c>
      <c r="AH19" s="228" t="s">
        <v>1471</v>
      </c>
      <c r="AI19" s="141" t="s">
        <v>68</v>
      </c>
      <c r="AJ19" s="135" t="s">
        <v>89</v>
      </c>
      <c r="AK19" s="142" t="s">
        <v>1156</v>
      </c>
    </row>
    <row r="20" spans="1:37" s="101" customFormat="1" ht="105.75" thickBot="1">
      <c r="A20" s="455" t="s">
        <v>1465</v>
      </c>
      <c r="B20" s="456"/>
      <c r="C20" s="101" t="s">
        <v>1512</v>
      </c>
      <c r="D20" s="101" t="s">
        <v>1457</v>
      </c>
      <c r="E20" s="379" t="s">
        <v>2011</v>
      </c>
      <c r="F20" s="380" t="s">
        <v>2052</v>
      </c>
      <c r="G20" s="380" t="s">
        <v>2012</v>
      </c>
      <c r="H20" s="381" t="s">
        <v>2013</v>
      </c>
      <c r="I20" s="100" t="s">
        <v>56</v>
      </c>
      <c r="J20" s="201" t="s">
        <v>55</v>
      </c>
      <c r="K20" s="145" t="s">
        <v>20</v>
      </c>
      <c r="L20" s="383" t="s">
        <v>2014</v>
      </c>
      <c r="M20" s="101" t="s">
        <v>57</v>
      </c>
      <c r="N20" s="384" t="s">
        <v>2016</v>
      </c>
      <c r="O20" s="384" t="s">
        <v>2015</v>
      </c>
      <c r="P20" s="145" t="s">
        <v>58</v>
      </c>
      <c r="Q20" s="383" t="s">
        <v>2017</v>
      </c>
      <c r="R20" s="101" t="s">
        <v>60</v>
      </c>
      <c r="S20" s="384" t="s">
        <v>2018</v>
      </c>
      <c r="T20" s="385" t="s">
        <v>61</v>
      </c>
      <c r="U20" s="380" t="s">
        <v>2019</v>
      </c>
      <c r="V20" s="101" t="s">
        <v>2021</v>
      </c>
      <c r="W20" s="383" t="s">
        <v>2020</v>
      </c>
      <c r="X20" s="100" t="s">
        <v>63</v>
      </c>
      <c r="Y20" s="145" t="s">
        <v>1452</v>
      </c>
      <c r="Z20" s="383" t="s">
        <v>2022</v>
      </c>
      <c r="AA20" s="101" t="s">
        <v>1453</v>
      </c>
      <c r="AB20" s="384" t="s">
        <v>2023</v>
      </c>
      <c r="AC20" s="145" t="s">
        <v>1454</v>
      </c>
      <c r="AD20" s="383" t="s">
        <v>2024</v>
      </c>
      <c r="AE20" s="145" t="s">
        <v>1455</v>
      </c>
      <c r="AF20" s="383" t="s">
        <v>2025</v>
      </c>
      <c r="AG20" s="400" t="s">
        <v>2045</v>
      </c>
      <c r="AH20" s="229" t="s">
        <v>2041</v>
      </c>
      <c r="AI20" s="100" t="s">
        <v>2042</v>
      </c>
      <c r="AJ20" s="202" t="s">
        <v>2043</v>
      </c>
      <c r="AK20" s="100" t="s">
        <v>2044</v>
      </c>
    </row>
    <row r="21" spans="1:37" s="251" customFormat="1" ht="150">
      <c r="C21" s="294" t="str">
        <f>VLOOKUP(Default_Recipient_Country,Table_Country[],2,FALSE)&amp;"999"</f>
        <v>UG999</v>
      </c>
      <c r="D21" s="331">
        <v>41639</v>
      </c>
      <c r="E21" s="283">
        <f t="shared" ref="E21:E28" si="0">Default_Hierarchy</f>
        <v>4</v>
      </c>
      <c r="F21" s="284" t="str">
        <f t="shared" ref="F21:F28" si="1">Default_Default_Language_Code</f>
        <v>en</v>
      </c>
      <c r="G21" s="284" t="str">
        <f t="shared" ref="G21:G28" si="2">Default_Default_Currency</f>
        <v>GBP</v>
      </c>
      <c r="H21" s="286" t="str">
        <f t="shared" ref="H21:H28" si="3">info_last_file_update_time</f>
        <v>2013-12-19T12:00:00Z</v>
      </c>
      <c r="I21" s="291" t="str">
        <f>CONCATENATE(VLOOKUP(info_reporting_org_name,Data_Org[],4,FALSE), "-", Data_Main[[#This Row],[meta-iati-activity-ref]])</f>
        <v>GB-CHC-288701-UG999</v>
      </c>
      <c r="J21" s="296" t="str">
        <f>"WaterAid "&amp;Default_Recipient_Country&amp;" Unrestricted Project"</f>
        <v>WaterAid Uganda Unrestricted Project</v>
      </c>
      <c r="K21" s="297" t="s">
        <v>2054</v>
      </c>
      <c r="L21" s="300">
        <f t="shared" ref="L21:L28" si="4">Default_Description_Type</f>
        <v>1</v>
      </c>
      <c r="M21" s="285" t="str">
        <f t="shared" ref="M21:M28" si="5">info_reporting_org_name</f>
        <v>WaterAid</v>
      </c>
      <c r="N21" s="286" t="str">
        <f>VLOOKUP(Data_Main[[#This Row],[reporting-org]],Data_Org[],4,FALSE)</f>
        <v>GB-CHC-288701</v>
      </c>
      <c r="O21" s="286">
        <f>VLOOKUP(info_reporting_org_type,Table_Org_Type[],2,FALSE)</f>
        <v>21</v>
      </c>
      <c r="P21" s="287" t="str">
        <f t="array" ref="P21">IFERROR(IF(INDEX(Data_Activity_Date[meta-activity-date],MATCH(1,--(Data_Activity_Date[activity-date]="end-actual")*--(Data_Activity_Date[meta-parent-ref]=Data_Main[[#This Row],[meta-iati-activity-ref]]),0))&gt;info_end_range_publish,"Completion","Implementation"),"Implementation")</f>
        <v>Implementation</v>
      </c>
      <c r="Q21" s="286">
        <f>VLOOKUP(Data_Main[[#This Row],[activity-status]],Table_Status[],2,FALSE)</f>
        <v>2</v>
      </c>
      <c r="R21" s="287" t="str">
        <f t="shared" ref="R21:R28" si="6">Default_Recipient_Country</f>
        <v>Uganda</v>
      </c>
      <c r="S21" s="292" t="str">
        <f>VLOOKUP(R21,Table_Country[],2,FALSE)</f>
        <v>UG</v>
      </c>
      <c r="T21" s="284" t="str">
        <f t="shared" ref="T21:T28" si="7">Default_Sector_code</f>
        <v>Water and sanitation</v>
      </c>
      <c r="U21" s="355" t="s">
        <v>122</v>
      </c>
      <c r="V21" s="286">
        <f>VLOOKUP(T21,Table_DAC_Sector[],2,FALSE)</f>
        <v>140</v>
      </c>
      <c r="W21" s="293">
        <f t="shared" ref="W21:W28" si="8">Default_Sector_Percentage</f>
        <v>100</v>
      </c>
      <c r="X21" s="275" t="str">
        <f>VLOOKUP(Data_Main[[#This Row],[recipient-country]],Table_WA_CPs[],3,FALSE)</f>
        <v>http://www.wateraid.org/uk/where-we-work/page/uganda</v>
      </c>
      <c r="Y21" s="287" t="str">
        <f t="shared" ref="Y21:Y28" si="9">Default_Default_Flow_Type</f>
        <v>Private Grants</v>
      </c>
      <c r="Z21" s="286">
        <f>VLOOKUP(Data_Main[[#This Row],[default-flow-type]],Table_Flow_Type[],2,FALSE)</f>
        <v>30</v>
      </c>
      <c r="AA21" s="287" t="str">
        <f t="shared" ref="AA21:AA28" si="10">Default_Default_Finance_Type</f>
        <v>Aid grant excluding debt reorganisation</v>
      </c>
      <c r="AB21" s="286">
        <f>VLOOKUP(Data_Main[[#This Row],[default-finance-type]],Table_Finance_Type[],2,FALSE)</f>
        <v>110</v>
      </c>
      <c r="AC21" s="287" t="str">
        <f t="shared" ref="AC21:AC28" si="11">Default_Default_Aid_Type</f>
        <v>Project-type interventions</v>
      </c>
      <c r="AD21" s="286" t="str">
        <f>VLOOKUP(Data_Main[[#This Row],[default-aid-type]],Table_Aid_Type[],2,FALSE)</f>
        <v>C01</v>
      </c>
      <c r="AE21" s="301" t="s">
        <v>118</v>
      </c>
      <c r="AF21" s="286">
        <f>VLOOKUP(Data_Main[[#This Row],[default-tied-status]],Table_Tied_Status[],2,FALSE)</f>
        <v>5</v>
      </c>
      <c r="AG21" s="287">
        <f t="shared" ref="AG21:AG28" si="12">Default_Contact_Type</f>
        <v>1</v>
      </c>
      <c r="AH21" s="298" t="str">
        <f t="shared" ref="AH21:AH28" si="13">info_reporting_org_name</f>
        <v>WaterAid</v>
      </c>
      <c r="AI21" s="289" t="str">
        <f t="shared" ref="AI21:AI28" si="14">Default_Contact_Address</f>
        <v>Open data at WaterAid, 47-49 Durham Street, London, SE11 5JD, UK</v>
      </c>
      <c r="AJ21" s="288" t="str">
        <f t="shared" ref="AJ21:AJ28" si="15">Default_Contact_Email</f>
        <v>opendata@wateraid.org</v>
      </c>
      <c r="AK21" s="290" t="str">
        <f t="shared" ref="AK21:AK28" si="16">Default_Contact_Website</f>
        <v>http://www.wateraid.org/uk/open</v>
      </c>
    </row>
    <row r="22" spans="1:37" ht="45">
      <c r="C22" s="238" t="s">
        <v>1912</v>
      </c>
      <c r="D22" s="331">
        <v>41639</v>
      </c>
      <c r="E22" s="323">
        <f t="shared" si="0"/>
        <v>4</v>
      </c>
      <c r="F22" s="265" t="str">
        <f t="shared" si="1"/>
        <v>en</v>
      </c>
      <c r="G22" s="265" t="str">
        <f t="shared" si="2"/>
        <v>GBP</v>
      </c>
      <c r="H22" s="292" t="str">
        <f t="shared" si="3"/>
        <v>2013-12-19T12:00:00Z</v>
      </c>
      <c r="I22" s="291" t="str">
        <f>CONCATENATE(VLOOKUP(info_reporting_org_name,Data_Org[],4,FALSE), "-", Data_Main[[#This Row],[meta-iati-activity-ref]])</f>
        <v>GB-CHC-288701-UGA13</v>
      </c>
      <c r="J22" s="332" t="s">
        <v>1919</v>
      </c>
      <c r="K22" s="333" t="s">
        <v>1920</v>
      </c>
      <c r="L22" s="324">
        <f t="shared" si="4"/>
        <v>1</v>
      </c>
      <c r="M22" s="325" t="str">
        <f t="shared" si="5"/>
        <v>WaterAid</v>
      </c>
      <c r="N22" s="292" t="str">
        <f>VLOOKUP(Data_Main[[#This Row],[reporting-org]],Data_Org[],4,FALSE)</f>
        <v>GB-CHC-288701</v>
      </c>
      <c r="O22" s="292">
        <f>VLOOKUP(info_reporting_org_type,Table_Org_Type[],2,FALSE)</f>
        <v>21</v>
      </c>
      <c r="P22" s="275" t="str">
        <f t="array" ref="P22">IFERROR(IF(INDEX(Data_Activity_Date[meta-activity-date],MATCH(1,--(Data_Activity_Date[activity-date]="end-actual")*--(Data_Activity_Date[meta-parent-ref]=Data_Main[[#This Row],[meta-iati-activity-ref]]),0))&gt;info_end_range_publish,"Completion","Implementation"),"Implementation")</f>
        <v>Implementation</v>
      </c>
      <c r="Q22" s="292">
        <f>VLOOKUP(Data_Main[[#This Row],[activity-status]],Table_Status[],2,FALSE)</f>
        <v>2</v>
      </c>
      <c r="R22" s="275" t="str">
        <f t="shared" si="6"/>
        <v>Uganda</v>
      </c>
      <c r="S22" s="292" t="str">
        <f>VLOOKUP(R22,Table_Country[],2,FALSE)</f>
        <v>UG</v>
      </c>
      <c r="T22" s="265" t="str">
        <f t="shared" si="7"/>
        <v>Water and sanitation</v>
      </c>
      <c r="U22" s="355" t="s">
        <v>122</v>
      </c>
      <c r="V22" s="292">
        <f>VLOOKUP(T22,Table_DAC_Sector[],2,FALSE)</f>
        <v>140</v>
      </c>
      <c r="W22" s="326">
        <f t="shared" si="8"/>
        <v>100</v>
      </c>
      <c r="X22" s="275" t="str">
        <f>VLOOKUP(Data_Main[[#This Row],[recipient-country]],Table_WA_CPs[],3,FALSE)</f>
        <v>http://www.wateraid.org/uk/where-we-work/page/uganda</v>
      </c>
      <c r="Y22" s="275" t="str">
        <f t="shared" si="9"/>
        <v>Private Grants</v>
      </c>
      <c r="Z22" s="327">
        <f>VLOOKUP(Data_Main[[#This Row],[default-flow-type]],Table_Flow_Type[],2,FALSE)</f>
        <v>30</v>
      </c>
      <c r="AA22" s="275" t="str">
        <f t="shared" si="10"/>
        <v>Aid grant excluding debt reorganisation</v>
      </c>
      <c r="AB22" s="292">
        <f>VLOOKUP(Data_Main[[#This Row],[default-finance-type]],Table_Finance_Type[],2,FALSE)</f>
        <v>110</v>
      </c>
      <c r="AC22" s="275" t="str">
        <f t="shared" si="11"/>
        <v>Project-type interventions</v>
      </c>
      <c r="AD22" s="292" t="str">
        <f>VLOOKUP(Data_Main[[#This Row],[default-aid-type]],Table_Aid_Type[],2,FALSE)</f>
        <v>C01</v>
      </c>
      <c r="AE22" s="336" t="s">
        <v>118</v>
      </c>
      <c r="AF22" s="292">
        <f>VLOOKUP(Data_Main[[#This Row],[default-tied-status]],Table_Tied_Status[],2,FALSE)</f>
        <v>5</v>
      </c>
      <c r="AG22" s="275">
        <f t="shared" si="12"/>
        <v>1</v>
      </c>
      <c r="AH22" s="328" t="str">
        <f t="shared" si="13"/>
        <v>WaterAid</v>
      </c>
      <c r="AI22" s="329" t="str">
        <f t="shared" si="14"/>
        <v>Open data at WaterAid, 47-49 Durham Street, London, SE11 5JD, UK</v>
      </c>
      <c r="AJ22" s="329" t="str">
        <f t="shared" si="15"/>
        <v>opendata@wateraid.org</v>
      </c>
      <c r="AK22" s="329" t="str">
        <f t="shared" si="16"/>
        <v>http://www.wateraid.org/uk/open</v>
      </c>
    </row>
    <row r="23" spans="1:37" ht="75">
      <c r="C23" s="238" t="s">
        <v>1913</v>
      </c>
      <c r="D23" s="331">
        <v>41639</v>
      </c>
      <c r="E23" s="323">
        <f t="shared" si="0"/>
        <v>4</v>
      </c>
      <c r="F23" s="265" t="str">
        <f t="shared" si="1"/>
        <v>en</v>
      </c>
      <c r="G23" s="265" t="str">
        <f t="shared" si="2"/>
        <v>GBP</v>
      </c>
      <c r="H23" s="292" t="str">
        <f t="shared" si="3"/>
        <v>2013-12-19T12:00:00Z</v>
      </c>
      <c r="I23" s="291" t="str">
        <f>CONCATENATE(VLOOKUP(info_reporting_org_name,Data_Org[],4,FALSE), "-", Data_Main[[#This Row],[meta-iati-activity-ref]])</f>
        <v>GB-CHC-288701-UGA17</v>
      </c>
      <c r="J23" s="332" t="s">
        <v>1921</v>
      </c>
      <c r="K23" s="334" t="s">
        <v>1922</v>
      </c>
      <c r="L23" s="324">
        <f t="shared" si="4"/>
        <v>1</v>
      </c>
      <c r="M23" s="325" t="str">
        <f t="shared" si="5"/>
        <v>WaterAid</v>
      </c>
      <c r="N23" s="292" t="str">
        <f>VLOOKUP(Data_Main[[#This Row],[reporting-org]],Data_Org[],4,FALSE)</f>
        <v>GB-CHC-288701</v>
      </c>
      <c r="O23" s="292">
        <f>VLOOKUP(info_reporting_org_type,Table_Org_Type[],2,FALSE)</f>
        <v>21</v>
      </c>
      <c r="P23" s="275" t="str">
        <f t="array" ref="P23">IFERROR(IF(INDEX(Data_Activity_Date[meta-activity-date],MATCH(1,--(Data_Activity_Date[activity-date]="end-actual")*--(Data_Activity_Date[meta-parent-ref]=Data_Main[[#This Row],[meta-iati-activity-ref]]),0))&gt;info_end_range_publish,"Completion","Implementation"),"Implementation")</f>
        <v>Implementation</v>
      </c>
      <c r="Q23" s="292">
        <f>VLOOKUP(Data_Main[[#This Row],[activity-status]],Table_Status[],2,FALSE)</f>
        <v>2</v>
      </c>
      <c r="R23" s="275" t="str">
        <f t="shared" si="6"/>
        <v>Uganda</v>
      </c>
      <c r="S23" s="292" t="str">
        <f>VLOOKUP(R23,Table_Country[],2,FALSE)</f>
        <v>UG</v>
      </c>
      <c r="T23" s="265" t="str">
        <f t="shared" si="7"/>
        <v>Water and sanitation</v>
      </c>
      <c r="U23" s="355" t="s">
        <v>122</v>
      </c>
      <c r="V23" s="292">
        <f>VLOOKUP(T23,Table_DAC_Sector[],2,FALSE)</f>
        <v>140</v>
      </c>
      <c r="W23" s="326">
        <f t="shared" si="8"/>
        <v>100</v>
      </c>
      <c r="X23" s="275" t="str">
        <f>VLOOKUP(Data_Main[[#This Row],[recipient-country]],Table_WA_CPs[],3,FALSE)</f>
        <v>http://www.wateraid.org/uk/where-we-work/page/uganda</v>
      </c>
      <c r="Y23" s="275" t="str">
        <f t="shared" si="9"/>
        <v>Private Grants</v>
      </c>
      <c r="Z23" s="327">
        <f>VLOOKUP(Data_Main[[#This Row],[default-flow-type]],Table_Flow_Type[],2,FALSE)</f>
        <v>30</v>
      </c>
      <c r="AA23" s="275" t="str">
        <f t="shared" si="10"/>
        <v>Aid grant excluding debt reorganisation</v>
      </c>
      <c r="AB23" s="292">
        <f>VLOOKUP(Data_Main[[#This Row],[default-finance-type]],Table_Finance_Type[],2,FALSE)</f>
        <v>110</v>
      </c>
      <c r="AC23" s="275" t="str">
        <f t="shared" si="11"/>
        <v>Project-type interventions</v>
      </c>
      <c r="AD23" s="292" t="str">
        <f>VLOOKUP(Data_Main[[#This Row],[default-aid-type]],Table_Aid_Type[],2,FALSE)</f>
        <v>C01</v>
      </c>
      <c r="AE23" s="336" t="s">
        <v>118</v>
      </c>
      <c r="AF23" s="292">
        <f>VLOOKUP(Data_Main[[#This Row],[default-tied-status]],Table_Tied_Status[],2,FALSE)</f>
        <v>5</v>
      </c>
      <c r="AG23" s="275">
        <f t="shared" si="12"/>
        <v>1</v>
      </c>
      <c r="AH23" s="328" t="str">
        <f t="shared" si="13"/>
        <v>WaterAid</v>
      </c>
      <c r="AI23" s="329" t="str">
        <f t="shared" si="14"/>
        <v>Open data at WaterAid, 47-49 Durham Street, London, SE11 5JD, UK</v>
      </c>
      <c r="AJ23" s="329" t="str">
        <f t="shared" si="15"/>
        <v>opendata@wateraid.org</v>
      </c>
      <c r="AK23" s="329" t="str">
        <f t="shared" si="16"/>
        <v>http://www.wateraid.org/uk/open</v>
      </c>
    </row>
    <row r="24" spans="1:37" ht="90">
      <c r="C24" s="238" t="s">
        <v>1914</v>
      </c>
      <c r="D24" s="331">
        <v>41639</v>
      </c>
      <c r="E24" s="323">
        <f t="shared" si="0"/>
        <v>4</v>
      </c>
      <c r="F24" s="265" t="str">
        <f t="shared" si="1"/>
        <v>en</v>
      </c>
      <c r="G24" s="265" t="str">
        <f t="shared" si="2"/>
        <v>GBP</v>
      </c>
      <c r="H24" s="292" t="str">
        <f t="shared" si="3"/>
        <v>2013-12-19T12:00:00Z</v>
      </c>
      <c r="I24" s="291" t="str">
        <f>CONCATENATE(VLOOKUP(info_reporting_org_name,Data_Org[],4,FALSE), "-", Data_Main[[#This Row],[meta-iati-activity-ref]])</f>
        <v>GB-CHC-288701-UGA19</v>
      </c>
      <c r="J24" s="332" t="s">
        <v>2051</v>
      </c>
      <c r="K24" s="333" t="s">
        <v>1923</v>
      </c>
      <c r="L24" s="324">
        <f t="shared" si="4"/>
        <v>1</v>
      </c>
      <c r="M24" s="325" t="str">
        <f t="shared" si="5"/>
        <v>WaterAid</v>
      </c>
      <c r="N24" s="292" t="str">
        <f>VLOOKUP(Data_Main[[#This Row],[reporting-org]],Data_Org[],4,FALSE)</f>
        <v>GB-CHC-288701</v>
      </c>
      <c r="O24" s="292">
        <f>VLOOKUP(info_reporting_org_type,Table_Org_Type[],2,FALSE)</f>
        <v>21</v>
      </c>
      <c r="P24" s="275" t="str">
        <f t="array" ref="P24">IFERROR(IF(INDEX(Data_Activity_Date[meta-activity-date],MATCH(1,--(Data_Activity_Date[activity-date]="end-actual")*--(Data_Activity_Date[meta-parent-ref]=Data_Main[[#This Row],[meta-iati-activity-ref]]),0))&gt;info_end_range_publish,"Completion","Implementation"),"Implementation")</f>
        <v>Implementation</v>
      </c>
      <c r="Q24" s="292">
        <f>VLOOKUP(Data_Main[[#This Row],[activity-status]],Table_Status[],2,FALSE)</f>
        <v>2</v>
      </c>
      <c r="R24" s="275" t="str">
        <f t="shared" si="6"/>
        <v>Uganda</v>
      </c>
      <c r="S24" s="292" t="str">
        <f>VLOOKUP(R24,Table_Country[],2,FALSE)</f>
        <v>UG</v>
      </c>
      <c r="T24" s="265" t="str">
        <f t="shared" si="7"/>
        <v>Water and sanitation</v>
      </c>
      <c r="U24" s="355" t="s">
        <v>122</v>
      </c>
      <c r="V24" s="292">
        <f>VLOOKUP(T24,Table_DAC_Sector[],2,FALSE)</f>
        <v>140</v>
      </c>
      <c r="W24" s="326">
        <f t="shared" si="8"/>
        <v>100</v>
      </c>
      <c r="X24" s="275" t="str">
        <f>VLOOKUP(Data_Main[[#This Row],[recipient-country]],Table_WA_CPs[],3,FALSE)</f>
        <v>http://www.wateraid.org/uk/where-we-work/page/uganda</v>
      </c>
      <c r="Y24" s="275" t="str">
        <f t="shared" si="9"/>
        <v>Private Grants</v>
      </c>
      <c r="Z24" s="327">
        <f>VLOOKUP(Data_Main[[#This Row],[default-flow-type]],Table_Flow_Type[],2,FALSE)</f>
        <v>30</v>
      </c>
      <c r="AA24" s="275" t="str">
        <f t="shared" si="10"/>
        <v>Aid grant excluding debt reorganisation</v>
      </c>
      <c r="AB24" s="292">
        <f>VLOOKUP(Data_Main[[#This Row],[default-finance-type]],Table_Finance_Type[],2,FALSE)</f>
        <v>110</v>
      </c>
      <c r="AC24" s="275" t="str">
        <f t="shared" si="11"/>
        <v>Project-type interventions</v>
      </c>
      <c r="AD24" s="292" t="str">
        <f>VLOOKUP(Data_Main[[#This Row],[default-aid-type]],Table_Aid_Type[],2,FALSE)</f>
        <v>C01</v>
      </c>
      <c r="AE24" s="336" t="s">
        <v>118</v>
      </c>
      <c r="AF24" s="292">
        <f>VLOOKUP(Data_Main[[#This Row],[default-tied-status]],Table_Tied_Status[],2,FALSE)</f>
        <v>5</v>
      </c>
      <c r="AG24" s="275">
        <f t="shared" si="12"/>
        <v>1</v>
      </c>
      <c r="AH24" s="328" t="str">
        <f t="shared" si="13"/>
        <v>WaterAid</v>
      </c>
      <c r="AI24" s="329" t="str">
        <f t="shared" si="14"/>
        <v>Open data at WaterAid, 47-49 Durham Street, London, SE11 5JD, UK</v>
      </c>
      <c r="AJ24" s="329" t="str">
        <f t="shared" si="15"/>
        <v>opendata@wateraid.org</v>
      </c>
      <c r="AK24" s="329" t="str">
        <f t="shared" si="16"/>
        <v>http://www.wateraid.org/uk/open</v>
      </c>
    </row>
    <row r="25" spans="1:37" ht="45">
      <c r="C25" s="238" t="s">
        <v>1915</v>
      </c>
      <c r="D25" s="331">
        <v>41639</v>
      </c>
      <c r="E25" s="323">
        <f t="shared" si="0"/>
        <v>4</v>
      </c>
      <c r="F25" s="265" t="str">
        <f t="shared" si="1"/>
        <v>en</v>
      </c>
      <c r="G25" s="265" t="str">
        <f t="shared" si="2"/>
        <v>GBP</v>
      </c>
      <c r="H25" s="292" t="str">
        <f t="shared" si="3"/>
        <v>2013-12-19T12:00:00Z</v>
      </c>
      <c r="I25" s="291" t="str">
        <f>CONCATENATE(VLOOKUP(info_reporting_org_name,Data_Org[],4,FALSE), "-", Data_Main[[#This Row],[meta-iati-activity-ref]])</f>
        <v>GB-CHC-288701-UGA24</v>
      </c>
      <c r="J25" s="332" t="s">
        <v>1924</v>
      </c>
      <c r="K25" s="333" t="s">
        <v>1925</v>
      </c>
      <c r="L25" s="324">
        <f t="shared" si="4"/>
        <v>1</v>
      </c>
      <c r="M25" s="325" t="str">
        <f t="shared" si="5"/>
        <v>WaterAid</v>
      </c>
      <c r="N25" s="292" t="str">
        <f>VLOOKUP(Data_Main[[#This Row],[reporting-org]],Data_Org[],4,FALSE)</f>
        <v>GB-CHC-288701</v>
      </c>
      <c r="O25" s="292">
        <f>VLOOKUP(info_reporting_org_type,Table_Org_Type[],2,FALSE)</f>
        <v>21</v>
      </c>
      <c r="P25" s="275" t="str">
        <f t="array" ref="P25">IFERROR(IF(INDEX(Data_Activity_Date[meta-activity-date],MATCH(1,--(Data_Activity_Date[activity-date]="end-actual")*--(Data_Activity_Date[meta-parent-ref]=Data_Main[[#This Row],[meta-iati-activity-ref]]),0))&gt;info_end_range_publish,"Completion","Implementation"),"Implementation")</f>
        <v>Implementation</v>
      </c>
      <c r="Q25" s="292">
        <f>VLOOKUP(Data_Main[[#This Row],[activity-status]],Table_Status[],2,FALSE)</f>
        <v>2</v>
      </c>
      <c r="R25" s="275" t="str">
        <f t="shared" si="6"/>
        <v>Uganda</v>
      </c>
      <c r="S25" s="292" t="str">
        <f>VLOOKUP(R25,Table_Country[],2,FALSE)</f>
        <v>UG</v>
      </c>
      <c r="T25" s="265" t="str">
        <f t="shared" si="7"/>
        <v>Water and sanitation</v>
      </c>
      <c r="U25" s="355" t="s">
        <v>122</v>
      </c>
      <c r="V25" s="292">
        <f>VLOOKUP(T25,Table_DAC_Sector[],2,FALSE)</f>
        <v>140</v>
      </c>
      <c r="W25" s="326">
        <f t="shared" si="8"/>
        <v>100</v>
      </c>
      <c r="X25" s="275" t="str">
        <f>VLOOKUP(Data_Main[[#This Row],[recipient-country]],Table_WA_CPs[],3,FALSE)</f>
        <v>http://www.wateraid.org/uk/where-we-work/page/uganda</v>
      </c>
      <c r="Y25" s="275" t="str">
        <f t="shared" si="9"/>
        <v>Private Grants</v>
      </c>
      <c r="Z25" s="327">
        <f>VLOOKUP(Data_Main[[#This Row],[default-flow-type]],Table_Flow_Type[],2,FALSE)</f>
        <v>30</v>
      </c>
      <c r="AA25" s="275" t="str">
        <f t="shared" si="10"/>
        <v>Aid grant excluding debt reorganisation</v>
      </c>
      <c r="AB25" s="292">
        <f>VLOOKUP(Data_Main[[#This Row],[default-finance-type]],Table_Finance_Type[],2,FALSE)</f>
        <v>110</v>
      </c>
      <c r="AC25" s="275" t="str">
        <f t="shared" si="11"/>
        <v>Project-type interventions</v>
      </c>
      <c r="AD25" s="292" t="str">
        <f>VLOOKUP(Data_Main[[#This Row],[default-aid-type]],Table_Aid_Type[],2,FALSE)</f>
        <v>C01</v>
      </c>
      <c r="AE25" s="336" t="s">
        <v>118</v>
      </c>
      <c r="AF25" s="292">
        <f>VLOOKUP(Data_Main[[#This Row],[default-tied-status]],Table_Tied_Status[],2,FALSE)</f>
        <v>5</v>
      </c>
      <c r="AG25" s="275">
        <f t="shared" si="12"/>
        <v>1</v>
      </c>
      <c r="AH25" s="328" t="str">
        <f t="shared" si="13"/>
        <v>WaterAid</v>
      </c>
      <c r="AI25" s="329" t="str">
        <f t="shared" si="14"/>
        <v>Open data at WaterAid, 47-49 Durham Street, London, SE11 5JD, UK</v>
      </c>
      <c r="AJ25" s="329" t="str">
        <f t="shared" si="15"/>
        <v>opendata@wateraid.org</v>
      </c>
      <c r="AK25" s="329" t="str">
        <f t="shared" si="16"/>
        <v>http://www.wateraid.org/uk/open</v>
      </c>
    </row>
    <row r="26" spans="1:37" ht="60">
      <c r="C26" s="238" t="s">
        <v>1916</v>
      </c>
      <c r="D26" s="331">
        <v>41639</v>
      </c>
      <c r="E26" s="323">
        <f t="shared" si="0"/>
        <v>4</v>
      </c>
      <c r="F26" s="265" t="str">
        <f t="shared" si="1"/>
        <v>en</v>
      </c>
      <c r="G26" s="265" t="str">
        <f t="shared" si="2"/>
        <v>GBP</v>
      </c>
      <c r="H26" s="292" t="str">
        <f t="shared" si="3"/>
        <v>2013-12-19T12:00:00Z</v>
      </c>
      <c r="I26" s="291" t="str">
        <f>CONCATENATE(VLOOKUP(info_reporting_org_name,Data_Org[],4,FALSE), "-", Data_Main[[#This Row],[meta-iati-activity-ref]])</f>
        <v>GB-CHC-288701-UGA50</v>
      </c>
      <c r="J26" s="332" t="s">
        <v>2048</v>
      </c>
      <c r="K26" s="333" t="s">
        <v>1926</v>
      </c>
      <c r="L26" s="324">
        <f t="shared" si="4"/>
        <v>1</v>
      </c>
      <c r="M26" s="325" t="str">
        <f t="shared" si="5"/>
        <v>WaterAid</v>
      </c>
      <c r="N26" s="292" t="str">
        <f>VLOOKUP(Data_Main[[#This Row],[reporting-org]],Data_Org[],4,FALSE)</f>
        <v>GB-CHC-288701</v>
      </c>
      <c r="O26" s="292">
        <f>VLOOKUP(info_reporting_org_type,Table_Org_Type[],2,FALSE)</f>
        <v>21</v>
      </c>
      <c r="P26" s="275" t="str">
        <f t="array" ref="P26">IFERROR(IF(INDEX(Data_Activity_Date[meta-activity-date],MATCH(1,--(Data_Activity_Date[activity-date]="end-actual")*--(Data_Activity_Date[meta-parent-ref]=Data_Main[[#This Row],[meta-iati-activity-ref]]),0))&gt;info_end_range_publish,"Completion","Implementation"),"Implementation")</f>
        <v>Implementation</v>
      </c>
      <c r="Q26" s="292">
        <f>VLOOKUP(Data_Main[[#This Row],[activity-status]],Table_Status[],2,FALSE)</f>
        <v>2</v>
      </c>
      <c r="R26" s="275" t="str">
        <f t="shared" si="6"/>
        <v>Uganda</v>
      </c>
      <c r="S26" s="292" t="str">
        <f>VLOOKUP(R26,Table_Country[],2,FALSE)</f>
        <v>UG</v>
      </c>
      <c r="T26" s="265" t="str">
        <f t="shared" si="7"/>
        <v>Water and sanitation</v>
      </c>
      <c r="U26" s="355" t="s">
        <v>122</v>
      </c>
      <c r="V26" s="292">
        <f>VLOOKUP(T26,Table_DAC_Sector[],2,FALSE)</f>
        <v>140</v>
      </c>
      <c r="W26" s="326">
        <f t="shared" si="8"/>
        <v>100</v>
      </c>
      <c r="X26" s="275" t="str">
        <f>VLOOKUP(Data_Main[[#This Row],[recipient-country]],Table_WA_CPs[],3,FALSE)</f>
        <v>http://www.wateraid.org/uk/where-we-work/page/uganda</v>
      </c>
      <c r="Y26" s="275" t="str">
        <f t="shared" si="9"/>
        <v>Private Grants</v>
      </c>
      <c r="Z26" s="327">
        <f>VLOOKUP(Data_Main[[#This Row],[default-flow-type]],Table_Flow_Type[],2,FALSE)</f>
        <v>30</v>
      </c>
      <c r="AA26" s="275" t="str">
        <f t="shared" si="10"/>
        <v>Aid grant excluding debt reorganisation</v>
      </c>
      <c r="AB26" s="292">
        <f>VLOOKUP(Data_Main[[#This Row],[default-finance-type]],Table_Finance_Type[],2,FALSE)</f>
        <v>110</v>
      </c>
      <c r="AC26" s="275" t="str">
        <f t="shared" si="11"/>
        <v>Project-type interventions</v>
      </c>
      <c r="AD26" s="292" t="str">
        <f>VLOOKUP(Data_Main[[#This Row],[default-aid-type]],Table_Aid_Type[],2,FALSE)</f>
        <v>C01</v>
      </c>
      <c r="AE26" s="336" t="s">
        <v>118</v>
      </c>
      <c r="AF26" s="292">
        <f>VLOOKUP(Data_Main[[#This Row],[default-tied-status]],Table_Tied_Status[],2,FALSE)</f>
        <v>5</v>
      </c>
      <c r="AG26" s="275">
        <f t="shared" si="12"/>
        <v>1</v>
      </c>
      <c r="AH26" s="328" t="str">
        <f t="shared" si="13"/>
        <v>WaterAid</v>
      </c>
      <c r="AI26" s="329" t="str">
        <f t="shared" si="14"/>
        <v>Open data at WaterAid, 47-49 Durham Street, London, SE11 5JD, UK</v>
      </c>
      <c r="AJ26" s="329" t="str">
        <f t="shared" si="15"/>
        <v>opendata@wateraid.org</v>
      </c>
      <c r="AK26" s="329" t="str">
        <f t="shared" si="16"/>
        <v>http://www.wateraid.org/uk/open</v>
      </c>
    </row>
    <row r="27" spans="1:37" ht="45">
      <c r="C27" s="238" t="s">
        <v>1917</v>
      </c>
      <c r="D27" s="331">
        <v>41639</v>
      </c>
      <c r="E27" s="323">
        <f t="shared" si="0"/>
        <v>4</v>
      </c>
      <c r="F27" s="265" t="str">
        <f t="shared" si="1"/>
        <v>en</v>
      </c>
      <c r="G27" s="265" t="str">
        <f t="shared" si="2"/>
        <v>GBP</v>
      </c>
      <c r="H27" s="292" t="str">
        <f t="shared" si="3"/>
        <v>2013-12-19T12:00:00Z</v>
      </c>
      <c r="I27" s="291" t="str">
        <f>CONCATENATE(VLOOKUP(info_reporting_org_name,Data_Org[],4,FALSE), "-", Data_Main[[#This Row],[meta-iati-activity-ref]])</f>
        <v>GB-CHC-288701-UGL50</v>
      </c>
      <c r="J27" s="333" t="s">
        <v>1927</v>
      </c>
      <c r="K27" s="333" t="s">
        <v>1928</v>
      </c>
      <c r="L27" s="324">
        <f t="shared" si="4"/>
        <v>1</v>
      </c>
      <c r="M27" s="325" t="str">
        <f t="shared" si="5"/>
        <v>WaterAid</v>
      </c>
      <c r="N27" s="292" t="str">
        <f>VLOOKUP(Data_Main[[#This Row],[reporting-org]],Data_Org[],4,FALSE)</f>
        <v>GB-CHC-288701</v>
      </c>
      <c r="O27" s="292">
        <f>VLOOKUP(info_reporting_org_type,Table_Org_Type[],2,FALSE)</f>
        <v>21</v>
      </c>
      <c r="P27" s="275" t="str">
        <f t="array" ref="P27">IFERROR(IF(INDEX(Data_Activity_Date[meta-activity-date],MATCH(1,--(Data_Activity_Date[activity-date]="end-actual")*--(Data_Activity_Date[meta-parent-ref]=Data_Main[[#This Row],[meta-iati-activity-ref]]),0))&gt;info_end_range_publish,"Completion","Implementation"),"Implementation")</f>
        <v>Implementation</v>
      </c>
      <c r="Q27" s="292">
        <f>VLOOKUP(Data_Main[[#This Row],[activity-status]],Table_Status[],2,FALSE)</f>
        <v>2</v>
      </c>
      <c r="R27" s="275" t="str">
        <f t="shared" si="6"/>
        <v>Uganda</v>
      </c>
      <c r="S27" s="292" t="str">
        <f>VLOOKUP(R27,Table_Country[],2,FALSE)</f>
        <v>UG</v>
      </c>
      <c r="T27" s="265" t="str">
        <f t="shared" si="7"/>
        <v>Water and sanitation</v>
      </c>
      <c r="U27" s="355" t="s">
        <v>122</v>
      </c>
      <c r="V27" s="292">
        <f>VLOOKUP(T27,Table_DAC_Sector[],2,FALSE)</f>
        <v>140</v>
      </c>
      <c r="W27" s="326">
        <f t="shared" si="8"/>
        <v>100</v>
      </c>
      <c r="X27" s="275" t="str">
        <f>VLOOKUP(Data_Main[[#This Row],[recipient-country]],Table_WA_CPs[],3,FALSE)</f>
        <v>http://www.wateraid.org/uk/where-we-work/page/uganda</v>
      </c>
      <c r="Y27" s="275" t="str">
        <f t="shared" si="9"/>
        <v>Private Grants</v>
      </c>
      <c r="Z27" s="327">
        <f>VLOOKUP(Data_Main[[#This Row],[default-flow-type]],Table_Flow_Type[],2,FALSE)</f>
        <v>30</v>
      </c>
      <c r="AA27" s="275" t="str">
        <f t="shared" si="10"/>
        <v>Aid grant excluding debt reorganisation</v>
      </c>
      <c r="AB27" s="292">
        <f>VLOOKUP(Data_Main[[#This Row],[default-finance-type]],Table_Finance_Type[],2,FALSE)</f>
        <v>110</v>
      </c>
      <c r="AC27" s="275" t="str">
        <f t="shared" si="11"/>
        <v>Project-type interventions</v>
      </c>
      <c r="AD27" s="292" t="str">
        <f>VLOOKUP(Data_Main[[#This Row],[default-aid-type]],Table_Aid_Type[],2,FALSE)</f>
        <v>C01</v>
      </c>
      <c r="AE27" s="336" t="s">
        <v>118</v>
      </c>
      <c r="AF27" s="292">
        <f>VLOOKUP(Data_Main[[#This Row],[default-tied-status]],Table_Tied_Status[],2,FALSE)</f>
        <v>5</v>
      </c>
      <c r="AG27" s="275">
        <f t="shared" si="12"/>
        <v>1</v>
      </c>
      <c r="AH27" s="328" t="str">
        <f t="shared" si="13"/>
        <v>WaterAid</v>
      </c>
      <c r="AI27" s="329" t="str">
        <f t="shared" si="14"/>
        <v>Open data at WaterAid, 47-49 Durham Street, London, SE11 5JD, UK</v>
      </c>
      <c r="AJ27" s="329" t="str">
        <f t="shared" si="15"/>
        <v>opendata@wateraid.org</v>
      </c>
      <c r="AK27" s="329" t="str">
        <f t="shared" si="16"/>
        <v>http://www.wateraid.org/uk/open</v>
      </c>
    </row>
    <row r="28" spans="1:37" ht="120">
      <c r="C28" s="238" t="s">
        <v>1918</v>
      </c>
      <c r="D28" s="331" t="s">
        <v>2053</v>
      </c>
      <c r="E28" s="323">
        <f t="shared" si="0"/>
        <v>4</v>
      </c>
      <c r="F28" s="265" t="str">
        <f t="shared" si="1"/>
        <v>en</v>
      </c>
      <c r="G28" s="265" t="str">
        <f t="shared" si="2"/>
        <v>GBP</v>
      </c>
      <c r="H28" s="292" t="str">
        <f t="shared" si="3"/>
        <v>2013-12-19T12:00:00Z</v>
      </c>
      <c r="I28" s="291" t="str">
        <f>CONCATENATE(VLOOKUP(info_reporting_org_name,Data_Org[],4,FALSE), "-", Data_Main[[#This Row],[meta-iati-activity-ref]])</f>
        <v>GB-CHC-288701-UGR52</v>
      </c>
      <c r="J28" s="332" t="s">
        <v>1929</v>
      </c>
      <c r="K28" s="335" t="s">
        <v>1930</v>
      </c>
      <c r="L28" s="324">
        <f t="shared" si="4"/>
        <v>1</v>
      </c>
      <c r="M28" s="325" t="str">
        <f t="shared" si="5"/>
        <v>WaterAid</v>
      </c>
      <c r="N28" s="292" t="str">
        <f>VLOOKUP(Data_Main[[#This Row],[reporting-org]],Data_Org[],4,FALSE)</f>
        <v>GB-CHC-288701</v>
      </c>
      <c r="O28" s="292">
        <f>VLOOKUP(info_reporting_org_type,Table_Org_Type[],2,FALSE)</f>
        <v>21</v>
      </c>
      <c r="P28" s="275" t="str">
        <f t="array" ref="P28">IFERROR(IF(INDEX(Data_Activity_Date[meta-activity-date],MATCH(1,--(Data_Activity_Date[activity-date]="end-actual")*--(Data_Activity_Date[meta-parent-ref]=Data_Main[[#This Row],[meta-iati-activity-ref]]),0))&gt;info_end_range_publish,"Completion","Implementation"),"Implementation")</f>
        <v>Implementation</v>
      </c>
      <c r="Q28" s="292">
        <f>VLOOKUP(Data_Main[[#This Row],[activity-status]],Table_Status[],2,FALSE)</f>
        <v>2</v>
      </c>
      <c r="R28" s="275" t="str">
        <f t="shared" si="6"/>
        <v>Uganda</v>
      </c>
      <c r="S28" s="292" t="str">
        <f>VLOOKUP(R28,Table_Country[],2,FALSE)</f>
        <v>UG</v>
      </c>
      <c r="T28" s="265" t="str">
        <f t="shared" si="7"/>
        <v>Water and sanitation</v>
      </c>
      <c r="U28" s="355" t="s">
        <v>122</v>
      </c>
      <c r="V28" s="292">
        <f>VLOOKUP(T28,Table_DAC_Sector[],2,FALSE)</f>
        <v>140</v>
      </c>
      <c r="W28" s="237">
        <f t="shared" si="8"/>
        <v>100</v>
      </c>
      <c r="X28" s="275" t="str">
        <f>VLOOKUP(Data_Main[[#This Row],[recipient-country]],Table_WA_CPs[],3,FALSE)</f>
        <v>http://www.wateraid.org/uk/where-we-work/page/uganda</v>
      </c>
      <c r="Y28" s="275" t="str">
        <f t="shared" si="9"/>
        <v>Private Grants</v>
      </c>
      <c r="Z28" s="330">
        <f>VLOOKUP(Data_Main[[#This Row],[default-flow-type]],Table_Flow_Type[],2,FALSE)</f>
        <v>30</v>
      </c>
      <c r="AA28" s="275" t="str">
        <f t="shared" si="10"/>
        <v>Aid grant excluding debt reorganisation</v>
      </c>
      <c r="AB28" s="292">
        <f>VLOOKUP(Data_Main[[#This Row],[default-finance-type]],Table_Finance_Type[],2,FALSE)</f>
        <v>110</v>
      </c>
      <c r="AC28" s="275" t="str">
        <f t="shared" si="11"/>
        <v>Project-type interventions</v>
      </c>
      <c r="AD28" s="292" t="str">
        <f>VLOOKUP(Data_Main[[#This Row],[default-aid-type]],Table_Aid_Type[],2,FALSE)</f>
        <v>C01</v>
      </c>
      <c r="AE28" s="336" t="s">
        <v>1109</v>
      </c>
      <c r="AF28" s="292">
        <f>VLOOKUP(Data_Main[[#This Row],[default-tied-status]],Table_Tied_Status[],2,FALSE)</f>
        <v>3</v>
      </c>
      <c r="AG28" s="275">
        <f t="shared" si="12"/>
        <v>1</v>
      </c>
      <c r="AH28" s="328" t="str">
        <f t="shared" si="13"/>
        <v>WaterAid</v>
      </c>
      <c r="AI28" s="329" t="str">
        <f t="shared" si="14"/>
        <v>Open data at WaterAid, 47-49 Durham Street, London, SE11 5JD, UK</v>
      </c>
      <c r="AJ28" s="329" t="str">
        <f t="shared" si="15"/>
        <v>opendata@wateraid.org</v>
      </c>
      <c r="AK28" s="329" t="str">
        <f t="shared" si="16"/>
        <v>http://www.wateraid.org/uk/open</v>
      </c>
    </row>
  </sheetData>
  <mergeCells count="26">
    <mergeCell ref="A20:B20"/>
    <mergeCell ref="A1:B1"/>
    <mergeCell ref="AE16:AF16"/>
    <mergeCell ref="AG16:AK16"/>
    <mergeCell ref="C5:H5"/>
    <mergeCell ref="A19:B19"/>
    <mergeCell ref="B2:J2"/>
    <mergeCell ref="A17:B17"/>
    <mergeCell ref="A18:B18"/>
    <mergeCell ref="C18:D18"/>
    <mergeCell ref="AE18:AF18"/>
    <mergeCell ref="AC18:AD18"/>
    <mergeCell ref="E18:H18"/>
    <mergeCell ref="K18:L18"/>
    <mergeCell ref="M18:O18"/>
    <mergeCell ref="P18:Q18"/>
    <mergeCell ref="AA18:AB18"/>
    <mergeCell ref="T18:W18"/>
    <mergeCell ref="R18:S18"/>
    <mergeCell ref="AG15:AK15"/>
    <mergeCell ref="AE15:AF15"/>
    <mergeCell ref="B3:H3"/>
    <mergeCell ref="C4:H4"/>
    <mergeCell ref="A7:H7"/>
    <mergeCell ref="C14:D14"/>
    <mergeCell ref="Y18:Z18"/>
  </mergeCells>
  <dataValidations count="13">
    <dataValidation type="list" allowBlank="1" showInputMessage="1" showErrorMessage="1" sqref="C14">
      <formula1>INDIRECT(VLOOKUP(C13,Name_Table_Sector_Vocab,3,FALSE))</formula1>
    </dataValidation>
    <dataValidation type="list" allowBlank="1" showInputMessage="1" showErrorMessage="1" sqref="T21:T28">
      <formula1>INDIRECT(VLOOKUP(#REF!,Name_Table_Sector_Vocab,3,FALSE))</formula1>
    </dataValidation>
    <dataValidation type="list" allowBlank="1" showInputMessage="1" showErrorMessage="1" sqref="G8 Y21:Y28">
      <formula1>List_Flow_Type</formula1>
    </dataValidation>
    <dataValidation type="list" allowBlank="1" showInputMessage="1" showErrorMessage="1" sqref="G9 AA21:AA28">
      <formula1>List_Finance_Type</formula1>
    </dataValidation>
    <dataValidation type="list" allowBlank="1" showInputMessage="1" showErrorMessage="1" sqref="G10 AC21:AC28">
      <formula1>List_Aid_Type</formula1>
    </dataValidation>
    <dataValidation type="list" allowBlank="1" showInputMessage="1" showErrorMessage="1" sqref="C13">
      <formula1>List_Sector_Vocab</formula1>
    </dataValidation>
    <dataValidation type="list" allowBlank="1" showInputMessage="1" showErrorMessage="1" sqref="C9">
      <formula1>List_Language_Code</formula1>
    </dataValidation>
    <dataValidation type="list" allowBlank="1" showInputMessage="1" showErrorMessage="1" sqref="C10">
      <formula1>List_Currency</formula1>
    </dataValidation>
    <dataValidation type="list" allowBlank="1" showInputMessage="1" showErrorMessage="1" sqref="AE21">
      <formula1>List_Tied_Status</formula1>
    </dataValidation>
    <dataValidation type="list" allowBlank="1" showInputMessage="1" showErrorMessage="1" sqref="AG21:AG28">
      <formula1>List_Contact_Type_Code</formula1>
    </dataValidation>
    <dataValidation type="list" allowBlank="1" showInputMessage="1" showErrorMessage="1" sqref="R21:R28">
      <formula1>List_WA_CP</formula1>
    </dataValidation>
    <dataValidation type="list" allowBlank="1" showInputMessage="1" showErrorMessage="1" sqref="P21:P28">
      <formula1>List_Status</formula1>
    </dataValidation>
    <dataValidation type="list" allowBlank="1" showInputMessage="1" showErrorMessage="1" sqref="M21:M28">
      <formula1>List_Org</formula1>
    </dataValidation>
  </dataValidations>
  <hyperlinks>
    <hyperlink ref="AG15" r:id="rId1" display="Activity Documents"/>
    <hyperlink ref="AI17" r:id="rId2"/>
    <hyperlink ref="AJ17" r:id="rId3"/>
    <hyperlink ref="AK17" r:id="rId4"/>
    <hyperlink ref="AK21" r:id="rId5" display="http://www.wateraid.org/uk/open"/>
    <hyperlink ref="AG17" r:id="rId6" display="Contact type"/>
    <hyperlink ref="E20" r:id="rId7"/>
    <hyperlink ref="F20" r:id="rId8"/>
    <hyperlink ref="G20" r:id="rId9"/>
    <hyperlink ref="H20" r:id="rId10"/>
    <hyperlink ref="L20" r:id="rId11"/>
    <hyperlink ref="O20" r:id="rId12"/>
    <hyperlink ref="N20" r:id="rId13"/>
    <hyperlink ref="Q20" r:id="rId14"/>
    <hyperlink ref="S20" r:id="rId15"/>
    <hyperlink ref="T20" r:id="rId16" display="sector@vocabulary"/>
    <hyperlink ref="W20" r:id="rId17"/>
    <hyperlink ref="U20" r:id="rId18"/>
    <hyperlink ref="Z20" r:id="rId19"/>
    <hyperlink ref="AB20" r:id="rId20"/>
    <hyperlink ref="AD20" r:id="rId21"/>
    <hyperlink ref="AF20" r:id="rId22"/>
    <hyperlink ref="AG20" r:id="rId23"/>
  </hyperlinks>
  <pageMargins left="0.17317708333333334" right="0.16328124999999999" top="0.17247023809523809" bottom="0.16369047619047619" header="0.3" footer="0.3"/>
  <pageSetup paperSize="8" scale="28" fitToHeight="0" orientation="landscape"/>
  <legacyDrawing r:id="rId24"/>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ctivityDates">
    <tabColor theme="5" tint="0.39997558519241921"/>
    <pageSetUpPr fitToPage="1"/>
  </sheetPr>
  <dimension ref="A1:I44"/>
  <sheetViews>
    <sheetView tabSelected="1" zoomScaleNormal="100" zoomScalePageLayoutView="85" workbookViewId="0">
      <selection sqref="A1:B1"/>
    </sheetView>
  </sheetViews>
  <sheetFormatPr defaultRowHeight="15"/>
  <cols>
    <col min="1" max="1" width="22.140625" style="87" customWidth="1"/>
    <col min="2" max="2" width="4.42578125" style="87" customWidth="1"/>
    <col min="3" max="3" width="13.7109375" style="87" customWidth="1"/>
    <col min="4" max="4" width="10.85546875" style="14" customWidth="1"/>
    <col min="5" max="5" width="11.28515625" customWidth="1"/>
    <col min="6" max="6" width="19.5703125" style="91" customWidth="1"/>
    <col min="7" max="7" width="37.42578125" customWidth="1"/>
    <col min="8" max="8" width="13.140625" customWidth="1"/>
    <col min="9" max="9" width="12.140625" customWidth="1"/>
  </cols>
  <sheetData>
    <row r="1" spans="1:9" ht="15.75" customHeight="1">
      <c r="A1" s="433" t="s">
        <v>1460</v>
      </c>
      <c r="B1" s="433"/>
      <c r="C1" s="174" t="s">
        <v>1473</v>
      </c>
      <c r="D1" s="175"/>
      <c r="E1" s="175"/>
      <c r="F1" s="164" t="s">
        <v>1475</v>
      </c>
      <c r="G1" s="175"/>
      <c r="H1" s="175"/>
    </row>
    <row r="2" spans="1:9" s="72" customFormat="1" ht="15.75">
      <c r="A2" s="1"/>
      <c r="B2" s="1"/>
      <c r="C2" s="120"/>
      <c r="D2" s="121"/>
      <c r="E2" s="1"/>
      <c r="F2" s="110"/>
      <c r="G2" s="110"/>
      <c r="H2" s="179"/>
    </row>
    <row r="3" spans="1:9" s="80" customFormat="1" ht="16.5" thickBot="1">
      <c r="A3" s="2"/>
      <c r="B3" s="2"/>
      <c r="C3" s="120"/>
      <c r="D3" s="121"/>
      <c r="E3" s="110"/>
      <c r="F3" s="110"/>
      <c r="G3" s="110"/>
      <c r="H3" s="179"/>
    </row>
    <row r="4" spans="1:9" s="84" customFormat="1" ht="16.5" customHeight="1" thickBot="1">
      <c r="A4" s="2"/>
      <c r="B4" s="404" t="s">
        <v>1463</v>
      </c>
      <c r="C4" s="405"/>
      <c r="D4" s="405"/>
      <c r="E4" s="405"/>
      <c r="F4" s="405"/>
      <c r="G4" s="406"/>
      <c r="H4" s="122"/>
    </row>
    <row r="5" spans="1:9" s="84" customFormat="1" ht="15" customHeight="1">
      <c r="A5" s="2"/>
      <c r="B5" s="117"/>
      <c r="C5" s="488" t="s">
        <v>1502</v>
      </c>
      <c r="D5" s="488"/>
      <c r="E5" s="488"/>
      <c r="F5" s="488"/>
      <c r="G5" s="489"/>
      <c r="H5" s="219"/>
    </row>
    <row r="6" spans="1:9" s="84" customFormat="1" ht="15.75" customHeight="1" thickBot="1">
      <c r="A6" s="2"/>
      <c r="B6" s="118"/>
      <c r="C6" s="490" t="s">
        <v>1450</v>
      </c>
      <c r="D6" s="491"/>
      <c r="E6" s="491"/>
      <c r="F6" s="491"/>
      <c r="G6" s="492"/>
      <c r="H6" s="219"/>
    </row>
    <row r="7" spans="1:9" s="84" customFormat="1" ht="15.75" thickBot="1">
      <c r="A7" s="1"/>
      <c r="B7" s="1"/>
      <c r="C7" s="1"/>
      <c r="D7" s="1"/>
      <c r="E7" s="1"/>
      <c r="F7" s="1"/>
      <c r="G7" s="1"/>
      <c r="H7" s="213"/>
    </row>
    <row r="8" spans="1:9" s="91" customFormat="1" ht="15.75" customHeight="1" thickBot="1">
      <c r="A8" s="1"/>
      <c r="B8" s="478" t="s">
        <v>1466</v>
      </c>
      <c r="C8" s="479"/>
      <c r="D8" s="479"/>
      <c r="E8" s="479"/>
      <c r="F8" s="479"/>
      <c r="G8" s="480"/>
      <c r="H8" s="213"/>
    </row>
    <row r="9" spans="1:9" s="91" customFormat="1" ht="27" customHeight="1">
      <c r="A9" s="1"/>
      <c r="B9" s="486" t="s">
        <v>1167</v>
      </c>
      <c r="C9" s="487"/>
      <c r="D9" s="487" t="s">
        <v>1170</v>
      </c>
      <c r="E9" s="487"/>
      <c r="F9" s="487"/>
      <c r="G9" s="493"/>
      <c r="H9" s="213"/>
    </row>
    <row r="10" spans="1:9" s="91" customFormat="1" ht="15" customHeight="1">
      <c r="A10" s="1"/>
      <c r="B10" s="481" t="s">
        <v>1166</v>
      </c>
      <c r="C10" s="482"/>
      <c r="D10" s="482" t="s">
        <v>1171</v>
      </c>
      <c r="E10" s="482"/>
      <c r="F10" s="482"/>
      <c r="G10" s="494"/>
      <c r="H10" s="213"/>
    </row>
    <row r="11" spans="1:9" s="91" customFormat="1" ht="15" customHeight="1">
      <c r="A11" s="1"/>
      <c r="B11" s="483" t="s">
        <v>1165</v>
      </c>
      <c r="C11" s="484"/>
      <c r="D11" s="482" t="s">
        <v>1172</v>
      </c>
      <c r="E11" s="482"/>
      <c r="F11" s="482"/>
      <c r="G11" s="494"/>
      <c r="H11" s="213"/>
    </row>
    <row r="12" spans="1:9" s="84" customFormat="1" ht="15.75" customHeight="1" thickBot="1">
      <c r="A12" s="1"/>
      <c r="B12" s="485" t="s">
        <v>1173</v>
      </c>
      <c r="C12" s="476"/>
      <c r="D12" s="476" t="s">
        <v>1174</v>
      </c>
      <c r="E12" s="476"/>
      <c r="F12" s="476"/>
      <c r="G12" s="477"/>
      <c r="H12" s="213"/>
    </row>
    <row r="13" spans="1:9" s="91" customFormat="1">
      <c r="A13" s="1"/>
      <c r="B13" s="123"/>
      <c r="C13" s="123"/>
      <c r="D13" s="123"/>
      <c r="E13" s="105"/>
      <c r="F13" s="1"/>
      <c r="G13" s="1"/>
      <c r="H13" s="213"/>
    </row>
    <row r="14" spans="1:9" s="72" customFormat="1" ht="16.5" customHeight="1">
      <c r="A14" s="438" t="s">
        <v>1468</v>
      </c>
      <c r="B14" s="438"/>
      <c r="C14" s="438"/>
      <c r="D14" s="438"/>
      <c r="E14" s="438"/>
      <c r="F14" s="438"/>
      <c r="G14" s="302">
        <f>VLOOKUP(info_Activity_File,Table_WA_CPs[],4,FALSE)</f>
        <v>30407</v>
      </c>
      <c r="H14" s="179"/>
      <c r="I14" s="91"/>
    </row>
    <row r="15" spans="1:9" s="91" customFormat="1" ht="15.75">
      <c r="A15" s="124"/>
      <c r="B15" s="217"/>
      <c r="C15" s="124"/>
      <c r="D15" s="124"/>
      <c r="E15" s="124"/>
      <c r="F15" s="110"/>
      <c r="G15" s="110"/>
      <c r="H15" s="179"/>
    </row>
    <row r="16" spans="1:9" s="84" customFormat="1" ht="15.75" thickBot="1">
      <c r="A16" s="1"/>
      <c r="B16" s="1"/>
      <c r="C16" s="105"/>
      <c r="D16" s="115"/>
      <c r="E16" s="1"/>
      <c r="F16" s="1"/>
      <c r="G16" s="1"/>
      <c r="H16" s="213"/>
    </row>
    <row r="17" spans="1:8" ht="31.5" customHeight="1">
      <c r="A17" s="431" t="s">
        <v>1509</v>
      </c>
      <c r="B17" s="432"/>
      <c r="C17" s="382" t="s">
        <v>1461</v>
      </c>
      <c r="D17" s="382" t="s">
        <v>1461</v>
      </c>
      <c r="E17" s="382" t="s">
        <v>1461</v>
      </c>
      <c r="F17" s="181" t="s">
        <v>28</v>
      </c>
      <c r="G17" s="375" t="s">
        <v>28</v>
      </c>
      <c r="H17" s="375" t="s">
        <v>28</v>
      </c>
    </row>
    <row r="18" spans="1:8" ht="55.5" customHeight="1">
      <c r="A18" s="99" t="s">
        <v>1459</v>
      </c>
      <c r="B18" s="102"/>
      <c r="C18" s="473" t="s">
        <v>1462</v>
      </c>
      <c r="D18" s="474"/>
      <c r="E18" s="475"/>
      <c r="F18" s="183" t="s">
        <v>1175</v>
      </c>
      <c r="G18" s="184"/>
      <c r="H18" s="185"/>
    </row>
    <row r="19" spans="1:8" ht="48.75" customHeight="1">
      <c r="A19" s="119" t="s">
        <v>1464</v>
      </c>
      <c r="B19" s="103"/>
      <c r="C19" s="143" t="s">
        <v>1437</v>
      </c>
      <c r="D19" s="144" t="s">
        <v>1451</v>
      </c>
      <c r="E19" s="129" t="s">
        <v>1467</v>
      </c>
      <c r="F19" s="136" t="s">
        <v>1440</v>
      </c>
      <c r="G19" s="137" t="s">
        <v>1469</v>
      </c>
      <c r="H19" s="129" t="s">
        <v>1470</v>
      </c>
    </row>
    <row r="20" spans="1:8" ht="47.25" customHeight="1" thickBot="1">
      <c r="A20" s="125" t="s">
        <v>1465</v>
      </c>
      <c r="B20" s="126"/>
      <c r="C20" s="190" t="s">
        <v>1513</v>
      </c>
      <c r="D20" s="191" t="s">
        <v>1457</v>
      </c>
      <c r="E20" s="192" t="s">
        <v>1500</v>
      </c>
      <c r="F20" s="194" t="s">
        <v>59</v>
      </c>
      <c r="G20" s="386" t="s">
        <v>2026</v>
      </c>
      <c r="H20" s="387" t="s">
        <v>2027</v>
      </c>
    </row>
    <row r="21" spans="1:8" ht="45">
      <c r="C21" s="294" t="str">
        <f>VLOOKUP(Default_Recipient_Country,Table_Country[],2,FALSE)&amp;"999"</f>
        <v>UG999</v>
      </c>
      <c r="D21" s="312">
        <f>VLOOKUP(Data_Activity_Date[[#This Row],[meta-parent-ref]],Data_Main[],2,FALSE)</f>
        <v>41639</v>
      </c>
      <c r="E21" s="295">
        <f>VLOOKUP(Default_Recipient_Country,Table_WA_CPs[],4,FALSE)</f>
        <v>30407</v>
      </c>
      <c r="F21" s="127" t="str">
        <f>VLOOKUP(Data_Activity_Date[[#This Row],[activity-date@type]],Table_WA_Dates[], 2, FALSE)</f>
        <v>Date that project started to the nearest quarter</v>
      </c>
      <c r="G21" s="83" t="s">
        <v>1165</v>
      </c>
      <c r="H21" s="282" t="str">
        <f>TEXT(Data_Activity_Date[[#This Row],[meta-activity-date]],"yyyy-mm-ddZ")</f>
        <v>1983-04-01Z</v>
      </c>
    </row>
    <row r="22" spans="1:8" ht="45">
      <c r="C22" s="294" t="s">
        <v>1912</v>
      </c>
      <c r="D22" s="270">
        <f>VLOOKUP(Data_Activity_Date[[#This Row],[meta-parent-ref]],Data_Main[],2,FALSE)</f>
        <v>41639</v>
      </c>
      <c r="E22" s="338">
        <v>39722</v>
      </c>
      <c r="F22" s="127" t="str">
        <f>VLOOKUP(Data_Activity_Date[[#This Row],[activity-date@type]],Table_WA_Dates[], 2, FALSE)</f>
        <v>Date that project started to the nearest quarter</v>
      </c>
      <c r="G22" s="83" t="s">
        <v>1165</v>
      </c>
      <c r="H22" s="282" t="str">
        <f>TEXT(Data_Activity_Date[[#This Row],[meta-activity-date]],"yyyy-mm-ddZ")</f>
        <v>2008-10-01Z</v>
      </c>
    </row>
    <row r="23" spans="1:8" ht="30">
      <c r="C23" s="294" t="s">
        <v>1912</v>
      </c>
      <c r="D23" s="270">
        <f>VLOOKUP(Data_Activity_Date[[#This Row],[meta-parent-ref]],Data_Main[],2,FALSE)</f>
        <v>41639</v>
      </c>
      <c r="E23" s="338">
        <v>41547</v>
      </c>
      <c r="F23" s="127" t="str">
        <f>VLOOKUP(Data_Activity_Date[[#This Row],[activity-date@type]],Table_WA_Dates[], 2, FALSE)</f>
        <v>Date that project is due to end</v>
      </c>
      <c r="G23" s="337" t="s">
        <v>1166</v>
      </c>
      <c r="H23" s="282" t="str">
        <f>TEXT(Data_Activity_Date[[#This Row],[meta-activity-date]],"yyyy-mm-ddZ")</f>
        <v>2013-09-30Z</v>
      </c>
    </row>
    <row r="24" spans="1:8" ht="45">
      <c r="C24" s="294" t="s">
        <v>1913</v>
      </c>
      <c r="D24" s="270">
        <f>VLOOKUP(Data_Activity_Date[[#This Row],[meta-parent-ref]],Data_Main[],2,FALSE)</f>
        <v>41639</v>
      </c>
      <c r="E24" s="338">
        <v>40634</v>
      </c>
      <c r="F24" s="127" t="str">
        <f>VLOOKUP(Data_Activity_Date[[#This Row],[activity-date@type]],Table_WA_Dates[], 2, FALSE)</f>
        <v>Date that project started to the nearest quarter</v>
      </c>
      <c r="G24" s="83" t="s">
        <v>1165</v>
      </c>
      <c r="H24" s="282" t="str">
        <f>TEXT(Data_Activity_Date[[#This Row],[meta-activity-date]],"yyyy-mm-ddZ")</f>
        <v>2011-04-01Z</v>
      </c>
    </row>
    <row r="25" spans="1:8" ht="30">
      <c r="C25" s="294" t="s">
        <v>1913</v>
      </c>
      <c r="D25" s="270">
        <f>VLOOKUP(Data_Activity_Date[[#This Row],[meta-parent-ref]],Data_Main[],2,FALSE)</f>
        <v>41639</v>
      </c>
      <c r="E25" s="338">
        <v>41729</v>
      </c>
      <c r="F25" s="127" t="str">
        <f>VLOOKUP(Data_Activity_Date[[#This Row],[activity-date@type]],Table_WA_Dates[], 2, FALSE)</f>
        <v>Date that project is due to end</v>
      </c>
      <c r="G25" s="337" t="s">
        <v>1166</v>
      </c>
      <c r="H25" s="282" t="str">
        <f>TEXT(Data_Activity_Date[[#This Row],[meta-activity-date]],"yyyy-mm-ddZ")</f>
        <v>2014-03-31Z</v>
      </c>
    </row>
    <row r="26" spans="1:8" ht="45">
      <c r="C26" s="294" t="s">
        <v>1914</v>
      </c>
      <c r="D26" s="270">
        <f>VLOOKUP(Data_Activity_Date[[#This Row],[meta-parent-ref]],Data_Main[],2,FALSE)</f>
        <v>41639</v>
      </c>
      <c r="E26" s="338">
        <v>40634</v>
      </c>
      <c r="F26" s="127" t="str">
        <f>VLOOKUP(Data_Activity_Date[[#This Row],[activity-date@type]],Table_WA_Dates[], 2, FALSE)</f>
        <v>Date that project started to the nearest quarter</v>
      </c>
      <c r="G26" s="83" t="s">
        <v>1165</v>
      </c>
      <c r="H26" s="282" t="str">
        <f>TEXT(Data_Activity_Date[[#This Row],[meta-activity-date]],"yyyy-mm-ddZ")</f>
        <v>2011-04-01Z</v>
      </c>
    </row>
    <row r="27" spans="1:8" ht="30">
      <c r="C27" s="294" t="s">
        <v>1914</v>
      </c>
      <c r="D27" s="270">
        <f>VLOOKUP(Data_Activity_Date[[#This Row],[meta-parent-ref]],Data_Main[],2,FALSE)</f>
        <v>41639</v>
      </c>
      <c r="E27" s="338">
        <v>42460</v>
      </c>
      <c r="F27" s="127" t="str">
        <f>VLOOKUP(Data_Activity_Date[[#This Row],[activity-date@type]],Table_WA_Dates[], 2, FALSE)</f>
        <v>Date that project is due to end</v>
      </c>
      <c r="G27" s="337" t="s">
        <v>1166</v>
      </c>
      <c r="H27" s="282" t="str">
        <f>TEXT(Data_Activity_Date[[#This Row],[meta-activity-date]],"yyyy-mm-ddZ")</f>
        <v>2016-03-31Z</v>
      </c>
    </row>
    <row r="28" spans="1:8" ht="45.75" thickBot="1">
      <c r="C28" s="294" t="s">
        <v>1915</v>
      </c>
      <c r="D28" s="270">
        <f>VLOOKUP(Data_Activity_Date[[#This Row],[meta-parent-ref]],Data_Main[],2,FALSE)</f>
        <v>41639</v>
      </c>
      <c r="E28" s="339">
        <v>41030</v>
      </c>
      <c r="F28" s="127" t="str">
        <f>VLOOKUP(Data_Activity_Date[[#This Row],[activity-date@type]],Table_WA_Dates[], 2, FALSE)</f>
        <v>Date that project started to the nearest quarter</v>
      </c>
      <c r="G28" s="83" t="s">
        <v>1165</v>
      </c>
      <c r="H28" s="282" t="str">
        <f>TEXT(Data_Activity_Date[[#This Row],[meta-activity-date]],"yyyy-mm-ddZ")</f>
        <v>2012-05-01Z</v>
      </c>
    </row>
    <row r="29" spans="1:8" ht="30">
      <c r="C29" s="294" t="s">
        <v>1915</v>
      </c>
      <c r="D29" s="270">
        <f>VLOOKUP(Data_Activity_Date[[#This Row],[meta-parent-ref]],Data_Main[],2,FALSE)</f>
        <v>41639</v>
      </c>
      <c r="E29" s="338">
        <v>42094</v>
      </c>
      <c r="F29" s="127" t="str">
        <f>VLOOKUP(Data_Activity_Date[[#This Row],[activity-date@type]],Table_WA_Dates[], 2, FALSE)</f>
        <v>Date that project is due to end</v>
      </c>
      <c r="G29" s="337" t="s">
        <v>1166</v>
      </c>
      <c r="H29" s="282" t="str">
        <f>TEXT(Data_Activity_Date[[#This Row],[meta-activity-date]],"yyyy-mm-ddZ")</f>
        <v>2015-03-31Z</v>
      </c>
    </row>
    <row r="30" spans="1:8" ht="45">
      <c r="C30" s="294" t="s">
        <v>1916</v>
      </c>
      <c r="D30" s="270">
        <f>VLOOKUP(Data_Activity_Date[[#This Row],[meta-parent-ref]],Data_Main[],2,FALSE)</f>
        <v>41639</v>
      </c>
      <c r="E30" s="338">
        <v>41365</v>
      </c>
      <c r="F30" s="127" t="str">
        <f>VLOOKUP(Data_Activity_Date[[#This Row],[activity-date@type]],Table_WA_Dates[], 2, FALSE)</f>
        <v>Date that project started to the nearest quarter</v>
      </c>
      <c r="G30" s="83" t="s">
        <v>1165</v>
      </c>
      <c r="H30" s="282" t="str">
        <f>TEXT(Data_Activity_Date[[#This Row],[meta-activity-date]],"yyyy-mm-ddZ")</f>
        <v>2013-04-01Z</v>
      </c>
    </row>
    <row r="31" spans="1:8" ht="30">
      <c r="C31" s="294" t="s">
        <v>1916</v>
      </c>
      <c r="D31" s="270">
        <f>VLOOKUP(Data_Activity_Date[[#This Row],[meta-parent-ref]],Data_Main[],2,FALSE)</f>
        <v>41639</v>
      </c>
      <c r="E31" s="338">
        <v>42023</v>
      </c>
      <c r="F31" s="127" t="str">
        <f>VLOOKUP(Data_Activity_Date[[#This Row],[activity-date@type]],Table_WA_Dates[], 2, FALSE)</f>
        <v>Date that project is due to end</v>
      </c>
      <c r="G31" s="337" t="s">
        <v>1166</v>
      </c>
      <c r="H31" s="282" t="str">
        <f>TEXT(Data_Activity_Date[[#This Row],[meta-activity-date]],"yyyy-mm-ddZ")</f>
        <v>2015-01-19Z</v>
      </c>
    </row>
    <row r="32" spans="1:8" ht="45">
      <c r="C32" s="294" t="s">
        <v>1917</v>
      </c>
      <c r="D32" s="270">
        <f>VLOOKUP(Data_Activity_Date[[#This Row],[meta-parent-ref]],Data_Main[],2,FALSE)</f>
        <v>41639</v>
      </c>
      <c r="E32" s="338">
        <v>41365</v>
      </c>
      <c r="F32" s="127" t="str">
        <f>VLOOKUP(Data_Activity_Date[[#This Row],[activity-date@type]],Table_WA_Dates[], 2, FALSE)</f>
        <v>Date that project started to the nearest quarter</v>
      </c>
      <c r="G32" s="83" t="s">
        <v>1165</v>
      </c>
      <c r="H32" s="282" t="str">
        <f>TEXT(Data_Activity_Date[[#This Row],[meta-activity-date]],"yyyy-mm-ddZ")</f>
        <v>2013-04-01Z</v>
      </c>
    </row>
    <row r="33" spans="1:8" ht="30">
      <c r="C33" s="294" t="s">
        <v>1917</v>
      </c>
      <c r="D33" s="270">
        <f>VLOOKUP(Data_Activity_Date[[#This Row],[meta-parent-ref]],Data_Main[],2,FALSE)</f>
        <v>41639</v>
      </c>
      <c r="E33" s="338">
        <v>42460</v>
      </c>
      <c r="F33" s="127" t="str">
        <f>VLOOKUP(Data_Activity_Date[[#This Row],[activity-date@type]],Table_WA_Dates[], 2, FALSE)</f>
        <v>Date that project is due to end</v>
      </c>
      <c r="G33" s="337" t="s">
        <v>1166</v>
      </c>
      <c r="H33" s="282" t="str">
        <f>TEXT(Data_Activity_Date[[#This Row],[meta-activity-date]],"yyyy-mm-ddZ")</f>
        <v>2016-03-31Z</v>
      </c>
    </row>
    <row r="34" spans="1:8" ht="45">
      <c r="C34" s="294" t="s">
        <v>1918</v>
      </c>
      <c r="D34" s="270" t="str">
        <f>VLOOKUP(Data_Activity_Date[[#This Row],[meta-parent-ref]],Data_Main[],2,FALSE)</f>
        <v>f</v>
      </c>
      <c r="E34" s="338">
        <v>41426</v>
      </c>
      <c r="F34" s="127" t="str">
        <f>VLOOKUP(Data_Activity_Date[[#This Row],[activity-date@type]],Table_WA_Dates[], 2, FALSE)</f>
        <v>Date that project started to the nearest quarter</v>
      </c>
      <c r="G34" s="83" t="s">
        <v>1165</v>
      </c>
      <c r="H34" s="282" t="str">
        <f>TEXT(Data_Activity_Date[[#This Row],[meta-activity-date]],"yyyy-mm-ddZ")</f>
        <v>2013-06-01Z</v>
      </c>
    </row>
    <row r="35" spans="1:8" ht="30.75" thickBot="1">
      <c r="C35" s="294" t="s">
        <v>1918</v>
      </c>
      <c r="D35" s="270" t="str">
        <f>VLOOKUP(Data_Activity_Date[[#This Row],[meta-parent-ref]],Data_Main[],2,FALSE)</f>
        <v>f</v>
      </c>
      <c r="E35" s="339">
        <v>41851</v>
      </c>
      <c r="F35" s="127" t="str">
        <f>VLOOKUP(Data_Activity_Date[[#This Row],[activity-date@type]],Table_WA_Dates[], 2, FALSE)</f>
        <v>Date that project is due to end</v>
      </c>
      <c r="G35" s="337" t="s">
        <v>1166</v>
      </c>
      <c r="H35" s="282" t="str">
        <f>TEXT(Data_Activity_Date[[#This Row],[meta-activity-date]],"yyyy-mm-ddZ")</f>
        <v>2014-07-31Z</v>
      </c>
    </row>
    <row r="38" spans="1:8">
      <c r="A38" s="31"/>
      <c r="B38" s="31"/>
    </row>
    <row r="39" spans="1:8">
      <c r="A39" s="31"/>
      <c r="B39" s="31"/>
    </row>
    <row r="40" spans="1:8">
      <c r="A40" s="31"/>
      <c r="B40" s="31"/>
    </row>
    <row r="41" spans="1:8">
      <c r="A41" s="31"/>
      <c r="B41" s="31"/>
    </row>
    <row r="42" spans="1:8">
      <c r="A42" s="31"/>
      <c r="B42" s="31"/>
    </row>
    <row r="43" spans="1:8">
      <c r="A43" s="31"/>
      <c r="B43" s="31"/>
    </row>
    <row r="44" spans="1:8">
      <c r="A44" s="31"/>
      <c r="B44" s="31"/>
    </row>
  </sheetData>
  <mergeCells count="16">
    <mergeCell ref="A1:B1"/>
    <mergeCell ref="B10:C10"/>
    <mergeCell ref="B11:C11"/>
    <mergeCell ref="B12:C12"/>
    <mergeCell ref="B9:C9"/>
    <mergeCell ref="C5:G5"/>
    <mergeCell ref="B4:G4"/>
    <mergeCell ref="C6:G6"/>
    <mergeCell ref="D9:G9"/>
    <mergeCell ref="D10:G10"/>
    <mergeCell ref="D11:G11"/>
    <mergeCell ref="C18:E18"/>
    <mergeCell ref="A17:B17"/>
    <mergeCell ref="A14:F14"/>
    <mergeCell ref="D12:G12"/>
    <mergeCell ref="B8:G8"/>
  </mergeCells>
  <dataValidations count="3">
    <dataValidation type="list" allowBlank="1" showInputMessage="1" showErrorMessage="1" sqref="G21:G35">
      <formula1>List_Activity_Dates</formula1>
    </dataValidation>
    <dataValidation operator="greaterThan" allowBlank="1" showInputMessage="1" showErrorMessage="1" errorTitle="Must be a date" error="Please press retry to type a valid date in the cell._x000a__x000a_If you would like to fill this cell in later press cancel or retry (then make sure that the cell is blank)." promptTitle="Must be a date" prompt="Please enter a date of the format yyyy-mm-ddZ for example 2012-04-01Z." sqref="H21:H35"/>
    <dataValidation operator="greaterThan" allowBlank="1" showInputMessage="1" showErrorMessage="1" errorTitle="Must be a date" error="Please press retry to type a valid date in the cell._x000a__x000a_If you would like to fill this cell in later press cancel or retry (then make sure that the cell is blank)." promptTitle="Must be a date" prompt="Please enter a date of the format dd/mm/yyyy for example 01/04/2012." sqref="E21"/>
  </dataValidations>
  <hyperlinks>
    <hyperlink ref="H20" r:id="rId1"/>
    <hyperlink ref="G20" r:id="rId2"/>
  </hyperlinks>
  <pageMargins left="0.22058823529411764" right="0.17156862745098039" top="0.18382352941176472" bottom="0.19607843137254902" header="0.3" footer="0.3"/>
  <pageSetup paperSize="9" scale="75" fitToHeight="0" orientation="portrait"/>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artOrgs">
    <tabColor theme="5" tint="0.39997558519241921"/>
    <pageSetUpPr fitToPage="1"/>
  </sheetPr>
  <dimension ref="A1:AJ90"/>
  <sheetViews>
    <sheetView topLeftCell="C1" zoomScaleNormal="100" workbookViewId="0">
      <selection activeCell="C1" sqref="C1"/>
    </sheetView>
  </sheetViews>
  <sheetFormatPr defaultRowHeight="15"/>
  <cols>
    <col min="1" max="1" width="22.140625" style="87" customWidth="1"/>
    <col min="2" max="2" width="4.42578125" style="87" customWidth="1"/>
    <col min="3" max="3" width="13.85546875" style="18" customWidth="1"/>
    <col min="4" max="4" width="13" style="18" customWidth="1"/>
    <col min="5" max="5" width="53.85546875" style="79" customWidth="1"/>
    <col min="6" max="6" width="14.42578125" style="81" customWidth="1"/>
    <col min="7" max="7" width="16.140625" style="17" customWidth="1"/>
    <col min="8" max="8" width="12.7109375" style="22" customWidth="1"/>
    <col min="9" max="16384" width="9.140625" style="17"/>
  </cols>
  <sheetData>
    <row r="1" spans="1:30" s="18" customFormat="1" ht="23.25">
      <c r="A1" s="433" t="s">
        <v>1460</v>
      </c>
      <c r="B1" s="433"/>
      <c r="C1" s="160" t="s">
        <v>1474</v>
      </c>
      <c r="D1" s="161"/>
      <c r="E1" s="173"/>
      <c r="F1" s="164" t="s">
        <v>1475</v>
      </c>
      <c r="G1" s="164"/>
      <c r="H1" s="165"/>
      <c r="I1" s="20"/>
      <c r="J1" s="66"/>
      <c r="K1" s="19"/>
      <c r="L1" s="19"/>
      <c r="M1" s="19"/>
      <c r="N1" s="19"/>
      <c r="O1" s="19"/>
      <c r="P1" s="19"/>
      <c r="Q1" s="8"/>
      <c r="R1" s="19"/>
      <c r="S1" s="19"/>
      <c r="T1" s="19"/>
      <c r="U1" s="6"/>
      <c r="V1" s="6"/>
      <c r="W1" s="6"/>
      <c r="X1" s="6"/>
      <c r="Y1" s="7"/>
      <c r="Z1" s="7"/>
      <c r="AA1" s="7"/>
      <c r="AB1" s="19"/>
      <c r="AC1" s="19"/>
      <c r="AD1" s="19"/>
    </row>
    <row r="2" spans="1:30" ht="15.75" customHeight="1">
      <c r="B2" s="110"/>
      <c r="C2" s="110"/>
      <c r="D2" s="110"/>
      <c r="E2" s="110"/>
      <c r="F2" s="110"/>
      <c r="G2" s="110"/>
      <c r="H2" s="110"/>
      <c r="I2" s="92"/>
      <c r="J2" s="92"/>
    </row>
    <row r="3" spans="1:30" ht="15.75" thickBot="1">
      <c r="A3" s="2"/>
      <c r="B3" s="2"/>
      <c r="C3" s="2"/>
      <c r="D3" s="106"/>
      <c r="E3" s="1"/>
      <c r="F3" s="107"/>
      <c r="G3" s="107"/>
      <c r="H3" s="107"/>
      <c r="I3" s="20"/>
      <c r="J3" s="66"/>
    </row>
    <row r="4" spans="1:30" s="91" customFormat="1" ht="16.5" customHeight="1" thickBot="1">
      <c r="A4" s="2"/>
      <c r="B4" s="500" t="s">
        <v>1463</v>
      </c>
      <c r="C4" s="501"/>
      <c r="D4" s="501"/>
      <c r="E4" s="502"/>
      <c r="F4" s="122"/>
      <c r="G4" s="1"/>
      <c r="H4" s="122"/>
      <c r="I4" s="89"/>
      <c r="J4" s="92"/>
    </row>
    <row r="5" spans="1:30" s="91" customFormat="1" ht="31.5" customHeight="1">
      <c r="A5" s="2"/>
      <c r="B5" s="117"/>
      <c r="C5" s="419" t="s">
        <v>1502</v>
      </c>
      <c r="D5" s="419"/>
      <c r="E5" s="420"/>
      <c r="F5" s="107"/>
      <c r="G5" s="1"/>
      <c r="H5" s="107"/>
      <c r="I5" s="89"/>
      <c r="J5" s="104"/>
    </row>
    <row r="6" spans="1:30" s="91" customFormat="1" ht="15.75" customHeight="1" thickBot="1">
      <c r="A6" s="2"/>
      <c r="B6" s="118"/>
      <c r="C6" s="421" t="s">
        <v>1450</v>
      </c>
      <c r="D6" s="421"/>
      <c r="E6" s="422"/>
      <c r="F6" s="107"/>
      <c r="G6" s="146"/>
      <c r="H6" s="107"/>
      <c r="I6" s="89"/>
      <c r="J6" s="104"/>
    </row>
    <row r="7" spans="1:30" s="91" customFormat="1" ht="15.75" thickBot="1">
      <c r="A7" s="1"/>
      <c r="B7" s="1"/>
      <c r="C7" s="1"/>
      <c r="D7" s="1"/>
      <c r="E7" s="1"/>
      <c r="F7" s="1"/>
      <c r="G7" s="1"/>
      <c r="H7" s="1"/>
      <c r="I7" s="16"/>
      <c r="J7" s="16"/>
    </row>
    <row r="8" spans="1:30" s="91" customFormat="1" ht="16.5" thickBot="1">
      <c r="A8" s="1"/>
      <c r="B8" s="503" t="s">
        <v>1476</v>
      </c>
      <c r="C8" s="504"/>
      <c r="D8" s="504"/>
      <c r="E8" s="504"/>
      <c r="F8" s="504"/>
      <c r="G8" s="505"/>
      <c r="H8" s="1"/>
      <c r="I8" s="16"/>
      <c r="J8" s="16"/>
    </row>
    <row r="9" spans="1:30" s="91" customFormat="1">
      <c r="A9" s="1"/>
      <c r="B9" s="506" t="s">
        <v>76</v>
      </c>
      <c r="C9" s="507"/>
      <c r="D9" s="508" t="s">
        <v>1477</v>
      </c>
      <c r="E9" s="508"/>
      <c r="F9" s="508"/>
      <c r="G9" s="509"/>
      <c r="H9" s="1"/>
      <c r="I9" s="16"/>
      <c r="J9" s="16"/>
    </row>
    <row r="10" spans="1:30" s="91" customFormat="1" ht="32.25" customHeight="1">
      <c r="A10" s="1"/>
      <c r="B10" s="496" t="s">
        <v>1112</v>
      </c>
      <c r="C10" s="497"/>
      <c r="D10" s="488" t="s">
        <v>1478</v>
      </c>
      <c r="E10" s="488"/>
      <c r="F10" s="488"/>
      <c r="G10" s="489"/>
      <c r="H10" s="1"/>
      <c r="I10" s="16"/>
      <c r="J10" s="16"/>
    </row>
    <row r="11" spans="1:30" s="91" customFormat="1" ht="29.25" customHeight="1">
      <c r="A11" s="1"/>
      <c r="B11" s="496" t="s">
        <v>1113</v>
      </c>
      <c r="C11" s="497"/>
      <c r="D11" s="488" t="s">
        <v>1479</v>
      </c>
      <c r="E11" s="488"/>
      <c r="F11" s="488"/>
      <c r="G11" s="489"/>
      <c r="H11" s="1"/>
      <c r="I11" s="16"/>
      <c r="J11" s="16"/>
    </row>
    <row r="12" spans="1:30" s="91" customFormat="1" ht="45" customHeight="1" thickBot="1">
      <c r="A12" s="1"/>
      <c r="B12" s="498" t="s">
        <v>87</v>
      </c>
      <c r="C12" s="499"/>
      <c r="D12" s="510" t="s">
        <v>1480</v>
      </c>
      <c r="E12" s="510"/>
      <c r="F12" s="510"/>
      <c r="G12" s="511"/>
      <c r="H12" s="1"/>
      <c r="I12" s="16"/>
      <c r="J12" s="16"/>
    </row>
    <row r="13" spans="1:30" s="91" customFormat="1">
      <c r="A13" s="1"/>
      <c r="B13" s="1"/>
      <c r="C13" s="1"/>
      <c r="D13" s="1"/>
      <c r="E13" s="1"/>
      <c r="F13" s="1"/>
      <c r="G13" s="1"/>
      <c r="H13" s="1"/>
      <c r="I13" s="16"/>
      <c r="J13" s="16"/>
    </row>
    <row r="14" spans="1:30" s="91" customFormat="1">
      <c r="A14" s="1"/>
      <c r="B14" s="1" t="s">
        <v>1492</v>
      </c>
      <c r="C14" s="1"/>
      <c r="D14" s="1"/>
      <c r="E14" s="1"/>
      <c r="F14" s="1"/>
      <c r="G14" s="1"/>
      <c r="H14" s="1"/>
      <c r="I14" s="16"/>
      <c r="J14" s="16"/>
    </row>
    <row r="15" spans="1:30" s="91" customFormat="1">
      <c r="A15" s="1"/>
      <c r="B15" s="1"/>
      <c r="C15" s="1"/>
      <c r="D15" s="1"/>
      <c r="E15" s="1"/>
      <c r="F15" s="1"/>
      <c r="G15" s="1"/>
      <c r="H15" s="1"/>
      <c r="I15" s="16"/>
      <c r="J15" s="16"/>
    </row>
    <row r="16" spans="1:30" s="91" customFormat="1" ht="15.75" thickBot="1">
      <c r="A16" s="1"/>
      <c r="B16" s="1"/>
      <c r="C16" s="1"/>
      <c r="D16" s="1"/>
      <c r="E16" s="1"/>
      <c r="F16" s="107"/>
      <c r="G16" s="107"/>
      <c r="H16" s="107"/>
      <c r="I16" s="20"/>
      <c r="J16" s="66"/>
    </row>
    <row r="17" spans="1:36" ht="34.5" customHeight="1">
      <c r="A17" s="431" t="s">
        <v>1509</v>
      </c>
      <c r="B17" s="432"/>
      <c r="C17" s="382" t="s">
        <v>1461</v>
      </c>
      <c r="D17" s="382" t="s">
        <v>1461</v>
      </c>
      <c r="E17" s="376" t="s">
        <v>70</v>
      </c>
      <c r="F17" s="376" t="s">
        <v>70</v>
      </c>
      <c r="G17" s="376" t="s">
        <v>70</v>
      </c>
      <c r="H17" s="376" t="s">
        <v>70</v>
      </c>
    </row>
    <row r="18" spans="1:36" s="20" customFormat="1" ht="47.25" customHeight="1">
      <c r="A18" s="465" t="s">
        <v>1459</v>
      </c>
      <c r="B18" s="495"/>
      <c r="C18" s="513" t="s">
        <v>1462</v>
      </c>
      <c r="D18" s="468"/>
      <c r="E18" s="514" t="s">
        <v>71</v>
      </c>
      <c r="F18" s="515"/>
      <c r="G18" s="515"/>
      <c r="H18" s="516"/>
      <c r="N18" s="12"/>
      <c r="O18" s="12"/>
      <c r="P18" s="12"/>
      <c r="Q18" s="12"/>
      <c r="R18" s="12"/>
      <c r="S18" s="12"/>
      <c r="T18" s="13"/>
      <c r="U18" s="11"/>
      <c r="V18" s="10"/>
      <c r="W18" s="10"/>
      <c r="X18" s="12"/>
      <c r="Y18" s="12"/>
      <c r="Z18" s="12"/>
      <c r="AA18" s="12"/>
      <c r="AB18" s="12"/>
      <c r="AC18" s="12"/>
      <c r="AD18" s="12"/>
      <c r="AE18" s="12"/>
      <c r="AF18" s="12"/>
      <c r="AG18" s="12"/>
      <c r="AH18" s="12"/>
      <c r="AI18" s="13"/>
      <c r="AJ18" s="13"/>
    </row>
    <row r="19" spans="1:36" s="20" customFormat="1" ht="45">
      <c r="A19" s="462" t="s">
        <v>1464</v>
      </c>
      <c r="B19" s="463"/>
      <c r="C19" s="128" t="s">
        <v>1437</v>
      </c>
      <c r="D19" s="129" t="s">
        <v>1451</v>
      </c>
      <c r="E19" s="131" t="s">
        <v>62</v>
      </c>
      <c r="F19" s="131" t="s">
        <v>72</v>
      </c>
      <c r="G19" s="147" t="s">
        <v>73</v>
      </c>
      <c r="H19" s="148" t="s">
        <v>74</v>
      </c>
      <c r="I19" s="9"/>
      <c r="N19" s="9"/>
      <c r="O19" s="9"/>
      <c r="P19" s="9"/>
      <c r="Q19" s="9"/>
      <c r="R19" s="9"/>
      <c r="S19" s="9"/>
      <c r="T19" s="9"/>
      <c r="U19" s="9"/>
      <c r="V19" s="9"/>
      <c r="W19" s="9"/>
    </row>
    <row r="20" spans="1:36" s="20" customFormat="1" ht="33" customHeight="1" thickBot="1">
      <c r="A20" s="455" t="s">
        <v>1465</v>
      </c>
      <c r="B20" s="512"/>
      <c r="C20" s="145" t="s">
        <v>1513</v>
      </c>
      <c r="D20" s="101" t="s">
        <v>1457</v>
      </c>
      <c r="E20" s="190" t="s">
        <v>75</v>
      </c>
      <c r="F20" s="388" t="s">
        <v>2028</v>
      </c>
      <c r="G20" s="390" t="s">
        <v>2030</v>
      </c>
      <c r="H20" s="389" t="s">
        <v>2029</v>
      </c>
      <c r="I20" s="9"/>
      <c r="K20" s="19"/>
      <c r="L20" s="19"/>
      <c r="M20" s="9"/>
      <c r="N20" s="9"/>
      <c r="O20" s="9"/>
      <c r="P20" s="9"/>
      <c r="Q20" s="9"/>
      <c r="R20" s="9"/>
      <c r="S20" s="9"/>
      <c r="T20" s="9"/>
      <c r="U20" s="9"/>
      <c r="V20" s="9"/>
      <c r="W20" s="9"/>
      <c r="X20" s="9"/>
      <c r="Y20" s="9"/>
    </row>
    <row r="21" spans="1:36" ht="16.5" customHeight="1">
      <c r="C21" s="238" t="str">
        <f>VLOOKUP(Default_Recipient_Country,Table_Country[],2,FALSE)&amp;"999"</f>
        <v>UG999</v>
      </c>
      <c r="D21" s="313">
        <f t="array" ref="D21">IFERROR(MIN(INDEX(Data_Fund_Flows[meta-first-published],MATCH(1,--(Data_Fund_Flows[meta-partner-name]=Data_Part_Org[[#This Row],[participating-org]])*--(Data_Fund_Flows[meta-parent-ref]=Data_Part_Org[[#This Row],[meta-parent-ref]]),0))),VLOOKUP(Data_Part_Org[[#This Row],[meta-parent-ref]],Data_Main[],2,FALSE))</f>
        <v>41639</v>
      </c>
      <c r="E21" s="304" t="s">
        <v>65</v>
      </c>
      <c r="F21" s="280" t="s">
        <v>76</v>
      </c>
      <c r="G21" s="90" t="str">
        <f>IF(NOT(ISBLANK(VLOOKUP(Data_Part_Org[[#This Row],[participating-org]],Data_Org[],4,FALSE))),VLOOKUP(Data_Part_Org[[#This Row],[participating-org]],Data_Org[],4,FALSE),"")</f>
        <v>GB-CHC-288701</v>
      </c>
      <c r="H21" s="281">
        <f>VLOOKUP(VLOOKUP(Data_Part_Org[[#This Row],[participating-org]],Data_Org[],2,FALSE),Table_Org_Type[],2,FALSE)</f>
        <v>21</v>
      </c>
      <c r="I21" s="21"/>
      <c r="K21" s="19"/>
      <c r="L21" s="19"/>
      <c r="M21" s="21"/>
      <c r="N21" s="21"/>
      <c r="O21" s="21"/>
      <c r="P21" s="21"/>
      <c r="Q21" s="21"/>
      <c r="R21" s="21"/>
      <c r="S21" s="21"/>
      <c r="T21" s="21"/>
      <c r="U21" s="21"/>
      <c r="V21" s="21"/>
      <c r="W21" s="21"/>
      <c r="X21" s="21"/>
      <c r="Y21" s="21"/>
      <c r="Z21" s="21"/>
      <c r="AA21" s="21"/>
      <c r="AB21" s="21"/>
      <c r="AC21" s="21"/>
      <c r="AD21" s="21"/>
      <c r="AE21" s="21"/>
      <c r="AF21" s="21"/>
      <c r="AG21" s="21"/>
      <c r="AH21" s="21"/>
      <c r="AI21" s="21"/>
    </row>
    <row r="22" spans="1:36">
      <c r="C22" s="238" t="s">
        <v>1938</v>
      </c>
      <c r="D22" s="340">
        <f t="array" ref="D22">IFERROR(MIN(INDEX(Data_Fund_Flows[meta-first-published],MATCH(1,--(Data_Fund_Flows[meta-partner-name]=Data_Part_Org[[#This Row],[participating-org]])*--(Data_Fund_Flows[meta-parent-ref]=Data_Part_Org[[#This Row],[meta-parent-ref]]),0))),VLOOKUP(Data_Part_Org[[#This Row],[meta-parent-ref]],Data_Main[],2,FALSE))</f>
        <v>41639</v>
      </c>
      <c r="E22" s="367" t="s">
        <v>1939</v>
      </c>
      <c r="F22" s="280" t="s">
        <v>87</v>
      </c>
      <c r="G22" s="342" t="str">
        <f>IF(NOT(ISBLANK(VLOOKUP(Data_Part_Org[[#This Row],[participating-org]],Data_Org[],4,FALSE))),VLOOKUP(Data_Part_Org[[#This Row],[participating-org]],Data_Org[],4,FALSE),"")</f>
        <v/>
      </c>
      <c r="H22" s="343">
        <f>VLOOKUP(VLOOKUP(Data_Part_Org[[#This Row],[participating-org]],Data_Org[],2,FALSE),Table_Org_Type[],2,FALSE)</f>
        <v>22</v>
      </c>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row>
    <row r="23" spans="1:36">
      <c r="C23" s="238" t="s">
        <v>1938</v>
      </c>
      <c r="D23" s="340">
        <f t="array" ref="D23">IFERROR(MIN(INDEX(Data_Fund_Flows[meta-first-published],MATCH(1,--(Data_Fund_Flows[meta-partner-name]=Data_Part_Org[[#This Row],[participating-org]])*--(Data_Fund_Flows[meta-parent-ref]=Data_Part_Org[[#This Row],[meta-parent-ref]]),0))),VLOOKUP(Data_Part_Org[[#This Row],[meta-parent-ref]],Data_Main[],2,FALSE))</f>
        <v>41639</v>
      </c>
      <c r="E23" s="367" t="s">
        <v>1940</v>
      </c>
      <c r="F23" s="280" t="s">
        <v>87</v>
      </c>
      <c r="G23" s="342" t="str">
        <f>IF(NOT(ISBLANK(VLOOKUP(Data_Part_Org[[#This Row],[participating-org]],Data_Org[],4,FALSE))),VLOOKUP(Data_Part_Org[[#This Row],[participating-org]],Data_Org[],4,FALSE),"")</f>
        <v/>
      </c>
      <c r="H23" s="343">
        <f>VLOOKUP(VLOOKUP(Data_Part_Org[[#This Row],[participating-org]],Data_Org[],2,FALSE),Table_Org_Type[],2,FALSE)</f>
        <v>22</v>
      </c>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row>
    <row r="24" spans="1:36" s="36" customFormat="1">
      <c r="A24" s="87"/>
      <c r="B24" s="87"/>
      <c r="C24" s="238" t="s">
        <v>1938</v>
      </c>
      <c r="D24" s="340">
        <f t="array" ref="D24">IFERROR(MIN(INDEX(Data_Fund_Flows[meta-first-published],MATCH(1,--(Data_Fund_Flows[meta-partner-name]=Data_Part_Org[[#This Row],[participating-org]])*--(Data_Fund_Flows[meta-parent-ref]=Data_Part_Org[[#This Row],[meta-parent-ref]]),0))),VLOOKUP(Data_Part_Org[[#This Row],[meta-parent-ref]],Data_Main[],2,FALSE))</f>
        <v>41639</v>
      </c>
      <c r="E24" s="367" t="s">
        <v>2050</v>
      </c>
      <c r="F24" s="280" t="s">
        <v>87</v>
      </c>
      <c r="G24" s="342" t="str">
        <f>IF(NOT(ISBLANK(VLOOKUP(Data_Part_Org[[#This Row],[participating-org]],Data_Org[],4,FALSE))),VLOOKUP(Data_Part_Org[[#This Row],[participating-org]],Data_Org[],4,FALSE),"")</f>
        <v/>
      </c>
      <c r="H24" s="343">
        <f>VLOOKUP(VLOOKUP(Data_Part_Org[[#This Row],[participating-org]],Data_Org[],2,FALSE),Table_Org_Type[],2,FALSE)</f>
        <v>22</v>
      </c>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row>
    <row r="25" spans="1:36" s="36" customFormat="1">
      <c r="A25" s="87"/>
      <c r="B25" s="87"/>
      <c r="C25" s="238" t="s">
        <v>1938</v>
      </c>
      <c r="D25" s="340">
        <f t="array" ref="D25">IFERROR(MIN(INDEX(Data_Fund_Flows[meta-first-published],MATCH(1,--(Data_Fund_Flows[meta-partner-name]=Data_Part_Org[[#This Row],[participating-org]])*--(Data_Fund_Flows[meta-parent-ref]=Data_Part_Org[[#This Row],[meta-parent-ref]]),0))),VLOOKUP(Data_Part_Org[[#This Row],[meta-parent-ref]],Data_Main[],2,FALSE))</f>
        <v>41639</v>
      </c>
      <c r="E25" s="367" t="s">
        <v>1941</v>
      </c>
      <c r="F25" s="280" t="s">
        <v>87</v>
      </c>
      <c r="G25" s="342" t="str">
        <f>IF(NOT(ISBLANK(VLOOKUP(Data_Part_Org[[#This Row],[participating-org]],Data_Org[],4,FALSE))),VLOOKUP(Data_Part_Org[[#This Row],[participating-org]],Data_Org[],4,FALSE),"")</f>
        <v/>
      </c>
      <c r="H25" s="343">
        <f>VLOOKUP(VLOOKUP(Data_Part_Org[[#This Row],[participating-org]],Data_Org[],2,FALSE),Table_Org_Type[],2,FALSE)</f>
        <v>22</v>
      </c>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row>
    <row r="26" spans="1:36" s="36" customFormat="1">
      <c r="A26" s="87"/>
      <c r="B26" s="87"/>
      <c r="C26" s="238" t="s">
        <v>1938</v>
      </c>
      <c r="D26" s="340">
        <f t="array" ref="D26">IFERROR(MIN(INDEX(Data_Fund_Flows[meta-first-published],MATCH(1,--(Data_Fund_Flows[meta-partner-name]=Data_Part_Org[[#This Row],[participating-org]])*--(Data_Fund_Flows[meta-parent-ref]=Data_Part_Org[[#This Row],[meta-parent-ref]]),0))),VLOOKUP(Data_Part_Org[[#This Row],[meta-parent-ref]],Data_Main[],2,FALSE))</f>
        <v>41639</v>
      </c>
      <c r="E26" s="367" t="s">
        <v>1942</v>
      </c>
      <c r="F26" s="280" t="s">
        <v>87</v>
      </c>
      <c r="G26" s="342" t="str">
        <f>IF(NOT(ISBLANK(VLOOKUP(Data_Part_Org[[#This Row],[participating-org]],Data_Org[],4,FALSE))),VLOOKUP(Data_Part_Org[[#This Row],[participating-org]],Data_Org[],4,FALSE),"")</f>
        <v/>
      </c>
      <c r="H26" s="343">
        <f>VLOOKUP(VLOOKUP(Data_Part_Org[[#This Row],[participating-org]],Data_Org[],2,FALSE),Table_Org_Type[],2,FALSE)</f>
        <v>22</v>
      </c>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row>
    <row r="27" spans="1:36" s="36" customFormat="1">
      <c r="A27" s="87"/>
      <c r="B27" s="87"/>
      <c r="C27" s="238" t="s">
        <v>1938</v>
      </c>
      <c r="D27" s="340">
        <f t="array" ref="D27">IFERROR(MIN(INDEX(Data_Fund_Flows[meta-first-published],MATCH(1,--(Data_Fund_Flows[meta-partner-name]=Data_Part_Org[[#This Row],[participating-org]])*--(Data_Fund_Flows[meta-parent-ref]=Data_Part_Org[[#This Row],[meta-parent-ref]]),0))),VLOOKUP(Data_Part_Org[[#This Row],[meta-parent-ref]],Data_Main[],2,FALSE))</f>
        <v>41639</v>
      </c>
      <c r="E27" s="367" t="s">
        <v>1943</v>
      </c>
      <c r="F27" s="280" t="s">
        <v>87</v>
      </c>
      <c r="G27" s="342" t="str">
        <f>IF(NOT(ISBLANK(VLOOKUP(Data_Part_Org[[#This Row],[participating-org]],Data_Org[],4,FALSE))),VLOOKUP(Data_Part_Org[[#This Row],[participating-org]],Data_Org[],4,FALSE),"")</f>
        <v/>
      </c>
      <c r="H27" s="343">
        <f>VLOOKUP(VLOOKUP(Data_Part_Org[[#This Row],[participating-org]],Data_Org[],2,FALSE),Table_Org_Type[],2,FALSE)</f>
        <v>22</v>
      </c>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row>
    <row r="28" spans="1:36" s="36" customFormat="1">
      <c r="A28" s="87"/>
      <c r="B28" s="87"/>
      <c r="C28" s="238" t="s">
        <v>1938</v>
      </c>
      <c r="D28" s="340">
        <f t="array" ref="D28">IFERROR(MIN(INDEX(Data_Fund_Flows[meta-first-published],MATCH(1,--(Data_Fund_Flows[meta-partner-name]=Data_Part_Org[[#This Row],[participating-org]])*--(Data_Fund_Flows[meta-parent-ref]=Data_Part_Org[[#This Row],[meta-parent-ref]]),0))),VLOOKUP(Data_Part_Org[[#This Row],[meta-parent-ref]],Data_Main[],2,FALSE))</f>
        <v>41639</v>
      </c>
      <c r="E28" s="367" t="s">
        <v>1944</v>
      </c>
      <c r="F28" s="280" t="s">
        <v>87</v>
      </c>
      <c r="G28" s="342" t="str">
        <f>IF(NOT(ISBLANK(VLOOKUP(Data_Part_Org[[#This Row],[participating-org]],Data_Org[],4,FALSE))),VLOOKUP(Data_Part_Org[[#This Row],[participating-org]],Data_Org[],4,FALSE),"")</f>
        <v/>
      </c>
      <c r="H28" s="343">
        <f>VLOOKUP(VLOOKUP(Data_Part_Org[[#This Row],[participating-org]],Data_Org[],2,FALSE),Table_Org_Type[],2,FALSE)</f>
        <v>22</v>
      </c>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row>
    <row r="29" spans="1:36" s="36" customFormat="1">
      <c r="A29" s="87"/>
      <c r="B29" s="87"/>
      <c r="C29" s="238" t="s">
        <v>1938</v>
      </c>
      <c r="D29" s="340">
        <f t="array" ref="D29">IFERROR(MIN(INDEX(Data_Fund_Flows[meta-first-published],MATCH(1,--(Data_Fund_Flows[meta-partner-name]=Data_Part_Org[[#This Row],[participating-org]])*--(Data_Fund_Flows[meta-parent-ref]=Data_Part_Org[[#This Row],[meta-parent-ref]]),0))),VLOOKUP(Data_Part_Org[[#This Row],[meta-parent-ref]],Data_Main[],2,FALSE))</f>
        <v>41639</v>
      </c>
      <c r="E29" s="369" t="s">
        <v>1945</v>
      </c>
      <c r="F29" s="280" t="s">
        <v>87</v>
      </c>
      <c r="G29" s="342" t="str">
        <f>IF(NOT(ISBLANK(VLOOKUP(Data_Part_Org[[#This Row],[participating-org]],Data_Org[],4,FALSE))),VLOOKUP(Data_Part_Org[[#This Row],[participating-org]],Data_Org[],4,FALSE),"")</f>
        <v/>
      </c>
      <c r="H29" s="343">
        <f>VLOOKUP(VLOOKUP(Data_Part_Org[[#This Row],[participating-org]],Data_Org[],2,FALSE),Table_Org_Type[],2,FALSE)</f>
        <v>22</v>
      </c>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row>
    <row r="30" spans="1:36" s="36" customFormat="1">
      <c r="A30" s="87"/>
      <c r="B30" s="87"/>
      <c r="C30" s="238" t="s">
        <v>1938</v>
      </c>
      <c r="D30" s="340">
        <f t="array" ref="D30">IFERROR(MIN(INDEX(Data_Fund_Flows[meta-first-published],MATCH(1,--(Data_Fund_Flows[meta-partner-name]=Data_Part_Org[[#This Row],[participating-org]])*--(Data_Fund_Flows[meta-parent-ref]=Data_Part_Org[[#This Row],[meta-parent-ref]]),0))),VLOOKUP(Data_Part_Org[[#This Row],[meta-parent-ref]],Data_Main[],2,FALSE))</f>
        <v>41639</v>
      </c>
      <c r="E30" s="369" t="s">
        <v>1946</v>
      </c>
      <c r="F30" s="280" t="s">
        <v>87</v>
      </c>
      <c r="G30" s="342" t="str">
        <f>IF(NOT(ISBLANK(VLOOKUP(Data_Part_Org[[#This Row],[participating-org]],Data_Org[],4,FALSE))),VLOOKUP(Data_Part_Org[[#This Row],[participating-org]],Data_Org[],4,FALSE),"")</f>
        <v/>
      </c>
      <c r="H30" s="343">
        <f>VLOOKUP(VLOOKUP(Data_Part_Org[[#This Row],[participating-org]],Data_Org[],2,FALSE),Table_Org_Type[],2,FALSE)</f>
        <v>22</v>
      </c>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row>
    <row r="31" spans="1:36">
      <c r="C31" s="238" t="s">
        <v>1938</v>
      </c>
      <c r="D31" s="340">
        <f t="array" ref="D31">IFERROR(MIN(INDEX(Data_Fund_Flows[meta-first-published],MATCH(1,--(Data_Fund_Flows[meta-partner-name]=Data_Part_Org[[#This Row],[participating-org]])*--(Data_Fund_Flows[meta-parent-ref]=Data_Part_Org[[#This Row],[meta-parent-ref]]),0))),VLOOKUP(Data_Part_Org[[#This Row],[meta-parent-ref]],Data_Main[],2,FALSE))</f>
        <v>41639</v>
      </c>
      <c r="E31" s="369" t="s">
        <v>1947</v>
      </c>
      <c r="F31" s="280" t="s">
        <v>87</v>
      </c>
      <c r="G31" s="342" t="str">
        <f>IF(NOT(ISBLANK(VLOOKUP(Data_Part_Org[[#This Row],[participating-org]],Data_Org[],4,FALSE))),VLOOKUP(Data_Part_Org[[#This Row],[participating-org]],Data_Org[],4,FALSE),"")</f>
        <v/>
      </c>
      <c r="H31" s="343">
        <f>VLOOKUP(VLOOKUP(Data_Part_Org[[#This Row],[participating-org]],Data_Org[],2,FALSE),Table_Org_Type[],2,FALSE)</f>
        <v>22</v>
      </c>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row>
    <row r="32" spans="1:36">
      <c r="C32" s="238" t="s">
        <v>1938</v>
      </c>
      <c r="D32" s="340">
        <f t="array" ref="D32">IFERROR(MIN(INDEX(Data_Fund_Flows[meta-first-published],MATCH(1,--(Data_Fund_Flows[meta-partner-name]=Data_Part_Org[[#This Row],[participating-org]])*--(Data_Fund_Flows[meta-parent-ref]=Data_Part_Org[[#This Row],[meta-parent-ref]]),0))),VLOOKUP(Data_Part_Org[[#This Row],[meta-parent-ref]],Data_Main[],2,FALSE))</f>
        <v>41639</v>
      </c>
      <c r="E32" s="369" t="s">
        <v>65</v>
      </c>
      <c r="F32" s="280" t="s">
        <v>87</v>
      </c>
      <c r="G32" s="342" t="str">
        <f>IF(NOT(ISBLANK(VLOOKUP(Data_Part_Org[[#This Row],[participating-org]],Data_Org[],4,FALSE))),VLOOKUP(Data_Part_Org[[#This Row],[participating-org]],Data_Org[],4,FALSE),"")</f>
        <v>GB-CHC-288701</v>
      </c>
      <c r="H32" s="343">
        <f>VLOOKUP(VLOOKUP(Data_Part_Org[[#This Row],[participating-org]],Data_Org[],2,FALSE),Table_Org_Type[],2,FALSE)</f>
        <v>21</v>
      </c>
      <c r="I32" s="82"/>
      <c r="J32" s="82"/>
      <c r="K32" s="82"/>
      <c r="L32" s="82"/>
    </row>
    <row r="33" spans="3:9">
      <c r="C33" s="238" t="s">
        <v>1912</v>
      </c>
      <c r="D33" s="340">
        <f t="array" ref="D33">IFERROR(MIN(INDEX(Data_Fund_Flows[meta-first-published],MATCH(1,--(Data_Fund_Flows[meta-partner-name]=Data_Part_Org[[#This Row],[participating-org]])*--(Data_Fund_Flows[meta-parent-ref]=Data_Part_Org[[#This Row],[meta-parent-ref]]),0))),VLOOKUP(Data_Part_Org[[#This Row],[meta-parent-ref]],Data_Main[],2,FALSE))</f>
        <v>41639</v>
      </c>
      <c r="E33" s="365" t="s">
        <v>65</v>
      </c>
      <c r="F33" s="280" t="s">
        <v>76</v>
      </c>
      <c r="G33" s="342" t="str">
        <f>IF(NOT(ISBLANK(VLOOKUP(Data_Part_Org[[#This Row],[participating-org]],Data_Org[],4,FALSE))),VLOOKUP(Data_Part_Org[[#This Row],[participating-org]],Data_Org[],4,FALSE),"")</f>
        <v>GB-CHC-288701</v>
      </c>
      <c r="H33" s="343">
        <f>VLOOKUP(VLOOKUP(Data_Part_Org[[#This Row],[participating-org]],Data_Org[],2,FALSE),Table_Org_Type[],2,FALSE)</f>
        <v>21</v>
      </c>
      <c r="I33" s="22"/>
    </row>
    <row r="34" spans="3:9">
      <c r="C34" s="238" t="s">
        <v>1912</v>
      </c>
      <c r="D34" s="340">
        <f t="array" ref="D34">IFERROR(MIN(INDEX(Data_Fund_Flows[meta-first-published],MATCH(1,--(Data_Fund_Flows[meta-partner-name]=Data_Part_Org[[#This Row],[participating-org]])*--(Data_Fund_Flows[meta-parent-ref]=Data_Part_Org[[#This Row],[meta-parent-ref]]),0))),VLOOKUP(Data_Part_Org[[#This Row],[meta-parent-ref]],Data_Main[],2,FALSE))</f>
        <v>41639</v>
      </c>
      <c r="E34" s="346" t="s">
        <v>1931</v>
      </c>
      <c r="F34" s="280" t="s">
        <v>76</v>
      </c>
      <c r="G34" s="342" t="str">
        <f>IF(NOT(ISBLANK(VLOOKUP(Data_Part_Org[[#This Row],[participating-org]],Data_Org[],4,FALSE))),VLOOKUP(Data_Part_Org[[#This Row],[participating-org]],Data_Org[],4,FALSE),"")</f>
        <v/>
      </c>
      <c r="H34" s="343">
        <f>VLOOKUP(VLOOKUP(Data_Part_Org[[#This Row],[participating-org]],Data_Org[],2,FALSE),Table_Org_Type[],2,FALSE)</f>
        <v>10</v>
      </c>
      <c r="I34" s="22"/>
    </row>
    <row r="35" spans="3:9" ht="15.75" thickBot="1">
      <c r="C35" s="238" t="s">
        <v>1912</v>
      </c>
      <c r="D35" s="340">
        <f t="array" ref="D35">IFERROR(MIN(INDEX(Data_Fund_Flows[meta-first-published],MATCH(1,--(Data_Fund_Flows[meta-partner-name]=Data_Part_Org[[#This Row],[participating-org]])*--(Data_Fund_Flows[meta-parent-ref]=Data_Part_Org[[#This Row],[meta-parent-ref]]),0))),VLOOKUP(Data_Part_Org[[#This Row],[meta-parent-ref]],Data_Main[],2,FALSE))</f>
        <v>41639</v>
      </c>
      <c r="E35" s="370" t="s">
        <v>1946</v>
      </c>
      <c r="F35" s="280" t="s">
        <v>87</v>
      </c>
      <c r="G35" s="342" t="str">
        <f>IF(NOT(ISBLANK(VLOOKUP(Data_Part_Org[[#This Row],[participating-org]],Data_Org[],4,FALSE))),VLOOKUP(Data_Part_Org[[#This Row],[participating-org]],Data_Org[],4,FALSE),"")</f>
        <v/>
      </c>
      <c r="H35" s="343">
        <f>VLOOKUP(VLOOKUP(Data_Part_Org[[#This Row],[participating-org]],Data_Org[],2,FALSE),Table_Org_Type[],2,FALSE)</f>
        <v>22</v>
      </c>
      <c r="I35" s="22"/>
    </row>
    <row r="36" spans="3:9">
      <c r="C36" s="347" t="s">
        <v>1912</v>
      </c>
      <c r="D36" s="340">
        <f t="array" ref="D36">IFERROR(MIN(INDEX(Data_Fund_Flows[meta-first-published],MATCH(1,--(Data_Fund_Flows[meta-partner-name]=Data_Part_Org[[#This Row],[participating-org]])*--(Data_Fund_Flows[meta-parent-ref]=Data_Part_Org[[#This Row],[meta-parent-ref]]),0))),VLOOKUP(Data_Part_Org[[#This Row],[meta-parent-ref]],Data_Main[],2,FALSE))</f>
        <v>41639</v>
      </c>
      <c r="E36" s="320" t="s">
        <v>65</v>
      </c>
      <c r="F36" s="341" t="s">
        <v>87</v>
      </c>
      <c r="G36" s="342" t="str">
        <f>IF(NOT(ISBLANK(VLOOKUP(Data_Part_Org[[#This Row],[participating-org]],Data_Org[],4,FALSE))),VLOOKUP(Data_Part_Org[[#This Row],[participating-org]],Data_Org[],4,FALSE),"")</f>
        <v>GB-CHC-288701</v>
      </c>
      <c r="H36" s="343">
        <f>VLOOKUP(VLOOKUP(Data_Part_Org[[#This Row],[participating-org]],Data_Org[],2,FALSE),Table_Org_Type[],2,FALSE)</f>
        <v>21</v>
      </c>
      <c r="I36" s="22"/>
    </row>
    <row r="37" spans="3:9">
      <c r="C37" s="347" t="s">
        <v>1913</v>
      </c>
      <c r="D37" s="340">
        <f t="array" ref="D37">IFERROR(MIN(INDEX(Data_Fund_Flows[meta-first-published],MATCH(1,--(Data_Fund_Flows[meta-partner-name]=Data_Part_Org[[#This Row],[participating-org]])*--(Data_Fund_Flows[meta-parent-ref]=Data_Part_Org[[#This Row],[meta-parent-ref]]),0))),VLOOKUP(Data_Part_Org[[#This Row],[meta-parent-ref]],Data_Main[],2,FALSE))</f>
        <v>41639</v>
      </c>
      <c r="E37" s="368" t="s">
        <v>65</v>
      </c>
      <c r="F37" s="341" t="s">
        <v>76</v>
      </c>
      <c r="G37" s="342" t="str">
        <f>IF(NOT(ISBLANK(VLOOKUP(Data_Part_Org[[#This Row],[participating-org]],Data_Org[],4,FALSE))),VLOOKUP(Data_Part_Org[[#This Row],[participating-org]],Data_Org[],4,FALSE),"")</f>
        <v>GB-CHC-288701</v>
      </c>
      <c r="H37" s="343">
        <f>VLOOKUP(VLOOKUP(Data_Part_Org[[#This Row],[participating-org]],Data_Org[],2,FALSE),Table_Org_Type[],2,FALSE)</f>
        <v>21</v>
      </c>
      <c r="I37" s="22"/>
    </row>
    <row r="38" spans="3:9">
      <c r="C38" s="347" t="s">
        <v>1913</v>
      </c>
      <c r="D38" s="340">
        <f t="array" ref="D38">IFERROR(MIN(INDEX(Data_Fund_Flows[meta-first-published],MATCH(1,--(Data_Fund_Flows[meta-partner-name]=Data_Part_Org[[#This Row],[participating-org]])*--(Data_Fund_Flows[meta-parent-ref]=Data_Part_Org[[#This Row],[meta-parent-ref]]),0))),VLOOKUP(Data_Part_Org[[#This Row],[meta-parent-ref]],Data_Main[],2,FALSE))</f>
        <v>41639</v>
      </c>
      <c r="E38" s="366" t="s">
        <v>1932</v>
      </c>
      <c r="F38" s="341" t="s">
        <v>76</v>
      </c>
      <c r="G38" s="342" t="str">
        <f>IF(NOT(ISBLANK(VLOOKUP(Data_Part_Org[[#This Row],[participating-org]],Data_Org[],4,FALSE))),VLOOKUP(Data_Part_Org[[#This Row],[participating-org]],Data_Org[],4,FALSE),"")</f>
        <v/>
      </c>
      <c r="H38" s="343">
        <f>VLOOKUP(VLOOKUP(Data_Part_Org[[#This Row],[participating-org]],Data_Org[],2,FALSE),Table_Org_Type[],2,FALSE)</f>
        <v>40</v>
      </c>
      <c r="I38" s="22"/>
    </row>
    <row r="39" spans="3:9">
      <c r="C39" s="347" t="s">
        <v>1913</v>
      </c>
      <c r="D39" s="340">
        <f t="array" ref="D39">IFERROR(MIN(INDEX(Data_Fund_Flows[meta-first-published],MATCH(1,--(Data_Fund_Flows[meta-partner-name]=Data_Part_Org[[#This Row],[participating-org]])*--(Data_Fund_Flows[meta-parent-ref]=Data_Part_Org[[#This Row],[meta-parent-ref]]),0))),VLOOKUP(Data_Part_Org[[#This Row],[meta-parent-ref]],Data_Main[],2,FALSE))</f>
        <v>41639</v>
      </c>
      <c r="E39" s="320" t="s">
        <v>65</v>
      </c>
      <c r="F39" s="341" t="s">
        <v>87</v>
      </c>
      <c r="G39" s="342" t="str">
        <f>IF(NOT(ISBLANK(VLOOKUP(Data_Part_Org[[#This Row],[participating-org]],Data_Org[],4,FALSE))),VLOOKUP(Data_Part_Org[[#This Row],[participating-org]],Data_Org[],4,FALSE),"")</f>
        <v>GB-CHC-288701</v>
      </c>
      <c r="H39" s="343">
        <f>VLOOKUP(VLOOKUP(Data_Part_Org[[#This Row],[participating-org]],Data_Org[],2,FALSE),Table_Org_Type[],2,FALSE)</f>
        <v>21</v>
      </c>
      <c r="I39" s="22"/>
    </row>
    <row r="40" spans="3:9">
      <c r="C40" s="347" t="s">
        <v>1914</v>
      </c>
      <c r="D40" s="340">
        <f t="array" ref="D40">IFERROR(MIN(INDEX(Data_Fund_Flows[meta-first-published],MATCH(1,--(Data_Fund_Flows[meta-partner-name]=Data_Part_Org[[#This Row],[participating-org]])*--(Data_Fund_Flows[meta-parent-ref]=Data_Part_Org[[#This Row],[meta-parent-ref]]),0))),VLOOKUP(Data_Part_Org[[#This Row],[meta-parent-ref]],Data_Main[],2,FALSE))</f>
        <v>41639</v>
      </c>
      <c r="E40" s="368" t="s">
        <v>65</v>
      </c>
      <c r="F40" s="341" t="s">
        <v>76</v>
      </c>
      <c r="G40" s="342" t="str">
        <f>IF(NOT(ISBLANK(VLOOKUP(Data_Part_Org[[#This Row],[participating-org]],Data_Org[],4,FALSE))),VLOOKUP(Data_Part_Org[[#This Row],[participating-org]],Data_Org[],4,FALSE),"")</f>
        <v>GB-CHC-288701</v>
      </c>
      <c r="H40" s="343">
        <f>VLOOKUP(VLOOKUP(Data_Part_Org[[#This Row],[participating-org]],Data_Org[],2,FALSE),Table_Org_Type[],2,FALSE)</f>
        <v>21</v>
      </c>
      <c r="I40" s="22"/>
    </row>
    <row r="41" spans="3:9">
      <c r="C41" s="347" t="s">
        <v>1914</v>
      </c>
      <c r="D41" s="340">
        <f t="array" ref="D41">IFERROR(MIN(INDEX(Data_Fund_Flows[meta-first-published],MATCH(1,--(Data_Fund_Flows[meta-partner-name]=Data_Part_Org[[#This Row],[participating-org]])*--(Data_Fund_Flows[meta-parent-ref]=Data_Part_Org[[#This Row],[meta-parent-ref]]),0))),VLOOKUP(Data_Part_Org[[#This Row],[meta-parent-ref]],Data_Main[],2,FALSE))</f>
        <v>41639</v>
      </c>
      <c r="E41" s="366" t="s">
        <v>1933</v>
      </c>
      <c r="F41" s="341" t="s">
        <v>76</v>
      </c>
      <c r="G41" s="342" t="str">
        <f>IF(NOT(ISBLANK(VLOOKUP(Data_Part_Org[[#This Row],[participating-org]],Data_Org[],4,FALSE))),VLOOKUP(Data_Part_Org[[#This Row],[participating-org]],Data_Org[],4,FALSE),"")</f>
        <v/>
      </c>
      <c r="H41" s="343">
        <f>VLOOKUP(VLOOKUP(Data_Part_Org[[#This Row],[participating-org]],Data_Org[],2,FALSE),Table_Org_Type[],2,FALSE)</f>
        <v>40</v>
      </c>
      <c r="I41" s="22"/>
    </row>
    <row r="42" spans="3:9">
      <c r="C42" s="347" t="s">
        <v>1914</v>
      </c>
      <c r="D42" s="340">
        <f t="array" ref="D42">IFERROR(MIN(INDEX(Data_Fund_Flows[meta-first-published],MATCH(1,--(Data_Fund_Flows[meta-partner-name]=Data_Part_Org[[#This Row],[participating-org]])*--(Data_Fund_Flows[meta-parent-ref]=Data_Part_Org[[#This Row],[meta-parent-ref]]),0))),VLOOKUP(Data_Part_Org[[#This Row],[meta-parent-ref]],Data_Main[],2,FALSE))</f>
        <v>41639</v>
      </c>
      <c r="E42" s="320" t="s">
        <v>1948</v>
      </c>
      <c r="F42" s="341" t="s">
        <v>87</v>
      </c>
      <c r="G42" s="342" t="str">
        <f>IF(NOT(ISBLANK(VLOOKUP(Data_Part_Org[[#This Row],[participating-org]],Data_Org[],4,FALSE))),VLOOKUP(Data_Part_Org[[#This Row],[participating-org]],Data_Org[],4,FALSE),"")</f>
        <v/>
      </c>
      <c r="H42" s="343">
        <f>VLOOKUP(VLOOKUP(Data_Part_Org[[#This Row],[participating-org]],Data_Org[],2,FALSE),Table_Org_Type[],2,FALSE)</f>
        <v>22</v>
      </c>
      <c r="I42" s="22"/>
    </row>
    <row r="43" spans="3:9">
      <c r="C43" s="347" t="s">
        <v>1914</v>
      </c>
      <c r="D43" s="340">
        <f t="array" ref="D43">IFERROR(MIN(INDEX(Data_Fund_Flows[meta-first-published],MATCH(1,--(Data_Fund_Flows[meta-partner-name]=Data_Part_Org[[#This Row],[participating-org]])*--(Data_Fund_Flows[meta-parent-ref]=Data_Part_Org[[#This Row],[meta-parent-ref]]),0))),VLOOKUP(Data_Part_Org[[#This Row],[meta-parent-ref]],Data_Main[],2,FALSE))</f>
        <v>41639</v>
      </c>
      <c r="E43" s="320" t="s">
        <v>1940</v>
      </c>
      <c r="F43" s="341" t="s">
        <v>87</v>
      </c>
      <c r="G43" s="342" t="str">
        <f>IF(NOT(ISBLANK(VLOOKUP(Data_Part_Org[[#This Row],[participating-org]],Data_Org[],4,FALSE))),VLOOKUP(Data_Part_Org[[#This Row],[participating-org]],Data_Org[],4,FALSE),"")</f>
        <v/>
      </c>
      <c r="H43" s="343">
        <f>VLOOKUP(VLOOKUP(Data_Part_Org[[#This Row],[participating-org]],Data_Org[],2,FALSE),Table_Org_Type[],2,FALSE)</f>
        <v>22</v>
      </c>
      <c r="I43" s="22"/>
    </row>
    <row r="44" spans="3:9">
      <c r="C44" s="347" t="s">
        <v>1914</v>
      </c>
      <c r="D44" s="340">
        <f t="array" ref="D44">IFERROR(MIN(INDEX(Data_Fund_Flows[meta-first-published],MATCH(1,--(Data_Fund_Flows[meta-partner-name]=Data_Part_Org[[#This Row],[participating-org]])*--(Data_Fund_Flows[meta-parent-ref]=Data_Part_Org[[#This Row],[meta-parent-ref]]),0))),VLOOKUP(Data_Part_Org[[#This Row],[meta-parent-ref]],Data_Main[],2,FALSE))</f>
        <v>41639</v>
      </c>
      <c r="E44" s="401" t="s">
        <v>2050</v>
      </c>
      <c r="F44" s="341" t="s">
        <v>87</v>
      </c>
      <c r="G44" s="342" t="str">
        <f>IF(NOT(ISBLANK(VLOOKUP(Data_Part_Org[[#This Row],[participating-org]],Data_Org[],4,FALSE))),VLOOKUP(Data_Part_Org[[#This Row],[participating-org]],Data_Org[],4,FALSE),"")</f>
        <v/>
      </c>
      <c r="H44" s="343">
        <f>VLOOKUP(VLOOKUP(Data_Part_Org[[#This Row],[participating-org]],Data_Org[],2,FALSE),Table_Org_Type[],2,FALSE)</f>
        <v>22</v>
      </c>
      <c r="I44" s="22"/>
    </row>
    <row r="45" spans="3:9">
      <c r="C45" s="347" t="s">
        <v>1914</v>
      </c>
      <c r="D45" s="340">
        <f t="array" ref="D45">IFERROR(MIN(INDEX(Data_Fund_Flows[meta-first-published],MATCH(1,--(Data_Fund_Flows[meta-partner-name]=Data_Part_Org[[#This Row],[participating-org]])*--(Data_Fund_Flows[meta-parent-ref]=Data_Part_Org[[#This Row],[meta-parent-ref]]),0))),VLOOKUP(Data_Part_Org[[#This Row],[meta-parent-ref]],Data_Main[],2,FALSE))</f>
        <v>41639</v>
      </c>
      <c r="E45" s="320" t="s">
        <v>1941</v>
      </c>
      <c r="F45" s="341" t="s">
        <v>87</v>
      </c>
      <c r="G45" s="342" t="str">
        <f>IF(NOT(ISBLANK(VLOOKUP(Data_Part_Org[[#This Row],[participating-org]],Data_Org[],4,FALSE))),VLOOKUP(Data_Part_Org[[#This Row],[participating-org]],Data_Org[],4,FALSE),"")</f>
        <v/>
      </c>
      <c r="H45" s="343">
        <f>VLOOKUP(VLOOKUP(Data_Part_Org[[#This Row],[participating-org]],Data_Org[],2,FALSE),Table_Org_Type[],2,FALSE)</f>
        <v>22</v>
      </c>
      <c r="I45" s="22"/>
    </row>
    <row r="46" spans="3:9">
      <c r="C46" s="347" t="s">
        <v>1914</v>
      </c>
      <c r="D46" s="340">
        <f t="array" ref="D46">IFERROR(MIN(INDEX(Data_Fund_Flows[meta-first-published],MATCH(1,--(Data_Fund_Flows[meta-partner-name]=Data_Part_Org[[#This Row],[participating-org]])*--(Data_Fund_Flows[meta-parent-ref]=Data_Part_Org[[#This Row],[meta-parent-ref]]),0))),VLOOKUP(Data_Part_Org[[#This Row],[meta-parent-ref]],Data_Main[],2,FALSE))</f>
        <v>41639</v>
      </c>
      <c r="E46" s="320" t="s">
        <v>1942</v>
      </c>
      <c r="F46" s="341" t="s">
        <v>87</v>
      </c>
      <c r="G46" s="342" t="str">
        <f>IF(NOT(ISBLANK(VLOOKUP(Data_Part_Org[[#This Row],[participating-org]],Data_Org[],4,FALSE))),VLOOKUP(Data_Part_Org[[#This Row],[participating-org]],Data_Org[],4,FALSE),"")</f>
        <v/>
      </c>
      <c r="H46" s="343">
        <f>VLOOKUP(VLOOKUP(Data_Part_Org[[#This Row],[participating-org]],Data_Org[],2,FALSE),Table_Org_Type[],2,FALSE)</f>
        <v>22</v>
      </c>
      <c r="I46" s="22"/>
    </row>
    <row r="47" spans="3:9">
      <c r="C47" s="347" t="s">
        <v>1914</v>
      </c>
      <c r="D47" s="340">
        <f t="array" ref="D47">IFERROR(MIN(INDEX(Data_Fund_Flows[meta-first-published],MATCH(1,--(Data_Fund_Flows[meta-partner-name]=Data_Part_Org[[#This Row],[participating-org]])*--(Data_Fund_Flows[meta-parent-ref]=Data_Part_Org[[#This Row],[meta-parent-ref]]),0))),VLOOKUP(Data_Part_Org[[#This Row],[meta-parent-ref]],Data_Main[],2,FALSE))</f>
        <v>41639</v>
      </c>
      <c r="E47" s="320" t="s">
        <v>1943</v>
      </c>
      <c r="F47" s="341" t="s">
        <v>87</v>
      </c>
      <c r="G47" s="342" t="str">
        <f>IF(NOT(ISBLANK(VLOOKUP(Data_Part_Org[[#This Row],[participating-org]],Data_Org[],4,FALSE))),VLOOKUP(Data_Part_Org[[#This Row],[participating-org]],Data_Org[],4,FALSE),"")</f>
        <v/>
      </c>
      <c r="H47" s="343">
        <f>VLOOKUP(VLOOKUP(Data_Part_Org[[#This Row],[participating-org]],Data_Org[],2,FALSE),Table_Org_Type[],2,FALSE)</f>
        <v>22</v>
      </c>
      <c r="I47" s="22"/>
    </row>
    <row r="48" spans="3:9">
      <c r="C48" s="347" t="s">
        <v>1914</v>
      </c>
      <c r="D48" s="340">
        <f t="array" ref="D48">IFERROR(MIN(INDEX(Data_Fund_Flows[meta-first-published],MATCH(1,--(Data_Fund_Flows[meta-partner-name]=Data_Part_Org[[#This Row],[participating-org]])*--(Data_Fund_Flows[meta-parent-ref]=Data_Part_Org[[#This Row],[meta-parent-ref]]),0))),VLOOKUP(Data_Part_Org[[#This Row],[meta-parent-ref]],Data_Main[],2,FALSE))</f>
        <v>41639</v>
      </c>
      <c r="E48" s="320" t="s">
        <v>1944</v>
      </c>
      <c r="F48" s="341" t="s">
        <v>87</v>
      </c>
      <c r="G48" s="342" t="str">
        <f>IF(NOT(ISBLANK(VLOOKUP(Data_Part_Org[[#This Row],[participating-org]],Data_Org[],4,FALSE))),VLOOKUP(Data_Part_Org[[#This Row],[participating-org]],Data_Org[],4,FALSE),"")</f>
        <v/>
      </c>
      <c r="H48" s="343">
        <f>VLOOKUP(VLOOKUP(Data_Part_Org[[#This Row],[participating-org]],Data_Org[],2,FALSE),Table_Org_Type[],2,FALSE)</f>
        <v>22</v>
      </c>
      <c r="I48" s="22"/>
    </row>
    <row r="49" spans="3:9">
      <c r="C49" s="347" t="s">
        <v>1914</v>
      </c>
      <c r="D49" s="340">
        <f t="array" ref="D49">IFERROR(MIN(INDEX(Data_Fund_Flows[meta-first-published],MATCH(1,--(Data_Fund_Flows[meta-partner-name]=Data_Part_Org[[#This Row],[participating-org]])*--(Data_Fund_Flows[meta-parent-ref]=Data_Part_Org[[#This Row],[meta-parent-ref]]),0))),VLOOKUP(Data_Part_Org[[#This Row],[meta-parent-ref]],Data_Main[],2,FALSE))</f>
        <v>41639</v>
      </c>
      <c r="E49" s="320" t="s">
        <v>1947</v>
      </c>
      <c r="F49" s="341" t="s">
        <v>87</v>
      </c>
      <c r="G49" s="342" t="str">
        <f>IF(NOT(ISBLANK(VLOOKUP(Data_Part_Org[[#This Row],[participating-org]],Data_Org[],4,FALSE))),VLOOKUP(Data_Part_Org[[#This Row],[participating-org]],Data_Org[],4,FALSE),"")</f>
        <v/>
      </c>
      <c r="H49" s="343">
        <f>VLOOKUP(VLOOKUP(Data_Part_Org[[#This Row],[participating-org]],Data_Org[],2,FALSE),Table_Org_Type[],2,FALSE)</f>
        <v>22</v>
      </c>
      <c r="I49" s="22"/>
    </row>
    <row r="50" spans="3:9">
      <c r="C50" s="347" t="s">
        <v>1914</v>
      </c>
      <c r="D50" s="340">
        <f t="array" ref="D50">IFERROR(MIN(INDEX(Data_Fund_Flows[meta-first-published],MATCH(1,--(Data_Fund_Flows[meta-partner-name]=Data_Part_Org[[#This Row],[participating-org]])*--(Data_Fund_Flows[meta-parent-ref]=Data_Part_Org[[#This Row],[meta-parent-ref]]),0))),VLOOKUP(Data_Part_Org[[#This Row],[meta-parent-ref]],Data_Main[],2,FALSE))</f>
        <v>41639</v>
      </c>
      <c r="E50" s="320" t="s">
        <v>65</v>
      </c>
      <c r="F50" s="341" t="s">
        <v>87</v>
      </c>
      <c r="G50" s="342" t="str">
        <f>IF(NOT(ISBLANK(VLOOKUP(Data_Part_Org[[#This Row],[participating-org]],Data_Org[],4,FALSE))),VLOOKUP(Data_Part_Org[[#This Row],[participating-org]],Data_Org[],4,FALSE),"")</f>
        <v>GB-CHC-288701</v>
      </c>
      <c r="H50" s="343">
        <f>VLOOKUP(VLOOKUP(Data_Part_Org[[#This Row],[participating-org]],Data_Org[],2,FALSE),Table_Org_Type[],2,FALSE)</f>
        <v>21</v>
      </c>
      <c r="I50" s="22"/>
    </row>
    <row r="51" spans="3:9">
      <c r="C51" s="347" t="s">
        <v>1915</v>
      </c>
      <c r="D51" s="340">
        <f t="array" ref="D51">IFERROR(MIN(INDEX(Data_Fund_Flows[meta-first-published],MATCH(1,--(Data_Fund_Flows[meta-partner-name]=Data_Part_Org[[#This Row],[participating-org]])*--(Data_Fund_Flows[meta-parent-ref]=Data_Part_Org[[#This Row],[meta-parent-ref]]),0))),VLOOKUP(Data_Part_Org[[#This Row],[meta-parent-ref]],Data_Main[],2,FALSE))</f>
        <v>41639</v>
      </c>
      <c r="E51" s="368" t="s">
        <v>65</v>
      </c>
      <c r="F51" s="341" t="s">
        <v>76</v>
      </c>
      <c r="G51" s="342" t="str">
        <f>IF(NOT(ISBLANK(VLOOKUP(Data_Part_Org[[#This Row],[participating-org]],Data_Org[],4,FALSE))),VLOOKUP(Data_Part_Org[[#This Row],[participating-org]],Data_Org[],4,FALSE),"")</f>
        <v>GB-CHC-288701</v>
      </c>
      <c r="H51" s="343">
        <f>VLOOKUP(VLOOKUP(Data_Part_Org[[#This Row],[participating-org]],Data_Org[],2,FALSE),Table_Org_Type[],2,FALSE)</f>
        <v>21</v>
      </c>
      <c r="I51" s="22"/>
    </row>
    <row r="52" spans="3:9">
      <c r="C52" s="347" t="s">
        <v>1915</v>
      </c>
      <c r="D52" s="340">
        <f t="array" ref="D52">IFERROR(MIN(INDEX(Data_Fund_Flows[meta-first-published],MATCH(1,--(Data_Fund_Flows[meta-partner-name]=Data_Part_Org[[#This Row],[participating-org]])*--(Data_Fund_Flows[meta-parent-ref]=Data_Part_Org[[#This Row],[meta-parent-ref]]),0))),VLOOKUP(Data_Part_Org[[#This Row],[meta-parent-ref]],Data_Main[],2,FALSE))</f>
        <v>41639</v>
      </c>
      <c r="E52" s="366" t="s">
        <v>1934</v>
      </c>
      <c r="F52" s="341" t="s">
        <v>76</v>
      </c>
      <c r="G52" s="342" t="str">
        <f>IF(NOT(ISBLANK(VLOOKUP(Data_Part_Org[[#This Row],[participating-org]],Data_Org[],4,FALSE))),VLOOKUP(Data_Part_Org[[#This Row],[participating-org]],Data_Org[],4,FALSE),"")</f>
        <v/>
      </c>
      <c r="H52" s="343">
        <f>VLOOKUP(VLOOKUP(Data_Part_Org[[#This Row],[participating-org]],Data_Org[],2,FALSE),Table_Org_Type[],2,FALSE)</f>
        <v>21</v>
      </c>
      <c r="I52" s="22"/>
    </row>
    <row r="53" spans="3:9">
      <c r="C53" s="347" t="s">
        <v>1915</v>
      </c>
      <c r="D53" s="340">
        <f t="array" ref="D53">IFERROR(MIN(INDEX(Data_Fund_Flows[meta-first-published],MATCH(1,--(Data_Fund_Flows[meta-partner-name]=Data_Part_Org[[#This Row],[participating-org]])*--(Data_Fund_Flows[meta-parent-ref]=Data_Part_Org[[#This Row],[meta-parent-ref]]),0))),VLOOKUP(Data_Part_Org[[#This Row],[meta-parent-ref]],Data_Main[],2,FALSE))</f>
        <v>41639</v>
      </c>
      <c r="E53" s="320" t="s">
        <v>1949</v>
      </c>
      <c r="F53" s="341" t="s">
        <v>87</v>
      </c>
      <c r="G53" s="342" t="str">
        <f>IF(NOT(ISBLANK(VLOOKUP(Data_Part_Org[[#This Row],[participating-org]],Data_Org[],4,FALSE))),VLOOKUP(Data_Part_Org[[#This Row],[participating-org]],Data_Org[],4,FALSE),"")</f>
        <v/>
      </c>
      <c r="H53" s="343">
        <f>VLOOKUP(VLOOKUP(Data_Part_Org[[#This Row],[participating-org]],Data_Org[],2,FALSE),Table_Org_Type[],2,FALSE)</f>
        <v>22</v>
      </c>
      <c r="I53" s="22"/>
    </row>
    <row r="54" spans="3:9">
      <c r="C54" s="347" t="s">
        <v>1915</v>
      </c>
      <c r="D54" s="340">
        <f t="array" ref="D54">IFERROR(MIN(INDEX(Data_Fund_Flows[meta-first-published],MATCH(1,--(Data_Fund_Flows[meta-partner-name]=Data_Part_Org[[#This Row],[participating-org]])*--(Data_Fund_Flows[meta-parent-ref]=Data_Part_Org[[#This Row],[meta-parent-ref]]),0))),VLOOKUP(Data_Part_Org[[#This Row],[meta-parent-ref]],Data_Main[],2,FALSE))</f>
        <v>41639</v>
      </c>
      <c r="E54" s="320" t="s">
        <v>1950</v>
      </c>
      <c r="F54" s="341" t="s">
        <v>87</v>
      </c>
      <c r="G54" s="342" t="str">
        <f>IF(NOT(ISBLANK(VLOOKUP(Data_Part_Org[[#This Row],[participating-org]],Data_Org[],4,FALSE))),VLOOKUP(Data_Part_Org[[#This Row],[participating-org]],Data_Org[],4,FALSE),"")</f>
        <v/>
      </c>
      <c r="H54" s="343">
        <f>VLOOKUP(VLOOKUP(Data_Part_Org[[#This Row],[participating-org]],Data_Org[],2,FALSE),Table_Org_Type[],2,FALSE)</f>
        <v>22</v>
      </c>
      <c r="I54" s="22"/>
    </row>
    <row r="55" spans="3:9">
      <c r="C55" s="347" t="s">
        <v>1915</v>
      </c>
      <c r="D55" s="340">
        <f t="array" ref="D55">IFERROR(MIN(INDEX(Data_Fund_Flows[meta-first-published],MATCH(1,--(Data_Fund_Flows[meta-partner-name]=Data_Part_Org[[#This Row],[participating-org]])*--(Data_Fund_Flows[meta-parent-ref]=Data_Part_Org[[#This Row],[meta-parent-ref]]),0))),VLOOKUP(Data_Part_Org[[#This Row],[meta-parent-ref]],Data_Main[],2,FALSE))</f>
        <v>41639</v>
      </c>
      <c r="E55" s="320" t="s">
        <v>1951</v>
      </c>
      <c r="F55" s="341" t="s">
        <v>87</v>
      </c>
      <c r="G55" s="342" t="str">
        <f>IF(NOT(ISBLANK(VLOOKUP(Data_Part_Org[[#This Row],[participating-org]],Data_Org[],4,FALSE))),VLOOKUP(Data_Part_Org[[#This Row],[participating-org]],Data_Org[],4,FALSE),"")</f>
        <v/>
      </c>
      <c r="H55" s="343">
        <f>VLOOKUP(VLOOKUP(Data_Part_Org[[#This Row],[participating-org]],Data_Org[],2,FALSE),Table_Org_Type[],2,FALSE)</f>
        <v>22</v>
      </c>
      <c r="I55" s="22"/>
    </row>
    <row r="56" spans="3:9">
      <c r="C56" s="347" t="s">
        <v>1915</v>
      </c>
      <c r="D56" s="340">
        <f t="array" ref="D56">IFERROR(MIN(INDEX(Data_Fund_Flows[meta-first-published],MATCH(1,--(Data_Fund_Flows[meta-partner-name]=Data_Part_Org[[#This Row],[participating-org]])*--(Data_Fund_Flows[meta-parent-ref]=Data_Part_Org[[#This Row],[meta-parent-ref]]),0))),VLOOKUP(Data_Part_Org[[#This Row],[meta-parent-ref]],Data_Main[],2,FALSE))</f>
        <v>41639</v>
      </c>
      <c r="E56" s="320" t="s">
        <v>65</v>
      </c>
      <c r="F56" s="341" t="s">
        <v>87</v>
      </c>
      <c r="G56" s="342" t="str">
        <f>IF(NOT(ISBLANK(VLOOKUP(Data_Part_Org[[#This Row],[participating-org]],Data_Org[],4,FALSE))),VLOOKUP(Data_Part_Org[[#This Row],[participating-org]],Data_Org[],4,FALSE),"")</f>
        <v>GB-CHC-288701</v>
      </c>
      <c r="H56" s="343">
        <f>VLOOKUP(VLOOKUP(Data_Part_Org[[#This Row],[participating-org]],Data_Org[],2,FALSE),Table_Org_Type[],2,FALSE)</f>
        <v>21</v>
      </c>
      <c r="I56" s="22"/>
    </row>
    <row r="57" spans="3:9">
      <c r="C57" s="347" t="s">
        <v>1916</v>
      </c>
      <c r="D57" s="340">
        <f t="array" ref="D57">IFERROR(MIN(INDEX(Data_Fund_Flows[meta-first-published],MATCH(1,--(Data_Fund_Flows[meta-partner-name]=Data_Part_Org[[#This Row],[participating-org]])*--(Data_Fund_Flows[meta-parent-ref]=Data_Part_Org[[#This Row],[meta-parent-ref]]),0))),VLOOKUP(Data_Part_Org[[#This Row],[meta-parent-ref]],Data_Main[],2,FALSE))</f>
        <v>41639</v>
      </c>
      <c r="E57" s="368" t="s">
        <v>65</v>
      </c>
      <c r="F57" s="341" t="s">
        <v>76</v>
      </c>
      <c r="G57" s="342" t="str">
        <f>IF(NOT(ISBLANK(VLOOKUP(Data_Part_Org[[#This Row],[participating-org]],Data_Org[],4,FALSE))),VLOOKUP(Data_Part_Org[[#This Row],[participating-org]],Data_Org[],4,FALSE),"")</f>
        <v>GB-CHC-288701</v>
      </c>
      <c r="H57" s="343">
        <f>VLOOKUP(VLOOKUP(Data_Part_Org[[#This Row],[participating-org]],Data_Org[],2,FALSE),Table_Org_Type[],2,FALSE)</f>
        <v>21</v>
      </c>
      <c r="I57" s="22"/>
    </row>
    <row r="58" spans="3:9" ht="45">
      <c r="C58" s="347" t="s">
        <v>1916</v>
      </c>
      <c r="D58" s="340">
        <f t="array" ref="D58">IFERROR(MIN(INDEX(Data_Fund_Flows[meta-first-published],MATCH(1,--(Data_Fund_Flows[meta-partner-name]=Data_Part_Org[[#This Row],[participating-org]])*--(Data_Fund_Flows[meta-parent-ref]=Data_Part_Org[[#This Row],[meta-parent-ref]]),0))),VLOOKUP(Data_Part_Org[[#This Row],[meta-parent-ref]],Data_Main[],2,FALSE))</f>
        <v>41639</v>
      </c>
      <c r="E58" s="366" t="s">
        <v>1935</v>
      </c>
      <c r="F58" s="341" t="s">
        <v>76</v>
      </c>
      <c r="G58" s="342" t="str">
        <f>IF(NOT(ISBLANK(VLOOKUP(Data_Part_Org[[#This Row],[participating-org]],Data_Org[],4,FALSE))),VLOOKUP(Data_Part_Org[[#This Row],[participating-org]],Data_Org[],4,FALSE),"")</f>
        <v/>
      </c>
      <c r="H58" s="343">
        <f>VLOOKUP(VLOOKUP(Data_Part_Org[[#This Row],[participating-org]],Data_Org[],2,FALSE),Table_Org_Type[],2,FALSE)</f>
        <v>10</v>
      </c>
      <c r="I58" s="22"/>
    </row>
    <row r="59" spans="3:9">
      <c r="C59" s="347" t="s">
        <v>1916</v>
      </c>
      <c r="D59" s="340">
        <f t="array" ref="D59">IFERROR(MIN(INDEX(Data_Fund_Flows[meta-first-published],MATCH(1,--(Data_Fund_Flows[meta-partner-name]=Data_Part_Org[[#This Row],[participating-org]])*--(Data_Fund_Flows[meta-parent-ref]=Data_Part_Org[[#This Row],[meta-parent-ref]]),0))),VLOOKUP(Data_Part_Org[[#This Row],[meta-parent-ref]],Data_Main[],2,FALSE))</f>
        <v>41639</v>
      </c>
      <c r="E59" s="320" t="s">
        <v>65</v>
      </c>
      <c r="F59" s="341" t="s">
        <v>87</v>
      </c>
      <c r="G59" s="342" t="str">
        <f>IF(NOT(ISBLANK(VLOOKUP(Data_Part_Org[[#This Row],[participating-org]],Data_Org[],4,FALSE))),VLOOKUP(Data_Part_Org[[#This Row],[participating-org]],Data_Org[],4,FALSE),"")</f>
        <v>GB-CHC-288701</v>
      </c>
      <c r="H59" s="343">
        <f>VLOOKUP(VLOOKUP(Data_Part_Org[[#This Row],[participating-org]],Data_Org[],2,FALSE),Table_Org_Type[],2,FALSE)</f>
        <v>21</v>
      </c>
      <c r="I59" s="22"/>
    </row>
    <row r="60" spans="3:9">
      <c r="C60" s="347" t="s">
        <v>1917</v>
      </c>
      <c r="D60" s="340">
        <f t="array" ref="D60">IFERROR(MIN(INDEX(Data_Fund_Flows[meta-first-published],MATCH(1,--(Data_Fund_Flows[meta-partner-name]=Data_Part_Org[[#This Row],[participating-org]])*--(Data_Fund_Flows[meta-parent-ref]=Data_Part_Org[[#This Row],[meta-parent-ref]]),0))),VLOOKUP(Data_Part_Org[[#This Row],[meta-parent-ref]],Data_Main[],2,FALSE))</f>
        <v>41639</v>
      </c>
      <c r="E60" s="368" t="s">
        <v>65</v>
      </c>
      <c r="F60" s="341" t="s">
        <v>76</v>
      </c>
      <c r="G60" s="342" t="str">
        <f>IF(NOT(ISBLANK(VLOOKUP(Data_Part_Org[[#This Row],[participating-org]],Data_Org[],4,FALSE))),VLOOKUP(Data_Part_Org[[#This Row],[participating-org]],Data_Org[],4,FALSE),"")</f>
        <v>GB-CHC-288701</v>
      </c>
      <c r="H60" s="343">
        <f>VLOOKUP(VLOOKUP(Data_Part_Org[[#This Row],[participating-org]],Data_Org[],2,FALSE),Table_Org_Type[],2,FALSE)</f>
        <v>21</v>
      </c>
      <c r="I60" s="22"/>
    </row>
    <row r="61" spans="3:9">
      <c r="C61" s="347" t="s">
        <v>1917</v>
      </c>
      <c r="D61" s="340">
        <f t="array" ref="D61">IFERROR(MIN(INDEX(Data_Fund_Flows[meta-first-published],MATCH(1,--(Data_Fund_Flows[meta-partner-name]=Data_Part_Org[[#This Row],[participating-org]])*--(Data_Fund_Flows[meta-parent-ref]=Data_Part_Org[[#This Row],[meta-parent-ref]]),0))),VLOOKUP(Data_Part_Org[[#This Row],[meta-parent-ref]],Data_Main[],2,FALSE))</f>
        <v>41639</v>
      </c>
      <c r="E61" s="366" t="s">
        <v>1936</v>
      </c>
      <c r="F61" s="341" t="s">
        <v>76</v>
      </c>
      <c r="G61" s="342" t="str">
        <f>IF(NOT(ISBLANK(VLOOKUP(Data_Part_Org[[#This Row],[participating-org]],Data_Org[],4,FALSE))),VLOOKUP(Data_Part_Org[[#This Row],[participating-org]],Data_Org[],4,FALSE),"")</f>
        <v/>
      </c>
      <c r="H61" s="343">
        <f>VLOOKUP(VLOOKUP(Data_Part_Org[[#This Row],[participating-org]],Data_Org[],2,FALSE),Table_Org_Type[],2,FALSE)</f>
        <v>60</v>
      </c>
      <c r="I61" s="22"/>
    </row>
    <row r="62" spans="3:9">
      <c r="C62" s="347" t="s">
        <v>1917</v>
      </c>
      <c r="D62" s="340">
        <f t="array" ref="D62">IFERROR(MIN(INDEX(Data_Fund_Flows[meta-first-published],MATCH(1,--(Data_Fund_Flows[meta-partner-name]=Data_Part_Org[[#This Row],[participating-org]])*--(Data_Fund_Flows[meta-parent-ref]=Data_Part_Org[[#This Row],[meta-parent-ref]]),0))),VLOOKUP(Data_Part_Org[[#This Row],[meta-parent-ref]],Data_Main[],2,FALSE))</f>
        <v>41639</v>
      </c>
      <c r="E62" s="320" t="s">
        <v>1950</v>
      </c>
      <c r="F62" s="341" t="s">
        <v>87</v>
      </c>
      <c r="G62" s="342" t="str">
        <f>IF(NOT(ISBLANK(VLOOKUP(Data_Part_Org[[#This Row],[participating-org]],Data_Org[],4,FALSE))),VLOOKUP(Data_Part_Org[[#This Row],[participating-org]],Data_Org[],4,FALSE),"")</f>
        <v/>
      </c>
      <c r="H62" s="343">
        <f>VLOOKUP(VLOOKUP(Data_Part_Org[[#This Row],[participating-org]],Data_Org[],2,FALSE),Table_Org_Type[],2,FALSE)</f>
        <v>22</v>
      </c>
      <c r="I62" s="22"/>
    </row>
    <row r="63" spans="3:9">
      <c r="C63" s="347" t="s">
        <v>1917</v>
      </c>
      <c r="D63" s="340">
        <f t="array" ref="D63">IFERROR(MIN(INDEX(Data_Fund_Flows[meta-first-published],MATCH(1,--(Data_Fund_Flows[meta-partner-name]=Data_Part_Org[[#This Row],[participating-org]])*--(Data_Fund_Flows[meta-parent-ref]=Data_Part_Org[[#This Row],[meta-parent-ref]]),0))),VLOOKUP(Data_Part_Org[[#This Row],[meta-parent-ref]],Data_Main[],2,FALSE))</f>
        <v>41639</v>
      </c>
      <c r="E63" s="320" t="s">
        <v>65</v>
      </c>
      <c r="F63" s="341" t="s">
        <v>87</v>
      </c>
      <c r="G63" s="342" t="str">
        <f>IF(NOT(ISBLANK(VLOOKUP(Data_Part_Org[[#This Row],[participating-org]],Data_Org[],4,FALSE))),VLOOKUP(Data_Part_Org[[#This Row],[participating-org]],Data_Org[],4,FALSE),"")</f>
        <v>GB-CHC-288701</v>
      </c>
      <c r="H63" s="343">
        <f>VLOOKUP(VLOOKUP(Data_Part_Org[[#This Row],[participating-org]],Data_Org[],2,FALSE),Table_Org_Type[],2,FALSE)</f>
        <v>21</v>
      </c>
      <c r="I63" s="22"/>
    </row>
    <row r="64" spans="3:9">
      <c r="C64" s="347" t="s">
        <v>1918</v>
      </c>
      <c r="D64" s="313">
        <f t="array" ref="D64">IFERROR(MIN(INDEX(Data_Fund_Flows[meta-first-published],MATCH(1,--(Data_Fund_Flows[meta-partner-name]=Data_Part_Org[[#This Row],[participating-org]])*--(Data_Fund_Flows[meta-parent-ref]=Data_Part_Org[[#This Row],[meta-parent-ref]]),0))),VLOOKUP(Data_Part_Org[[#This Row],[meta-parent-ref]],Data_Main[],2,FALSE))</f>
        <v>41639</v>
      </c>
      <c r="E64" s="368" t="s">
        <v>65</v>
      </c>
      <c r="F64" s="341" t="s">
        <v>76</v>
      </c>
      <c r="G64" s="344" t="str">
        <f>IF(NOT(ISBLANK(VLOOKUP(Data_Part_Org[[#This Row],[participating-org]],Data_Org[],4,FALSE))),VLOOKUP(Data_Part_Org[[#This Row],[participating-org]],Data_Org[],4,FALSE),"")</f>
        <v>GB-CHC-288701</v>
      </c>
      <c r="H64" s="345">
        <f>VLOOKUP(VLOOKUP(Data_Part_Org[[#This Row],[participating-org]],Data_Org[],2,FALSE),Table_Org_Type[],2,FALSE)</f>
        <v>21</v>
      </c>
      <c r="I64" s="22"/>
    </row>
    <row r="65" spans="1:9">
      <c r="C65" s="347" t="s">
        <v>1918</v>
      </c>
      <c r="D65" s="313" t="str">
        <f t="array" ref="D65">IFERROR(MIN(INDEX(Data_Fund_Flows[meta-first-published],MATCH(1,--(Data_Fund_Flows[meta-partner-name]=Data_Part_Org[[#This Row],[participating-org]])*--(Data_Fund_Flows[meta-parent-ref]=Data_Part_Org[[#This Row],[meta-parent-ref]]),0))),VLOOKUP(Data_Part_Org[[#This Row],[meta-parent-ref]],Data_Main[],2,FALSE))</f>
        <v>f</v>
      </c>
      <c r="E65" s="366" t="s">
        <v>1937</v>
      </c>
      <c r="F65" s="341" t="s">
        <v>76</v>
      </c>
      <c r="G65" s="344" t="str">
        <f>IF(NOT(ISBLANK(VLOOKUP(Data_Part_Org[[#This Row],[participating-org]],Data_Org[],4,FALSE))),VLOOKUP(Data_Part_Org[[#This Row],[participating-org]],Data_Org[],4,FALSE),"")</f>
        <v/>
      </c>
      <c r="H65" s="345">
        <f>VLOOKUP(VLOOKUP(Data_Part_Org[[#This Row],[participating-org]],Data_Org[],2,FALSE),Table_Org_Type[],2,FALSE)</f>
        <v>80</v>
      </c>
      <c r="I65" s="22"/>
    </row>
    <row r="66" spans="1:9">
      <c r="C66" s="348" t="s">
        <v>1918</v>
      </c>
      <c r="D66" s="313">
        <f t="array" ref="D66">IFERROR(MIN(INDEX(Data_Fund_Flows[meta-first-published],MATCH(1,--(Data_Fund_Flows[meta-partner-name]=Data_Part_Org[[#This Row],[participating-org]])*--(Data_Fund_Flows[meta-parent-ref]=Data_Part_Org[[#This Row],[meta-parent-ref]]),0))),VLOOKUP(Data_Part_Org[[#This Row],[meta-parent-ref]],Data_Main[],2,FALSE))</f>
        <v>41639</v>
      </c>
      <c r="E66" s="320" t="s">
        <v>65</v>
      </c>
      <c r="F66" s="341" t="s">
        <v>87</v>
      </c>
      <c r="G66" s="344" t="str">
        <f>IF(NOT(ISBLANK(VLOOKUP(Data_Part_Org[[#This Row],[participating-org]],Data_Org[],4,FALSE))),VLOOKUP(Data_Part_Org[[#This Row],[participating-org]],Data_Org[],4,FALSE),"")</f>
        <v>GB-CHC-288701</v>
      </c>
      <c r="H66" s="345">
        <f>VLOOKUP(VLOOKUP(Data_Part_Org[[#This Row],[participating-org]],Data_Org[],2,FALSE),Table_Org_Type[],2,FALSE)</f>
        <v>21</v>
      </c>
      <c r="I66" s="22"/>
    </row>
    <row r="67" spans="1:9">
      <c r="I67" s="22"/>
    </row>
    <row r="68" spans="1:9">
      <c r="I68" s="22"/>
    </row>
    <row r="69" spans="1:9">
      <c r="I69" s="22"/>
    </row>
    <row r="70" spans="1:9">
      <c r="I70" s="22"/>
    </row>
    <row r="71" spans="1:9">
      <c r="I71" s="22"/>
    </row>
    <row r="72" spans="1:9">
      <c r="I72" s="22"/>
    </row>
    <row r="73" spans="1:9">
      <c r="I73" s="22"/>
    </row>
    <row r="74" spans="1:9">
      <c r="I74" s="22"/>
    </row>
    <row r="75" spans="1:9">
      <c r="I75" s="22"/>
    </row>
    <row r="76" spans="1:9">
      <c r="I76" s="22"/>
    </row>
    <row r="77" spans="1:9">
      <c r="I77" s="22"/>
    </row>
    <row r="78" spans="1:9">
      <c r="I78" s="22"/>
    </row>
    <row r="79" spans="1:9">
      <c r="A79" s="31"/>
      <c r="B79" s="31"/>
      <c r="I79" s="22"/>
    </row>
    <row r="80" spans="1:9">
      <c r="A80" s="31"/>
      <c r="B80" s="31"/>
      <c r="I80" s="22"/>
    </row>
    <row r="81" spans="1:9">
      <c r="A81" s="31"/>
      <c r="B81" s="31"/>
      <c r="I81" s="22"/>
    </row>
    <row r="82" spans="1:9">
      <c r="A82" s="31"/>
      <c r="B82" s="31"/>
      <c r="I82" s="22"/>
    </row>
    <row r="83" spans="1:9">
      <c r="A83" s="31"/>
      <c r="B83" s="31"/>
      <c r="I83" s="22"/>
    </row>
    <row r="84" spans="1:9">
      <c r="A84" s="31"/>
      <c r="B84" s="31"/>
      <c r="I84" s="22"/>
    </row>
    <row r="85" spans="1:9">
      <c r="A85" s="31"/>
      <c r="B85" s="31"/>
      <c r="I85" s="22"/>
    </row>
    <row r="86" spans="1:9">
      <c r="I86" s="22"/>
    </row>
    <row r="87" spans="1:9">
      <c r="I87" s="22"/>
    </row>
    <row r="88" spans="1:9">
      <c r="I88" s="22"/>
    </row>
    <row r="89" spans="1:9">
      <c r="I89" s="22"/>
    </row>
    <row r="90" spans="1:9">
      <c r="I90" s="22"/>
    </row>
  </sheetData>
  <sortState ref="E9:O31">
    <sortCondition ref="E9:E31"/>
  </sortState>
  <mergeCells count="19">
    <mergeCell ref="A19:B19"/>
    <mergeCell ref="A20:B20"/>
    <mergeCell ref="C18:D18"/>
    <mergeCell ref="C5:E5"/>
    <mergeCell ref="C6:E6"/>
    <mergeCell ref="E18:H18"/>
    <mergeCell ref="A1:B1"/>
    <mergeCell ref="A17:B17"/>
    <mergeCell ref="A18:B18"/>
    <mergeCell ref="B11:C11"/>
    <mergeCell ref="B12:C12"/>
    <mergeCell ref="B4:E4"/>
    <mergeCell ref="B8:G8"/>
    <mergeCell ref="B9:C9"/>
    <mergeCell ref="B10:C10"/>
    <mergeCell ref="D9:G9"/>
    <mergeCell ref="D10:G10"/>
    <mergeCell ref="D11:G11"/>
    <mergeCell ref="D12:G12"/>
  </mergeCells>
  <dataValidations count="2">
    <dataValidation type="list" allowBlank="1" showInputMessage="1" showErrorMessage="1" sqref="F21:F66">
      <formula1>List_Org_Role</formula1>
    </dataValidation>
    <dataValidation type="list" allowBlank="1" showInputMessage="1" showErrorMessage="1" sqref="E21:E28">
      <formula1>List_Org</formula1>
    </dataValidation>
  </dataValidations>
  <hyperlinks>
    <hyperlink ref="F20" r:id="rId1"/>
    <hyperlink ref="H20" r:id="rId2"/>
    <hyperlink ref="G20" r:id="rId3"/>
  </hyperlinks>
  <pageMargins left="0.18083333333333335" right="0.18145833333333333" top="0.171875" bottom="0.18562500000000001" header="0.3" footer="0.3"/>
  <pageSetup paperSize="9" scale="66" fitToHeight="0" orientation="portrait"/>
  <legacyDrawing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Tx">
    <tabColor theme="5" tint="0.39997558519241921"/>
    <pageSetUpPr fitToPage="1"/>
  </sheetPr>
  <dimension ref="A1:W79"/>
  <sheetViews>
    <sheetView zoomScaleNormal="100" zoomScalePageLayoutView="85" workbookViewId="0">
      <selection sqref="A1:B1"/>
    </sheetView>
  </sheetViews>
  <sheetFormatPr defaultRowHeight="15"/>
  <cols>
    <col min="1" max="1" width="22.140625" style="87" customWidth="1"/>
    <col min="2" max="2" width="4.42578125" style="87" customWidth="1"/>
    <col min="3" max="3" width="13" style="17" customWidth="1"/>
    <col min="4" max="4" width="16.7109375" style="34" customWidth="1"/>
    <col min="5" max="5" width="12.5703125" style="19" customWidth="1"/>
    <col min="6" max="6" width="53.28515625" style="18" customWidth="1"/>
    <col min="7" max="7" width="38.5703125" style="34" customWidth="1"/>
    <col min="8" max="8" width="16.28515625" style="34" customWidth="1"/>
    <col min="9" max="9" width="9.28515625" style="18" customWidth="1"/>
    <col min="10" max="10" width="34.42578125" style="26" customWidth="1"/>
    <col min="11" max="11" width="26.140625" style="25" customWidth="1"/>
    <col min="12" max="12" width="13.5703125" style="19" customWidth="1"/>
    <col min="13" max="13" width="19.28515625" customWidth="1"/>
    <col min="14" max="14" width="13.5703125" customWidth="1"/>
    <col min="15" max="15" width="15.85546875" customWidth="1"/>
    <col min="16" max="16" width="17" style="14" customWidth="1"/>
    <col min="17" max="17" width="6" style="34" customWidth="1"/>
    <col min="18" max="18" width="30.85546875" style="79" customWidth="1"/>
    <col min="19" max="19" width="15.140625" style="79" customWidth="1"/>
    <col min="20" max="20" width="22.42578125" style="34" customWidth="1"/>
    <col min="21" max="21" width="37.7109375" style="34" customWidth="1"/>
    <col min="22" max="22" width="15.85546875" style="18" customWidth="1"/>
    <col min="23" max="23" width="21.85546875" style="18" customWidth="1"/>
    <col min="24" max="16384" width="9.140625" style="18"/>
  </cols>
  <sheetData>
    <row r="1" spans="1:23" ht="18.75" customHeight="1">
      <c r="A1" s="433" t="s">
        <v>1460</v>
      </c>
      <c r="B1" s="433"/>
      <c r="C1" s="160" t="s">
        <v>1485</v>
      </c>
      <c r="D1" s="161"/>
      <c r="E1" s="162"/>
      <c r="F1" s="163" t="s">
        <v>1475</v>
      </c>
      <c r="G1" s="164"/>
      <c r="H1" s="165"/>
      <c r="I1" s="165"/>
      <c r="J1" s="161"/>
      <c r="K1" s="166"/>
      <c r="L1" s="167"/>
      <c r="M1" s="168"/>
      <c r="N1" s="168"/>
      <c r="O1" s="169"/>
      <c r="P1" s="170"/>
      <c r="Q1" s="170"/>
      <c r="R1" s="170"/>
      <c r="S1" s="170"/>
      <c r="T1" s="170"/>
      <c r="U1" s="171"/>
      <c r="V1" s="172"/>
      <c r="W1" s="172"/>
    </row>
    <row r="2" spans="1:23" s="35" customFormat="1" ht="15.75">
      <c r="A2" s="208"/>
      <c r="B2" s="464" t="s">
        <v>141</v>
      </c>
      <c r="C2" s="464"/>
      <c r="D2" s="464"/>
      <c r="E2" s="464"/>
      <c r="F2" s="464"/>
      <c r="G2" s="464"/>
      <c r="H2" s="464"/>
      <c r="I2" s="464"/>
      <c r="J2" s="464"/>
      <c r="K2" s="111"/>
      <c r="L2" s="109"/>
      <c r="M2" s="109"/>
      <c r="N2" s="109"/>
      <c r="O2" s="107"/>
      <c r="P2" s="108"/>
      <c r="Q2" s="108"/>
      <c r="R2" s="108"/>
      <c r="S2" s="108"/>
      <c r="T2" s="108"/>
      <c r="U2" s="108"/>
      <c r="V2" s="2"/>
      <c r="W2" s="216"/>
    </row>
    <row r="3" spans="1:23" s="35" customFormat="1" ht="15.75" thickBot="1">
      <c r="A3" s="2"/>
      <c r="B3" s="2"/>
      <c r="C3" s="2"/>
      <c r="D3" s="106"/>
      <c r="E3" s="1"/>
      <c r="F3" s="107"/>
      <c r="G3" s="107"/>
      <c r="H3" s="107"/>
      <c r="I3" s="107"/>
      <c r="J3" s="106"/>
      <c r="K3" s="111"/>
      <c r="L3" s="109"/>
      <c r="M3" s="109"/>
      <c r="N3" s="109"/>
      <c r="O3" s="107"/>
      <c r="P3" s="108"/>
      <c r="Q3" s="108"/>
      <c r="R3" s="108"/>
      <c r="S3" s="108"/>
      <c r="T3" s="108"/>
      <c r="U3" s="108"/>
      <c r="V3" s="2"/>
      <c r="W3" s="216"/>
    </row>
    <row r="4" spans="1:23" s="35" customFormat="1" ht="16.5" customHeight="1" thickBot="1">
      <c r="A4" s="2"/>
      <c r="B4" s="521" t="s">
        <v>1463</v>
      </c>
      <c r="C4" s="522"/>
      <c r="D4" s="522"/>
      <c r="E4" s="522"/>
      <c r="F4" s="523"/>
      <c r="G4" s="122"/>
      <c r="H4" s="216"/>
      <c r="I4" s="529" t="s">
        <v>1486</v>
      </c>
      <c r="J4" s="530"/>
      <c r="K4" s="216"/>
      <c r="L4" s="216"/>
      <c r="M4" s="109"/>
      <c r="N4" s="109"/>
      <c r="O4" s="107"/>
      <c r="P4" s="108"/>
      <c r="Q4" s="108"/>
      <c r="R4" s="108"/>
      <c r="S4" s="108"/>
      <c r="T4" s="108"/>
      <c r="U4" s="108"/>
      <c r="V4" s="2"/>
      <c r="W4" s="216"/>
    </row>
    <row r="5" spans="1:23" ht="30" customHeight="1">
      <c r="A5" s="2"/>
      <c r="B5" s="239"/>
      <c r="C5" s="519" t="s">
        <v>1502</v>
      </c>
      <c r="D5" s="519"/>
      <c r="E5" s="519"/>
      <c r="F5" s="520"/>
      <c r="G5" s="107"/>
      <c r="H5" s="216"/>
      <c r="I5" s="152" t="s">
        <v>105</v>
      </c>
      <c r="J5" s="153" t="s">
        <v>106</v>
      </c>
      <c r="K5" s="216"/>
      <c r="L5" s="216"/>
      <c r="M5" s="109"/>
      <c r="N5" s="108"/>
      <c r="O5" s="159"/>
      <c r="P5" s="109"/>
      <c r="Q5" s="109"/>
      <c r="R5" s="109"/>
      <c r="S5" s="109"/>
      <c r="T5" s="109"/>
      <c r="U5" s="108"/>
      <c r="V5" s="2"/>
      <c r="W5" s="216"/>
    </row>
    <row r="6" spans="1:23" s="87" customFormat="1" ht="15.75" customHeight="1" thickBot="1">
      <c r="A6" s="2"/>
      <c r="B6" s="118"/>
      <c r="C6" s="421" t="s">
        <v>1450</v>
      </c>
      <c r="D6" s="421"/>
      <c r="E6" s="421"/>
      <c r="F6" s="422"/>
      <c r="G6" s="107"/>
      <c r="H6" s="216"/>
      <c r="I6" s="154" t="s">
        <v>1083</v>
      </c>
      <c r="J6" s="155" t="s">
        <v>107</v>
      </c>
      <c r="K6" s="216"/>
      <c r="L6" s="216"/>
      <c r="M6" s="109"/>
      <c r="N6" s="108"/>
      <c r="O6" s="159"/>
      <c r="P6" s="109"/>
      <c r="Q6" s="109"/>
      <c r="R6" s="109"/>
      <c r="S6" s="109"/>
      <c r="T6" s="109"/>
      <c r="U6" s="108"/>
      <c r="V6" s="2"/>
      <c r="W6" s="216"/>
    </row>
    <row r="7" spans="1:23" s="87" customFormat="1" ht="15.75" thickBot="1">
      <c r="A7" s="1"/>
      <c r="B7" s="1"/>
      <c r="C7" s="1"/>
      <c r="D7" s="1"/>
      <c r="E7" s="1"/>
      <c r="F7" s="1"/>
      <c r="G7" s="1"/>
      <c r="H7" s="216"/>
      <c r="I7" s="154" t="s">
        <v>1123</v>
      </c>
      <c r="J7" s="155" t="s">
        <v>1124</v>
      </c>
      <c r="K7" s="216"/>
      <c r="L7" s="216"/>
      <c r="M7" s="109"/>
      <c r="N7" s="108"/>
      <c r="O7" s="159"/>
      <c r="P7" s="109"/>
      <c r="Q7" s="109"/>
      <c r="R7" s="109"/>
      <c r="S7" s="109"/>
      <c r="T7" s="109"/>
      <c r="U7" s="108"/>
      <c r="V7" s="2"/>
      <c r="W7" s="216"/>
    </row>
    <row r="8" spans="1:23" s="87" customFormat="1" ht="16.5" thickBot="1">
      <c r="A8" s="2"/>
      <c r="B8" s="207"/>
      <c r="C8" s="524" t="s">
        <v>1501</v>
      </c>
      <c r="D8" s="525"/>
      <c r="E8" s="525"/>
      <c r="F8" s="526"/>
      <c r="G8" s="1"/>
      <c r="H8" s="216"/>
      <c r="I8" s="154" t="s">
        <v>1089</v>
      </c>
      <c r="J8" s="155" t="s">
        <v>108</v>
      </c>
      <c r="K8" s="216"/>
      <c r="L8" s="216"/>
      <c r="M8" s="109"/>
      <c r="N8" s="108"/>
      <c r="O8" s="159"/>
      <c r="P8" s="109"/>
      <c r="Q8" s="109"/>
      <c r="R8" s="109"/>
      <c r="S8" s="109"/>
      <c r="T8" s="109"/>
      <c r="U8" s="108"/>
      <c r="V8" s="2"/>
      <c r="W8" s="216"/>
    </row>
    <row r="9" spans="1:23" s="87" customFormat="1">
      <c r="A9" s="2"/>
      <c r="B9" s="2"/>
      <c r="C9" s="2"/>
      <c r="D9" s="1"/>
      <c r="E9" s="1"/>
      <c r="F9" s="1"/>
      <c r="G9" s="1"/>
      <c r="H9" s="216"/>
      <c r="I9" s="154" t="s">
        <v>109</v>
      </c>
      <c r="J9" s="155" t="s">
        <v>110</v>
      </c>
      <c r="K9" s="216"/>
      <c r="L9" s="216"/>
      <c r="M9" s="109"/>
      <c r="N9" s="108"/>
      <c r="O9" s="159"/>
      <c r="P9" s="109"/>
      <c r="Q9" s="109"/>
      <c r="R9" s="109"/>
      <c r="S9" s="109"/>
      <c r="T9" s="109"/>
      <c r="U9" s="108"/>
      <c r="V9" s="2"/>
      <c r="W9" s="216"/>
    </row>
    <row r="10" spans="1:23" s="87" customFormat="1">
      <c r="A10" s="2"/>
      <c r="B10" s="2"/>
      <c r="C10" s="2"/>
      <c r="D10" s="1"/>
      <c r="E10" s="1"/>
      <c r="F10" s="1"/>
      <c r="G10" s="1"/>
      <c r="H10" s="216"/>
      <c r="I10" s="154" t="s">
        <v>595</v>
      </c>
      <c r="J10" s="155" t="s">
        <v>1125</v>
      </c>
      <c r="K10" s="216"/>
      <c r="L10" s="216"/>
      <c r="M10" s="109"/>
      <c r="N10" s="108"/>
      <c r="O10" s="159"/>
      <c r="P10" s="109"/>
      <c r="Q10" s="109"/>
      <c r="R10" s="109"/>
      <c r="S10" s="109"/>
      <c r="T10" s="109"/>
      <c r="U10" s="108"/>
      <c r="V10" s="2"/>
      <c r="W10" s="216"/>
    </row>
    <row r="11" spans="1:23" s="87" customFormat="1">
      <c r="A11" s="2"/>
      <c r="B11" s="2"/>
      <c r="C11" s="2"/>
      <c r="D11" s="1"/>
      <c r="E11" s="1"/>
      <c r="F11" s="1"/>
      <c r="G11" s="1"/>
      <c r="H11" s="216"/>
      <c r="I11" s="154" t="s">
        <v>616</v>
      </c>
      <c r="J11" s="155" t="s">
        <v>1126</v>
      </c>
      <c r="K11" s="216"/>
      <c r="L11" s="216"/>
      <c r="M11" s="109"/>
      <c r="N11" s="108"/>
      <c r="O11" s="159"/>
      <c r="P11" s="109"/>
      <c r="Q11" s="109"/>
      <c r="R11" s="109"/>
      <c r="S11" s="109"/>
      <c r="T11" s="109"/>
      <c r="U11" s="108"/>
      <c r="V11" s="2"/>
      <c r="W11" s="216"/>
    </row>
    <row r="12" spans="1:23" s="87" customFormat="1">
      <c r="A12" s="2"/>
      <c r="B12" s="2"/>
      <c r="C12" s="2"/>
      <c r="D12" s="1"/>
      <c r="E12" s="1"/>
      <c r="F12" s="1"/>
      <c r="G12" s="1"/>
      <c r="H12" s="216"/>
      <c r="I12" s="154" t="s">
        <v>1127</v>
      </c>
      <c r="J12" s="155" t="s">
        <v>1128</v>
      </c>
      <c r="K12" s="216"/>
      <c r="L12" s="216"/>
      <c r="M12" s="109"/>
      <c r="N12" s="108"/>
      <c r="O12" s="159"/>
      <c r="P12" s="109"/>
      <c r="Q12" s="109"/>
      <c r="R12" s="109"/>
      <c r="S12" s="109"/>
      <c r="T12" s="109"/>
      <c r="U12" s="108"/>
      <c r="V12" s="2"/>
      <c r="W12" s="216"/>
    </row>
    <row r="13" spans="1:23" s="87" customFormat="1">
      <c r="A13" s="2"/>
      <c r="B13" s="2"/>
      <c r="C13" s="2"/>
      <c r="D13" s="1"/>
      <c r="E13" s="1"/>
      <c r="F13" s="1"/>
      <c r="G13" s="1"/>
      <c r="H13" s="216"/>
      <c r="I13" s="154" t="s">
        <v>1129</v>
      </c>
      <c r="J13" s="155" t="s">
        <v>1130</v>
      </c>
      <c r="K13" s="216"/>
      <c r="L13" s="216"/>
      <c r="M13" s="109"/>
      <c r="N13" s="108"/>
      <c r="O13" s="159"/>
      <c r="P13" s="109"/>
      <c r="Q13" s="109"/>
      <c r="R13" s="109"/>
      <c r="S13" s="109"/>
      <c r="T13" s="109"/>
      <c r="U13" s="108"/>
      <c r="V13" s="2"/>
      <c r="W13" s="216"/>
    </row>
    <row r="14" spans="1:23" s="87" customFormat="1" ht="15.75" thickBot="1">
      <c r="A14" s="2"/>
      <c r="B14" s="2"/>
      <c r="C14" s="2"/>
      <c r="D14" s="1"/>
      <c r="E14" s="1"/>
      <c r="F14" s="1"/>
      <c r="G14" s="1"/>
      <c r="H14" s="216"/>
      <c r="I14" s="156" t="s">
        <v>669</v>
      </c>
      <c r="J14" s="157" t="s">
        <v>1131</v>
      </c>
      <c r="K14" s="216"/>
      <c r="L14" s="216"/>
      <c r="M14" s="109"/>
      <c r="N14" s="108"/>
      <c r="O14" s="159"/>
      <c r="P14" s="109"/>
      <c r="Q14" s="109"/>
      <c r="R14" s="109"/>
      <c r="S14" s="109"/>
      <c r="T14" s="109"/>
      <c r="U14" s="108"/>
      <c r="V14" s="2"/>
      <c r="W14" s="216"/>
    </row>
    <row r="15" spans="1:23" s="211" customFormat="1" ht="15.75">
      <c r="A15" s="216"/>
      <c r="B15" s="216"/>
      <c r="C15" s="216"/>
      <c r="D15" s="213"/>
      <c r="E15" s="213"/>
      <c r="F15" s="213"/>
      <c r="G15" s="213"/>
      <c r="H15" s="213"/>
      <c r="I15" s="213"/>
      <c r="J15" s="213"/>
      <c r="K15" s="214"/>
      <c r="L15" s="218"/>
      <c r="M15" s="109"/>
      <c r="N15" s="220"/>
      <c r="O15" s="159"/>
      <c r="P15" s="109"/>
      <c r="Q15" s="109"/>
      <c r="R15" s="109"/>
      <c r="S15" s="109"/>
      <c r="T15" s="109"/>
      <c r="U15" s="220"/>
      <c r="V15" s="216"/>
      <c r="W15" s="216"/>
    </row>
    <row r="16" spans="1:23" s="211" customFormat="1" ht="16.5" thickBot="1">
      <c r="A16" s="216"/>
      <c r="B16" s="216"/>
      <c r="C16" s="235"/>
      <c r="D16" s="236"/>
      <c r="E16" s="236"/>
      <c r="F16" s="236"/>
      <c r="G16" s="213"/>
      <c r="H16" s="213"/>
      <c r="I16" s="213"/>
      <c r="J16" s="213"/>
      <c r="K16" s="214"/>
      <c r="L16" s="218"/>
      <c r="M16" s="109"/>
      <c r="N16" s="220"/>
      <c r="O16" s="159"/>
      <c r="P16" s="109"/>
      <c r="Q16" s="109"/>
      <c r="R16" s="109"/>
      <c r="S16" s="109"/>
      <c r="T16" s="109"/>
      <c r="U16" s="220"/>
      <c r="V16" s="216"/>
      <c r="W16" s="216"/>
    </row>
    <row r="17" spans="1:23" s="20" customFormat="1" ht="31.5" customHeight="1">
      <c r="A17" s="431" t="s">
        <v>1509</v>
      </c>
      <c r="B17" s="432"/>
      <c r="C17" s="382" t="s">
        <v>1461</v>
      </c>
      <c r="D17" s="382" t="s">
        <v>1461</v>
      </c>
      <c r="E17" s="382" t="s">
        <v>1461</v>
      </c>
      <c r="F17" s="382" t="s">
        <v>1461</v>
      </c>
      <c r="G17" s="221" t="s">
        <v>1511</v>
      </c>
      <c r="H17" s="393" t="s">
        <v>2</v>
      </c>
      <c r="I17" s="393" t="s">
        <v>2</v>
      </c>
      <c r="J17" s="209" t="s">
        <v>3</v>
      </c>
      <c r="K17" s="393" t="s">
        <v>4</v>
      </c>
      <c r="L17" s="393" t="s">
        <v>4</v>
      </c>
      <c r="M17" s="395" t="s">
        <v>1</v>
      </c>
      <c r="N17" s="395" t="s">
        <v>1</v>
      </c>
      <c r="O17" s="395" t="s">
        <v>1</v>
      </c>
      <c r="P17" s="393" t="s">
        <v>96</v>
      </c>
      <c r="Q17" s="393" t="s">
        <v>96</v>
      </c>
      <c r="R17" s="397" t="s">
        <v>5</v>
      </c>
      <c r="S17" s="397" t="s">
        <v>5</v>
      </c>
      <c r="T17" s="397" t="s">
        <v>5</v>
      </c>
      <c r="U17" s="398" t="s">
        <v>99</v>
      </c>
      <c r="V17" s="398" t="s">
        <v>99</v>
      </c>
      <c r="W17" s="398" t="s">
        <v>99</v>
      </c>
    </row>
    <row r="18" spans="1:23" s="20" customFormat="1" ht="45" customHeight="1">
      <c r="A18" s="465" t="s">
        <v>1459</v>
      </c>
      <c r="B18" s="466"/>
      <c r="C18" s="473" t="s">
        <v>1462</v>
      </c>
      <c r="D18" s="474"/>
      <c r="E18" s="474"/>
      <c r="F18" s="475"/>
      <c r="G18" s="188" t="s">
        <v>95</v>
      </c>
      <c r="H18" s="469" t="s">
        <v>1487</v>
      </c>
      <c r="I18" s="527"/>
      <c r="J18" s="189" t="s">
        <v>7</v>
      </c>
      <c r="K18" s="513" t="s">
        <v>8</v>
      </c>
      <c r="L18" s="528"/>
      <c r="M18" s="517" t="s">
        <v>6</v>
      </c>
      <c r="N18" s="517"/>
      <c r="O18" s="517"/>
      <c r="P18" s="469" t="s">
        <v>97</v>
      </c>
      <c r="Q18" s="527"/>
      <c r="R18" s="473" t="s">
        <v>103</v>
      </c>
      <c r="S18" s="474"/>
      <c r="T18" s="475"/>
      <c r="U18" s="429" t="s">
        <v>100</v>
      </c>
      <c r="V18" s="429"/>
      <c r="W18" s="518"/>
    </row>
    <row r="19" spans="1:23" s="20" customFormat="1" ht="46.5" customHeight="1">
      <c r="A19" s="462" t="s">
        <v>1464</v>
      </c>
      <c r="B19" s="463"/>
      <c r="C19" s="232" t="s">
        <v>1437</v>
      </c>
      <c r="D19" s="233" t="s">
        <v>1515</v>
      </c>
      <c r="E19" s="233" t="s">
        <v>1451</v>
      </c>
      <c r="F19" s="234" t="s">
        <v>1495</v>
      </c>
      <c r="G19" s="136" t="s">
        <v>52</v>
      </c>
      <c r="H19" s="136" t="s">
        <v>12</v>
      </c>
      <c r="I19" s="129" t="s">
        <v>13</v>
      </c>
      <c r="J19" s="135" t="s">
        <v>14</v>
      </c>
      <c r="K19" s="136" t="s">
        <v>15</v>
      </c>
      <c r="L19" s="129" t="s">
        <v>16</v>
      </c>
      <c r="M19" s="135" t="s">
        <v>10</v>
      </c>
      <c r="N19" s="135" t="s">
        <v>104</v>
      </c>
      <c r="O19" s="135" t="s">
        <v>11</v>
      </c>
      <c r="P19" s="136" t="s">
        <v>98</v>
      </c>
      <c r="Q19" s="129" t="s">
        <v>13</v>
      </c>
      <c r="R19" s="136" t="s">
        <v>17</v>
      </c>
      <c r="S19" s="135" t="s">
        <v>127</v>
      </c>
      <c r="T19" s="129" t="s">
        <v>1497</v>
      </c>
      <c r="U19" s="135" t="s">
        <v>101</v>
      </c>
      <c r="V19" s="135" t="s">
        <v>127</v>
      </c>
      <c r="W19" s="129" t="s">
        <v>1498</v>
      </c>
    </row>
    <row r="20" spans="1:23" ht="60.75" thickBot="1">
      <c r="A20" s="455" t="s">
        <v>1465</v>
      </c>
      <c r="B20" s="456"/>
      <c r="C20" s="196" t="s">
        <v>1513</v>
      </c>
      <c r="D20" s="197" t="s">
        <v>1514</v>
      </c>
      <c r="E20" s="197" t="s">
        <v>1457</v>
      </c>
      <c r="F20" s="195" t="s">
        <v>1496</v>
      </c>
      <c r="G20" s="399" t="s">
        <v>2040</v>
      </c>
      <c r="H20" s="231" t="s">
        <v>18</v>
      </c>
      <c r="I20" s="394" t="s">
        <v>2033</v>
      </c>
      <c r="J20" s="198" t="s">
        <v>20</v>
      </c>
      <c r="K20" s="231" t="s">
        <v>19</v>
      </c>
      <c r="L20" s="394" t="s">
        <v>2034</v>
      </c>
      <c r="M20" s="200" t="s">
        <v>1499</v>
      </c>
      <c r="N20" s="396" t="s">
        <v>2035</v>
      </c>
      <c r="O20" s="396" t="s">
        <v>2036</v>
      </c>
      <c r="P20" s="231" t="s">
        <v>2046</v>
      </c>
      <c r="Q20" s="394" t="s">
        <v>2047</v>
      </c>
      <c r="R20" s="231" t="s">
        <v>69</v>
      </c>
      <c r="S20" s="396" t="s">
        <v>2037</v>
      </c>
      <c r="T20" s="394" t="s">
        <v>2038</v>
      </c>
      <c r="U20" s="198" t="s">
        <v>102</v>
      </c>
      <c r="V20" s="396" t="s">
        <v>2039</v>
      </c>
      <c r="W20" s="394" t="s">
        <v>2049</v>
      </c>
    </row>
    <row r="21" spans="1:23" ht="30">
      <c r="C21" s="320" t="s">
        <v>1938</v>
      </c>
      <c r="D21" s="237" t="str">
        <f>CONCATENATE( LEFT(Data_Fund_Flows[[#This Row],[transaction-date@iso-date]],4), "-", VLOOKUP(RIGHT(Data_Fund_Flows[[#This Row],[transaction-date@iso-date]],7),Table_WA_Date_Conversion[],3,FALSE), "-",Data_Fund_Flows[[#This Row],[transaction-type@code]], "-", VLOOKUP(Data_Fund_Flows[[#This Row],[meta-partner-name]],Data_Org[],3,FALSE))</f>
        <v>2013-Q3-D-BUSO1</v>
      </c>
      <c r="E21" s="314">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1" s="320" t="s">
        <v>1939</v>
      </c>
      <c r="G21" s="267" t="str">
        <f>CONCATENATE(VLOOKUP(info_reporting_org_name,Data_Org[],4,FALSE), "-", Data_Fund_Flows[[#This Row],[meta-parent-ref]], "-", Data_Fund_Flows[[#This Row],[meta-transaction-ref]])</f>
        <v>GB-CHC-288701-UG999-2013-Q3-D-BUSO1</v>
      </c>
      <c r="H21" s="320" t="s">
        <v>107</v>
      </c>
      <c r="I21" s="274" t="str">
        <f>VLOOKUP(Data_Fund_Flows[[#This Row],[transaction-type]],Table_Transaction_Type[],2,FALSE)</f>
        <v>D</v>
      </c>
      <c r="J21" s="275" t="str">
        <f>VLOOKUP(Data_Fund_Flows[[#This Row],[transaction-type]],Table_WA_Transaction_Type[],2,FALSE)</f>
        <v>Disbursement to partner for current quarter of the project</v>
      </c>
      <c r="K21" s="268" t="str">
        <f>VLOOKUP(Data_Fund_Flows[[#This Row],[transaction-type]],Table_WA_Transaction_Type[],3,FALSE)</f>
        <v>Calendar quarter for the project</v>
      </c>
      <c r="L21" s="320" t="s">
        <v>1975</v>
      </c>
      <c r="M21" s="320">
        <v>-764.52</v>
      </c>
      <c r="N21" s="269" t="str">
        <f t="shared" ref="N21:N51" si="0">Default_Default_Currency</f>
        <v>GBP</v>
      </c>
      <c r="O21" s="270" t="str">
        <f>LEFT(Data_Fund_Flows[[#This Row],[transaction-date@iso-date]],4) &amp; VLOOKUP(RIGHT(Data_Fund_Flows[[#This Row],[transaction-date@iso-date]],7),Table_WA_Date_Conversion[],2,FALSE)</f>
        <v>2013-09-30Z</v>
      </c>
      <c r="P21" s="268" t="str">
        <f>IF(OR(VLOOKUP(Data_Fund_Flows[[#This Row],[provider-org]],Data_Org[],2,FALSE)="Government", VLOOKUP(Data_Fund_Flows[[#This Row],[provider-org]],Data_Org[],2,FALSE)="Multilateral"),"ODA", "Private Grants")</f>
        <v>Private Grants</v>
      </c>
      <c r="Q21" s="276">
        <f>VLOOKUP(Data_Fund_Flows[[#This Row],[flow-type]],Table_Flow_Type[],2,FALSE)</f>
        <v>30</v>
      </c>
      <c r="R21" s="271" t="str">
        <f>IF(VLOOKUP(Data_Fund_Flows[[#This Row],[transaction-type]],Table_WA_Transaction_Type[], 5,FALSE), Data_Fund_Flows[[#This Row],[meta-partner-name]], info_reporting_org_name)</f>
        <v>WaterAid</v>
      </c>
      <c r="S21" s="272" t="str">
        <f>IF(NOT(ISBLANK(VLOOKUP(Data_Fund_Flows[[#This Row],[provider-org]],Data_Org[],4,FALSE))),VLOOKUP(Data_Fund_Flows[[#This Row],[provider-org]],Data_Org[],4,FALSE),"")</f>
        <v>GB-CHC-288701</v>
      </c>
      <c r="T21" s="265" t="str">
        <f>IF(EXACT(Data_Fund_Flows[[#This Row],[provider-org]],info_reporting_org_name),CONCATENATE(VLOOKUP(info_reporting_org_name,Data_Org[],4,FALSE), "-", Data_Fund_Flows[[#This Row],[meta-parent-ref]]),"")</f>
        <v>GB-CHC-288701-UG999</v>
      </c>
      <c r="U21" s="266" t="str">
        <f>IF(NOT(VLOOKUP(Data_Fund_Flows[[#This Row],[transaction-type]],Table_WA_Transaction_Type[], 5,FALSE)), Data_Fund_Flows[[#This Row],[meta-partner-name]], IF(VLOOKUP(Data_Fund_Flows[[#This Row],[transaction-type]],Table_WA_Transaction_Type[], 6,FALSE), info_reporting_org_name, ""))</f>
        <v>Busoga Trust</v>
      </c>
      <c r="V21" s="273" t="str">
        <f>IF(EXACT(Data_Fund_Flows[[#This Row],[receiver-org]], ""), "", IF(NOT(ISBLANK(VLOOKUP(Data_Fund_Flows[[#This Row],[receiver-org]],Data_Org[],4,FALSE))),VLOOKUP(Data_Fund_Flows[[#This Row],[receiver-org]],Data_Org[],4,FALSE),""))</f>
        <v/>
      </c>
      <c r="W21" s="277" t="str">
        <f>IF(EXACT(Data_Fund_Flows[[#This Row],[receiver-org]],info_reporting_org_name),CONCATENATE(VLOOKUP(info_reporting_org_name,Data_Org[],4,FALSE), "-", Data_Fund_Flows[[#This Row],[meta-parent-ref]]),"")</f>
        <v/>
      </c>
    </row>
    <row r="22" spans="1:23" s="24" customFormat="1" ht="30">
      <c r="A22" s="87"/>
      <c r="B22" s="87"/>
      <c r="C22" s="320" t="s">
        <v>1938</v>
      </c>
      <c r="D22" s="355" t="str">
        <f>CONCATENATE( LEFT(Data_Fund_Flows[[#This Row],[transaction-date@iso-date]],4), "-", VLOOKUP(RIGHT(Data_Fund_Flows[[#This Row],[transaction-date@iso-date]],7),Table_WA_Date_Conversion[],3,FALSE), "-",Data_Fund_Flows[[#This Row],[transaction-type@code]], "-", VLOOKUP(Data_Fund_Flows[[#This Row],[meta-partner-name]],Data_Org[],3,FALSE))</f>
        <v>2013-Q3-D-HEWA1</v>
      </c>
      <c r="E2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2" s="320" t="s">
        <v>1940</v>
      </c>
      <c r="G22" s="357" t="str">
        <f>CONCATENATE(VLOOKUP(info_reporting_org_name,Data_Org[],4,FALSE), "-", Data_Fund_Flows[[#This Row],[meta-parent-ref]], "-", Data_Fund_Flows[[#This Row],[meta-transaction-ref]])</f>
        <v>GB-CHC-288701-UG999-2013-Q3-D-HEWA1</v>
      </c>
      <c r="H22" s="320" t="s">
        <v>107</v>
      </c>
      <c r="I22" s="358" t="str">
        <f>VLOOKUP(Data_Fund_Flows[[#This Row],[transaction-type]],Table_Transaction_Type[],2,FALSE)</f>
        <v>D</v>
      </c>
      <c r="J22" s="266" t="str">
        <f>VLOOKUP(Data_Fund_Flows[[#This Row],[transaction-type]],Table_WA_Transaction_Type[],2,FALSE)</f>
        <v>Disbursement to partner for current quarter of the project</v>
      </c>
      <c r="K22" s="266" t="str">
        <f>VLOOKUP(Data_Fund_Flows[[#This Row],[transaction-type]],Table_WA_Transaction_Type[],3,FALSE)</f>
        <v>Calendar quarter for the project</v>
      </c>
      <c r="L22" s="320" t="s">
        <v>1975</v>
      </c>
      <c r="M22" s="320">
        <v>346.54</v>
      </c>
      <c r="N22" s="359" t="str">
        <f t="shared" si="0"/>
        <v>GBP</v>
      </c>
      <c r="O22" s="360" t="str">
        <f>LEFT(Data_Fund_Flows[[#This Row],[transaction-date@iso-date]],4) &amp; VLOOKUP(RIGHT(Data_Fund_Flows[[#This Row],[transaction-date@iso-date]],7),Table_WA_Date_Conversion[],2,FALSE)</f>
        <v>2013-09-30Z</v>
      </c>
      <c r="P22" s="266" t="str">
        <f>IF(OR(VLOOKUP(Data_Fund_Flows[[#This Row],[provider-org]],Data_Org[],2,FALSE)="Government", VLOOKUP(Data_Fund_Flows[[#This Row],[provider-org]],Data_Org[],2,FALSE)="Multilateral"),"ODA", "Private Grants")</f>
        <v>Private Grants</v>
      </c>
      <c r="Q22" s="358">
        <f>VLOOKUP(Data_Fund_Flows[[#This Row],[flow-type]],Table_Flow_Type[],2,FALSE)</f>
        <v>30</v>
      </c>
      <c r="R22" s="266" t="str">
        <f>IF(VLOOKUP(Data_Fund_Flows[[#This Row],[transaction-type]],Table_WA_Transaction_Type[], 5,FALSE), Data_Fund_Flows[[#This Row],[meta-partner-name]], info_reporting_org_name)</f>
        <v>WaterAid</v>
      </c>
      <c r="S22" s="358" t="str">
        <f>IF(NOT(ISBLANK(VLOOKUP(Data_Fund_Flows[[#This Row],[provider-org]],Data_Org[],4,FALSE))),VLOOKUP(Data_Fund_Flows[[#This Row],[provider-org]],Data_Org[],4,FALSE),"")</f>
        <v>GB-CHC-288701</v>
      </c>
      <c r="T22" s="361" t="str">
        <f>IF(EXACT(Data_Fund_Flows[[#This Row],[provider-org]],info_reporting_org_name),CONCATENATE(VLOOKUP(info_reporting_org_name,Data_Org[],4,FALSE), "-", Data_Fund_Flows[[#This Row],[meta-parent-ref]]),"")</f>
        <v>GB-CHC-288701-UG999</v>
      </c>
      <c r="U22" s="266" t="str">
        <f>IF(NOT(VLOOKUP(Data_Fund_Flows[[#This Row],[transaction-type]],Table_WA_Transaction_Type[], 5,FALSE)), Data_Fund_Flows[[#This Row],[meta-partner-name]], IF(VLOOKUP(Data_Fund_Flows[[#This Row],[transaction-type]],Table_WA_Transaction_Type[], 6,FALSE), info_reporting_org_name, ""))</f>
        <v>Health Through Water &amp; Sanitation</v>
      </c>
      <c r="V22" s="362" t="str">
        <f>IF(EXACT(Data_Fund_Flows[[#This Row],[receiver-org]], ""), "", IF(NOT(ISBLANK(VLOOKUP(Data_Fund_Flows[[#This Row],[receiver-org]],Data_Org[],4,FALSE))),VLOOKUP(Data_Fund_Flows[[#This Row],[receiver-org]],Data_Org[],4,FALSE),""))</f>
        <v/>
      </c>
      <c r="W22" s="363" t="str">
        <f>IF(EXACT(Data_Fund_Flows[[#This Row],[receiver-org]],info_reporting_org_name),CONCATENATE(VLOOKUP(info_reporting_org_name,Data_Org[],4,FALSE), "-", Data_Fund_Flows[[#This Row],[meta-parent-ref]]),"")</f>
        <v/>
      </c>
    </row>
    <row r="23" spans="1:23" s="24" customFormat="1" ht="30">
      <c r="A23" s="87"/>
      <c r="B23" s="87"/>
      <c r="C23" s="320" t="s">
        <v>1938</v>
      </c>
      <c r="D23" s="355" t="str">
        <f>CONCATENATE( LEFT(Data_Fund_Flows[[#This Row],[transaction-date@iso-date]],4), "-", VLOOKUP(RIGHT(Data_Fund_Flows[[#This Row],[transaction-date@iso-date]],7),Table_WA_Date_Conversion[],3,FALSE), "-",Data_Fund_Flows[[#This Row],[transaction-type@code]], "-", VLOOKUP(Data_Fund_Flows[[#This Row],[meta-partner-name]],Data_Org[],3,FALSE))</f>
        <v>2013-Q3-D-KADP1</v>
      </c>
      <c r="E2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3" s="401" t="s">
        <v>2050</v>
      </c>
      <c r="G23" s="357" t="str">
        <f>CONCATENATE(VLOOKUP(info_reporting_org_name,Data_Org[],4,FALSE), "-", Data_Fund_Flows[[#This Row],[meta-parent-ref]], "-", Data_Fund_Flows[[#This Row],[meta-transaction-ref]])</f>
        <v>GB-CHC-288701-UG999-2013-Q3-D-KADP1</v>
      </c>
      <c r="H23" s="320" t="s">
        <v>107</v>
      </c>
      <c r="I23" s="358" t="str">
        <f>VLOOKUP(Data_Fund_Flows[[#This Row],[transaction-type]],Table_Transaction_Type[],2,FALSE)</f>
        <v>D</v>
      </c>
      <c r="J23" s="266" t="str">
        <f>VLOOKUP(Data_Fund_Flows[[#This Row],[transaction-type]],Table_WA_Transaction_Type[],2,FALSE)</f>
        <v>Disbursement to partner for current quarter of the project</v>
      </c>
      <c r="K23" s="266" t="str">
        <f>VLOOKUP(Data_Fund_Flows[[#This Row],[transaction-type]],Table_WA_Transaction_Type[],3,FALSE)</f>
        <v>Calendar quarter for the project</v>
      </c>
      <c r="L23" s="320" t="s">
        <v>1975</v>
      </c>
      <c r="M23" s="320">
        <v>491.64</v>
      </c>
      <c r="N23" s="359" t="str">
        <f t="shared" si="0"/>
        <v>GBP</v>
      </c>
      <c r="O23" s="360" t="str">
        <f>LEFT(Data_Fund_Flows[[#This Row],[transaction-date@iso-date]],4) &amp; VLOOKUP(RIGHT(Data_Fund_Flows[[#This Row],[transaction-date@iso-date]],7),Table_WA_Date_Conversion[],2,FALSE)</f>
        <v>2013-09-30Z</v>
      </c>
      <c r="P23" s="266" t="str">
        <f>IF(OR(VLOOKUP(Data_Fund_Flows[[#This Row],[provider-org]],Data_Org[],2,FALSE)="Government", VLOOKUP(Data_Fund_Flows[[#This Row],[provider-org]],Data_Org[],2,FALSE)="Multilateral"),"ODA", "Private Grants")</f>
        <v>Private Grants</v>
      </c>
      <c r="Q23" s="358">
        <f>VLOOKUP(Data_Fund_Flows[[#This Row],[flow-type]],Table_Flow_Type[],2,FALSE)</f>
        <v>30</v>
      </c>
      <c r="R23" s="266" t="str">
        <f>IF(VLOOKUP(Data_Fund_Flows[[#This Row],[transaction-type]],Table_WA_Transaction_Type[], 5,FALSE), Data_Fund_Flows[[#This Row],[meta-partner-name]], info_reporting_org_name)</f>
        <v>WaterAid</v>
      </c>
      <c r="S23" s="358" t="str">
        <f>IF(NOT(ISBLANK(VLOOKUP(Data_Fund_Flows[[#This Row],[provider-org]],Data_Org[],4,FALSE))),VLOOKUP(Data_Fund_Flows[[#This Row],[provider-org]],Data_Org[],4,FALSE),"")</f>
        <v>GB-CHC-288701</v>
      </c>
      <c r="T23" s="361" t="str">
        <f>IF(EXACT(Data_Fund_Flows[[#This Row],[provider-org]],info_reporting_org_name),CONCATENATE(VLOOKUP(info_reporting_org_name,Data_Org[],4,FALSE), "-", Data_Fund_Flows[[#This Row],[meta-parent-ref]]),"")</f>
        <v>GB-CHC-288701-UG999</v>
      </c>
      <c r="U23" s="266" t="str">
        <f>IF(NOT(VLOOKUP(Data_Fund_Flows[[#This Row],[transaction-type]],Table_WA_Transaction_Type[], 5,FALSE)), Data_Fund_Flows[[#This Row],[meta-partner-name]], IF(VLOOKUP(Data_Fund_Flows[[#This Row],[transaction-type]],Table_WA_Transaction_Type[], 6,FALSE), info_reporting_org_name, ""))</f>
        <v>Karamoja Agro-Pastoral Dev't Programme</v>
      </c>
      <c r="V23" s="362" t="str">
        <f>IF(EXACT(Data_Fund_Flows[[#This Row],[receiver-org]], ""), "", IF(NOT(ISBLANK(VLOOKUP(Data_Fund_Flows[[#This Row],[receiver-org]],Data_Org[],4,FALSE))),VLOOKUP(Data_Fund_Flows[[#This Row],[receiver-org]],Data_Org[],4,FALSE),""))</f>
        <v/>
      </c>
      <c r="W23" s="363" t="str">
        <f>IF(EXACT(Data_Fund_Flows[[#This Row],[receiver-org]],info_reporting_org_name),CONCATENATE(VLOOKUP(info_reporting_org_name,Data_Org[],4,FALSE), "-", Data_Fund_Flows[[#This Row],[meta-parent-ref]]),"")</f>
        <v/>
      </c>
    </row>
    <row r="24" spans="1:23" s="24" customFormat="1" ht="30">
      <c r="A24" s="87"/>
      <c r="B24" s="87"/>
      <c r="C24" s="320" t="s">
        <v>1938</v>
      </c>
      <c r="D24" s="355" t="str">
        <f>CONCATENATE( LEFT(Data_Fund_Flows[[#This Row],[transaction-date@iso-date]],4), "-", VLOOKUP(RIGHT(Data_Fund_Flows[[#This Row],[transaction-date@iso-date]],7),Table_WA_Date_Conversion[],3,FALSE), "-",Data_Fund_Flows[[#This Row],[transaction-type@code]], "-", VLOOKUP(Data_Fund_Flows[[#This Row],[meta-partner-name]],Data_Org[],3,FALSE))</f>
        <v>2013-Q3-D-MASI1</v>
      </c>
      <c r="E2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4" s="320" t="s">
        <v>1941</v>
      </c>
      <c r="G24" s="357" t="str">
        <f>CONCATENATE(VLOOKUP(info_reporting_org_name,Data_Org[],4,FALSE), "-", Data_Fund_Flows[[#This Row],[meta-parent-ref]], "-", Data_Fund_Flows[[#This Row],[meta-transaction-ref]])</f>
        <v>GB-CHC-288701-UG999-2013-Q3-D-MASI1</v>
      </c>
      <c r="H24" s="320" t="s">
        <v>107</v>
      </c>
      <c r="I24" s="358" t="str">
        <f>VLOOKUP(Data_Fund_Flows[[#This Row],[transaction-type]],Table_Transaction_Type[],2,FALSE)</f>
        <v>D</v>
      </c>
      <c r="J24" s="266" t="str">
        <f>VLOOKUP(Data_Fund_Flows[[#This Row],[transaction-type]],Table_WA_Transaction_Type[],2,FALSE)</f>
        <v>Disbursement to partner for current quarter of the project</v>
      </c>
      <c r="K24" s="266" t="str">
        <f>VLOOKUP(Data_Fund_Flows[[#This Row],[transaction-type]],Table_WA_Transaction_Type[],3,FALSE)</f>
        <v>Calendar quarter for the project</v>
      </c>
      <c r="L24" s="320" t="s">
        <v>1975</v>
      </c>
      <c r="M24" s="320">
        <v>71661.11</v>
      </c>
      <c r="N24" s="359" t="str">
        <f t="shared" si="0"/>
        <v>GBP</v>
      </c>
      <c r="O24" s="360" t="str">
        <f>LEFT(Data_Fund_Flows[[#This Row],[transaction-date@iso-date]],4) &amp; VLOOKUP(RIGHT(Data_Fund_Flows[[#This Row],[transaction-date@iso-date]],7),Table_WA_Date_Conversion[],2,FALSE)</f>
        <v>2013-09-30Z</v>
      </c>
      <c r="P24" s="266" t="str">
        <f>IF(OR(VLOOKUP(Data_Fund_Flows[[#This Row],[provider-org]],Data_Org[],2,FALSE)="Government", VLOOKUP(Data_Fund_Flows[[#This Row],[provider-org]],Data_Org[],2,FALSE)="Multilateral"),"ODA", "Private Grants")</f>
        <v>Private Grants</v>
      </c>
      <c r="Q24" s="358">
        <f>VLOOKUP(Data_Fund_Flows[[#This Row],[flow-type]],Table_Flow_Type[],2,FALSE)</f>
        <v>30</v>
      </c>
      <c r="R24" s="266" t="str">
        <f>IF(VLOOKUP(Data_Fund_Flows[[#This Row],[transaction-type]],Table_WA_Transaction_Type[], 5,FALSE), Data_Fund_Flows[[#This Row],[meta-partner-name]], info_reporting_org_name)</f>
        <v>WaterAid</v>
      </c>
      <c r="S24" s="358" t="str">
        <f>IF(NOT(ISBLANK(VLOOKUP(Data_Fund_Flows[[#This Row],[provider-org]],Data_Org[],4,FALSE))),VLOOKUP(Data_Fund_Flows[[#This Row],[provider-org]],Data_Org[],4,FALSE),"")</f>
        <v>GB-CHC-288701</v>
      </c>
      <c r="T24" s="361" t="str">
        <f>IF(EXACT(Data_Fund_Flows[[#This Row],[provider-org]],info_reporting_org_name),CONCATENATE(VLOOKUP(info_reporting_org_name,Data_Org[],4,FALSE), "-", Data_Fund_Flows[[#This Row],[meta-parent-ref]]),"")</f>
        <v>GB-CHC-288701-UG999</v>
      </c>
      <c r="U24" s="266" t="str">
        <f>IF(NOT(VLOOKUP(Data_Fund_Flows[[#This Row],[transaction-type]],Table_WA_Transaction_Type[], 5,FALSE)), Data_Fund_Flows[[#This Row],[meta-partner-name]], IF(VLOOKUP(Data_Fund_Flows[[#This Row],[transaction-type]],Table_WA_Transaction_Type[], 6,FALSE), info_reporting_org_name, ""))</f>
        <v>Masindi District local Government</v>
      </c>
      <c r="V24" s="362" t="str">
        <f>IF(EXACT(Data_Fund_Flows[[#This Row],[receiver-org]], ""), "", IF(NOT(ISBLANK(VLOOKUP(Data_Fund_Flows[[#This Row],[receiver-org]],Data_Org[],4,FALSE))),VLOOKUP(Data_Fund_Flows[[#This Row],[receiver-org]],Data_Org[],4,FALSE),""))</f>
        <v/>
      </c>
      <c r="W24" s="363" t="str">
        <f>IF(EXACT(Data_Fund_Flows[[#This Row],[receiver-org]],info_reporting_org_name),CONCATENATE(VLOOKUP(info_reporting_org_name,Data_Org[],4,FALSE), "-", Data_Fund_Flows[[#This Row],[meta-parent-ref]]),"")</f>
        <v/>
      </c>
    </row>
    <row r="25" spans="1:23" s="24" customFormat="1" ht="30">
      <c r="A25" s="87"/>
      <c r="B25" s="87"/>
      <c r="C25" s="320" t="s">
        <v>1938</v>
      </c>
      <c r="D25" s="355" t="str">
        <f>CONCATENATE( LEFT(Data_Fund_Flows[[#This Row],[transaction-date@iso-date]],4), "-", VLOOKUP(RIGHT(Data_Fund_Flows[[#This Row],[transaction-date@iso-date]],7),Table_WA_Date_Conversion[],3,FALSE), "-",Data_Fund_Flows[[#This Row],[transaction-type@code]], "-", VLOOKUP(Data_Fund_Flows[[#This Row],[meta-partner-name]],Data_Org[],3,FALSE))</f>
        <v>2013-Q3-D-NAPA1</v>
      </c>
      <c r="E2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5" s="320" t="s">
        <v>1942</v>
      </c>
      <c r="G25" s="357" t="str">
        <f>CONCATENATE(VLOOKUP(info_reporting_org_name,Data_Org[],4,FALSE), "-", Data_Fund_Flows[[#This Row],[meta-parent-ref]], "-", Data_Fund_Flows[[#This Row],[meta-transaction-ref]])</f>
        <v>GB-CHC-288701-UG999-2013-Q3-D-NAPA1</v>
      </c>
      <c r="H25" s="320" t="s">
        <v>107</v>
      </c>
      <c r="I25" s="358" t="str">
        <f>VLOOKUP(Data_Fund_Flows[[#This Row],[transaction-type]],Table_Transaction_Type[],2,FALSE)</f>
        <v>D</v>
      </c>
      <c r="J25" s="266" t="str">
        <f>VLOOKUP(Data_Fund_Flows[[#This Row],[transaction-type]],Table_WA_Transaction_Type[],2,FALSE)</f>
        <v>Disbursement to partner for current quarter of the project</v>
      </c>
      <c r="K25" s="266" t="str">
        <f>VLOOKUP(Data_Fund_Flows[[#This Row],[transaction-type]],Table_WA_Transaction_Type[],3,FALSE)</f>
        <v>Calendar quarter for the project</v>
      </c>
      <c r="L25" s="320" t="s">
        <v>1975</v>
      </c>
      <c r="M25" s="320">
        <v>2889.76</v>
      </c>
      <c r="N25" s="359" t="str">
        <f t="shared" si="0"/>
        <v>GBP</v>
      </c>
      <c r="O25" s="360" t="str">
        <f>LEFT(Data_Fund_Flows[[#This Row],[transaction-date@iso-date]],4) &amp; VLOOKUP(RIGHT(Data_Fund_Flows[[#This Row],[transaction-date@iso-date]],7),Table_WA_Date_Conversion[],2,FALSE)</f>
        <v>2013-09-30Z</v>
      </c>
      <c r="P25" s="266" t="str">
        <f>IF(OR(VLOOKUP(Data_Fund_Flows[[#This Row],[provider-org]],Data_Org[],2,FALSE)="Government", VLOOKUP(Data_Fund_Flows[[#This Row],[provider-org]],Data_Org[],2,FALSE)="Multilateral"),"ODA", "Private Grants")</f>
        <v>Private Grants</v>
      </c>
      <c r="Q25" s="358">
        <f>VLOOKUP(Data_Fund_Flows[[#This Row],[flow-type]],Table_Flow_Type[],2,FALSE)</f>
        <v>30</v>
      </c>
      <c r="R25" s="266" t="str">
        <f>IF(VLOOKUP(Data_Fund_Flows[[#This Row],[transaction-type]],Table_WA_Transaction_Type[], 5,FALSE), Data_Fund_Flows[[#This Row],[meta-partner-name]], info_reporting_org_name)</f>
        <v>WaterAid</v>
      </c>
      <c r="S25" s="358" t="str">
        <f>IF(NOT(ISBLANK(VLOOKUP(Data_Fund_Flows[[#This Row],[provider-org]],Data_Org[],4,FALSE))),VLOOKUP(Data_Fund_Flows[[#This Row],[provider-org]],Data_Org[],4,FALSE),"")</f>
        <v>GB-CHC-288701</v>
      </c>
      <c r="T25" s="361" t="str">
        <f>IF(EXACT(Data_Fund_Flows[[#This Row],[provider-org]],info_reporting_org_name),CONCATENATE(VLOOKUP(info_reporting_org_name,Data_Org[],4,FALSE), "-", Data_Fund_Flows[[#This Row],[meta-parent-ref]]),"")</f>
        <v>GB-CHC-288701-UG999</v>
      </c>
      <c r="U25" s="266" t="str">
        <f>IF(NOT(VLOOKUP(Data_Fund_Flows[[#This Row],[transaction-type]],Table_WA_Transaction_Type[], 5,FALSE)), Data_Fund_Flows[[#This Row],[meta-partner-name]], IF(VLOOKUP(Data_Fund_Flows[[#This Row],[transaction-type]],Table_WA_Transaction_Type[], 6,FALSE), info_reporting_org_name, ""))</f>
        <v>Napak District Local Government</v>
      </c>
      <c r="V25" s="362" t="str">
        <f>IF(EXACT(Data_Fund_Flows[[#This Row],[receiver-org]], ""), "", IF(NOT(ISBLANK(VLOOKUP(Data_Fund_Flows[[#This Row],[receiver-org]],Data_Org[],4,FALSE))),VLOOKUP(Data_Fund_Flows[[#This Row],[receiver-org]],Data_Org[],4,FALSE),""))</f>
        <v/>
      </c>
      <c r="W25" s="363" t="str">
        <f>IF(EXACT(Data_Fund_Flows[[#This Row],[receiver-org]],info_reporting_org_name),CONCATENATE(VLOOKUP(info_reporting_org_name,Data_Org[],4,FALSE), "-", Data_Fund_Flows[[#This Row],[meta-parent-ref]]),"")</f>
        <v/>
      </c>
    </row>
    <row r="26" spans="1:23" s="24" customFormat="1" ht="30">
      <c r="A26" s="87"/>
      <c r="B26" s="87"/>
      <c r="C26" s="320" t="s">
        <v>1938</v>
      </c>
      <c r="D26" s="355" t="str">
        <f>CONCATENATE( LEFT(Data_Fund_Flows[[#This Row],[transaction-date@iso-date]],4), "-", VLOOKUP(RIGHT(Data_Fund_Flows[[#This Row],[transaction-date@iso-date]],7),Table_WA_Date_Conversion[],3,FALSE), "-",Data_Fund_Flows[[#This Row],[transaction-type@code]], "-", VLOOKUP(Data_Fund_Flows[[#This Row],[meta-partner-name]],Data_Org[],3,FALSE))</f>
        <v>2013-Q3-D-PALI1</v>
      </c>
      <c r="E2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6" s="320" t="s">
        <v>1943</v>
      </c>
      <c r="G26" s="357" t="str">
        <f>CONCATENATE(VLOOKUP(info_reporting_org_name,Data_Org[],4,FALSE), "-", Data_Fund_Flows[[#This Row],[meta-parent-ref]], "-", Data_Fund_Flows[[#This Row],[meta-transaction-ref]])</f>
        <v>GB-CHC-288701-UG999-2013-Q3-D-PALI1</v>
      </c>
      <c r="H26" s="320" t="s">
        <v>107</v>
      </c>
      <c r="I26" s="358" t="str">
        <f>VLOOKUP(Data_Fund_Flows[[#This Row],[transaction-type]],Table_Transaction_Type[],2,FALSE)</f>
        <v>D</v>
      </c>
      <c r="J26" s="266" t="str">
        <f>VLOOKUP(Data_Fund_Flows[[#This Row],[transaction-type]],Table_WA_Transaction_Type[],2,FALSE)</f>
        <v>Disbursement to partner for current quarter of the project</v>
      </c>
      <c r="K26" s="266" t="str">
        <f>VLOOKUP(Data_Fund_Flows[[#This Row],[transaction-type]],Table_WA_Transaction_Type[],3,FALSE)</f>
        <v>Calendar quarter for the project</v>
      </c>
      <c r="L26" s="320" t="s">
        <v>1975</v>
      </c>
      <c r="M26" s="320">
        <v>815.24</v>
      </c>
      <c r="N26" s="359" t="str">
        <f t="shared" si="0"/>
        <v>GBP</v>
      </c>
      <c r="O26" s="360" t="str">
        <f>LEFT(Data_Fund_Flows[[#This Row],[transaction-date@iso-date]],4) &amp; VLOOKUP(RIGHT(Data_Fund_Flows[[#This Row],[transaction-date@iso-date]],7),Table_WA_Date_Conversion[],2,FALSE)</f>
        <v>2013-09-30Z</v>
      </c>
      <c r="P26" s="266" t="str">
        <f>IF(OR(VLOOKUP(Data_Fund_Flows[[#This Row],[provider-org]],Data_Org[],2,FALSE)="Government", VLOOKUP(Data_Fund_Flows[[#This Row],[provider-org]],Data_Org[],2,FALSE)="Multilateral"),"ODA", "Private Grants")</f>
        <v>Private Grants</v>
      </c>
      <c r="Q26" s="358">
        <f>VLOOKUP(Data_Fund_Flows[[#This Row],[flow-type]],Table_Flow_Type[],2,FALSE)</f>
        <v>30</v>
      </c>
      <c r="R26" s="266" t="str">
        <f>IF(VLOOKUP(Data_Fund_Flows[[#This Row],[transaction-type]],Table_WA_Transaction_Type[], 5,FALSE), Data_Fund_Flows[[#This Row],[meta-partner-name]], info_reporting_org_name)</f>
        <v>WaterAid</v>
      </c>
      <c r="S26" s="358" t="str">
        <f>IF(NOT(ISBLANK(VLOOKUP(Data_Fund_Flows[[#This Row],[provider-org]],Data_Org[],4,FALSE))),VLOOKUP(Data_Fund_Flows[[#This Row],[provider-org]],Data_Org[],4,FALSE),"")</f>
        <v>GB-CHC-288701</v>
      </c>
      <c r="T26" s="361" t="str">
        <f>IF(EXACT(Data_Fund_Flows[[#This Row],[provider-org]],info_reporting_org_name),CONCATENATE(VLOOKUP(info_reporting_org_name,Data_Org[],4,FALSE), "-", Data_Fund_Flows[[#This Row],[meta-parent-ref]]),"")</f>
        <v>GB-CHC-288701-UG999</v>
      </c>
      <c r="U26" s="266" t="str">
        <f>IF(NOT(VLOOKUP(Data_Fund_Flows[[#This Row],[transaction-type]],Table_WA_Transaction_Type[], 5,FALSE)), Data_Fund_Flows[[#This Row],[meta-partner-name]], IF(VLOOKUP(Data_Fund_Flows[[#This Row],[transaction-type]],Table_WA_Transaction_Type[], 6,FALSE), info_reporting_org_name, ""))</f>
        <v>Paliisa DLG</v>
      </c>
      <c r="V26" s="362" t="str">
        <f>IF(EXACT(Data_Fund_Flows[[#This Row],[receiver-org]], ""), "", IF(NOT(ISBLANK(VLOOKUP(Data_Fund_Flows[[#This Row],[receiver-org]],Data_Org[],4,FALSE))),VLOOKUP(Data_Fund_Flows[[#This Row],[receiver-org]],Data_Org[],4,FALSE),""))</f>
        <v/>
      </c>
      <c r="W26" s="363" t="str">
        <f>IF(EXACT(Data_Fund_Flows[[#This Row],[receiver-org]],info_reporting_org_name),CONCATENATE(VLOOKUP(info_reporting_org_name,Data_Org[],4,FALSE), "-", Data_Fund_Flows[[#This Row],[meta-parent-ref]]),"")</f>
        <v/>
      </c>
    </row>
    <row r="27" spans="1:23" s="24" customFormat="1" ht="30">
      <c r="A27" s="87"/>
      <c r="B27" s="87"/>
      <c r="C27" s="320" t="s">
        <v>1938</v>
      </c>
      <c r="D27" s="355" t="str">
        <f>CONCATENATE( LEFT(Data_Fund_Flows[[#This Row],[transaction-date@iso-date]],4), "-", VLOOKUP(RIGHT(Data_Fund_Flows[[#This Row],[transaction-date@iso-date]],7),Table_WA_Date_Conversion[],3,FALSE), "-",Data_Fund_Flows[[#This Row],[transaction-type@code]], "-", VLOOKUP(Data_Fund_Flows[[#This Row],[meta-partner-name]],Data_Org[],3,FALSE))</f>
        <v>2013-Q3-D-TEDD1</v>
      </c>
      <c r="E2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7" s="320" t="s">
        <v>1944</v>
      </c>
      <c r="G27" s="357" t="str">
        <f>CONCATENATE(VLOOKUP(info_reporting_org_name,Data_Org[],4,FALSE), "-", Data_Fund_Flows[[#This Row],[meta-parent-ref]], "-", Data_Fund_Flows[[#This Row],[meta-transaction-ref]])</f>
        <v>GB-CHC-288701-UG999-2013-Q3-D-TEDD1</v>
      </c>
      <c r="H27" s="320" t="s">
        <v>107</v>
      </c>
      <c r="I27" s="358" t="str">
        <f>VLOOKUP(Data_Fund_Flows[[#This Row],[transaction-type]],Table_Transaction_Type[],2,FALSE)</f>
        <v>D</v>
      </c>
      <c r="J27" s="266" t="str">
        <f>VLOOKUP(Data_Fund_Flows[[#This Row],[transaction-type]],Table_WA_Transaction_Type[],2,FALSE)</f>
        <v>Disbursement to partner for current quarter of the project</v>
      </c>
      <c r="K27" s="266" t="str">
        <f>VLOOKUP(Data_Fund_Flows[[#This Row],[transaction-type]],Table_WA_Transaction_Type[],3,FALSE)</f>
        <v>Calendar quarter for the project</v>
      </c>
      <c r="L27" s="320" t="s">
        <v>1975</v>
      </c>
      <c r="M27" s="320">
        <v>1753.36</v>
      </c>
      <c r="N27" s="359" t="str">
        <f t="shared" si="0"/>
        <v>GBP</v>
      </c>
      <c r="O27" s="360" t="str">
        <f>LEFT(Data_Fund_Flows[[#This Row],[transaction-date@iso-date]],4) &amp; VLOOKUP(RIGHT(Data_Fund_Flows[[#This Row],[transaction-date@iso-date]],7),Table_WA_Date_Conversion[],2,FALSE)</f>
        <v>2013-09-30Z</v>
      </c>
      <c r="P27" s="266" t="str">
        <f>IF(OR(VLOOKUP(Data_Fund_Flows[[#This Row],[provider-org]],Data_Org[],2,FALSE)="Government", VLOOKUP(Data_Fund_Flows[[#This Row],[provider-org]],Data_Org[],2,FALSE)="Multilateral"),"ODA", "Private Grants")</f>
        <v>Private Grants</v>
      </c>
      <c r="Q27" s="358">
        <f>VLOOKUP(Data_Fund_Flows[[#This Row],[flow-type]],Table_Flow_Type[],2,FALSE)</f>
        <v>30</v>
      </c>
      <c r="R27" s="266" t="str">
        <f>IF(VLOOKUP(Data_Fund_Flows[[#This Row],[transaction-type]],Table_WA_Transaction_Type[], 5,FALSE), Data_Fund_Flows[[#This Row],[meta-partner-name]], info_reporting_org_name)</f>
        <v>WaterAid</v>
      </c>
      <c r="S27" s="358" t="str">
        <f>IF(NOT(ISBLANK(VLOOKUP(Data_Fund_Flows[[#This Row],[provider-org]],Data_Org[],4,FALSE))),VLOOKUP(Data_Fund_Flows[[#This Row],[provider-org]],Data_Org[],4,FALSE),"")</f>
        <v>GB-CHC-288701</v>
      </c>
      <c r="T27" s="361" t="str">
        <f>IF(EXACT(Data_Fund_Flows[[#This Row],[provider-org]],info_reporting_org_name),CONCATENATE(VLOOKUP(info_reporting_org_name,Data_Org[],4,FALSE), "-", Data_Fund_Flows[[#This Row],[meta-parent-ref]]),"")</f>
        <v>GB-CHC-288701-UG999</v>
      </c>
      <c r="U27" s="266" t="str">
        <f>IF(NOT(VLOOKUP(Data_Fund_Flows[[#This Row],[transaction-type]],Table_WA_Transaction_Type[], 5,FALSE)), Data_Fund_Flows[[#This Row],[meta-partner-name]], IF(VLOOKUP(Data_Fund_Flows[[#This Row],[transaction-type]],Table_WA_Transaction_Type[], 6,FALSE), info_reporting_org_name, ""))</f>
        <v>Teso Diocese Development Organisation</v>
      </c>
      <c r="V27" s="362" t="str">
        <f>IF(EXACT(Data_Fund_Flows[[#This Row],[receiver-org]], ""), "", IF(NOT(ISBLANK(VLOOKUP(Data_Fund_Flows[[#This Row],[receiver-org]],Data_Org[],4,FALSE))),VLOOKUP(Data_Fund_Flows[[#This Row],[receiver-org]],Data_Org[],4,FALSE),""))</f>
        <v/>
      </c>
      <c r="W27" s="363" t="str">
        <f>IF(EXACT(Data_Fund_Flows[[#This Row],[receiver-org]],info_reporting_org_name),CONCATENATE(VLOOKUP(info_reporting_org_name,Data_Org[],4,FALSE), "-", Data_Fund_Flows[[#This Row],[meta-parent-ref]]),"")</f>
        <v/>
      </c>
    </row>
    <row r="28" spans="1:23" s="24" customFormat="1" ht="30">
      <c r="A28" s="87"/>
      <c r="B28" s="87"/>
      <c r="C28" s="320" t="s">
        <v>1938</v>
      </c>
      <c r="D28" s="355" t="str">
        <f>CONCATENATE( LEFT(Data_Fund_Flows[[#This Row],[transaction-date@iso-date]],4), "-", VLOOKUP(RIGHT(Data_Fund_Flows[[#This Row],[transaction-date@iso-date]],7),Table_WA_Date_Conversion[],3,FALSE), "-",Data_Fund_Flows[[#This Row],[transaction-type@code]], "-", VLOOKUP(Data_Fund_Flows[[#This Row],[meta-partner-name]],Data_Org[],3,FALSE))</f>
        <v>2013-Q3-D-URWA1</v>
      </c>
      <c r="E2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8" s="320" t="s">
        <v>1945</v>
      </c>
      <c r="G28" s="357" t="str">
        <f>CONCATENATE(VLOOKUP(info_reporting_org_name,Data_Org[],4,FALSE), "-", Data_Fund_Flows[[#This Row],[meta-parent-ref]], "-", Data_Fund_Flows[[#This Row],[meta-transaction-ref]])</f>
        <v>GB-CHC-288701-UG999-2013-Q3-D-URWA1</v>
      </c>
      <c r="H28" s="320" t="s">
        <v>107</v>
      </c>
      <c r="I28" s="358" t="str">
        <f>VLOOKUP(Data_Fund_Flows[[#This Row],[transaction-type]],Table_Transaction_Type[],2,FALSE)</f>
        <v>D</v>
      </c>
      <c r="J28" s="266" t="str">
        <f>VLOOKUP(Data_Fund_Flows[[#This Row],[transaction-type]],Table_WA_Transaction_Type[],2,FALSE)</f>
        <v>Disbursement to partner for current quarter of the project</v>
      </c>
      <c r="K28" s="266" t="str">
        <f>VLOOKUP(Data_Fund_Flows[[#This Row],[transaction-type]],Table_WA_Transaction_Type[],3,FALSE)</f>
        <v>Calendar quarter for the project</v>
      </c>
      <c r="L28" s="320" t="s">
        <v>1975</v>
      </c>
      <c r="M28" s="320">
        <v>1409.28</v>
      </c>
      <c r="N28" s="359" t="str">
        <f t="shared" si="0"/>
        <v>GBP</v>
      </c>
      <c r="O28" s="360" t="str">
        <f>LEFT(Data_Fund_Flows[[#This Row],[transaction-date@iso-date]],4) &amp; VLOOKUP(RIGHT(Data_Fund_Flows[[#This Row],[transaction-date@iso-date]],7),Table_WA_Date_Conversion[],2,FALSE)</f>
        <v>2013-09-30Z</v>
      </c>
      <c r="P28" s="266" t="str">
        <f>IF(OR(VLOOKUP(Data_Fund_Flows[[#This Row],[provider-org]],Data_Org[],2,FALSE)="Government", VLOOKUP(Data_Fund_Flows[[#This Row],[provider-org]],Data_Org[],2,FALSE)="Multilateral"),"ODA", "Private Grants")</f>
        <v>Private Grants</v>
      </c>
      <c r="Q28" s="358">
        <f>VLOOKUP(Data_Fund_Flows[[#This Row],[flow-type]],Table_Flow_Type[],2,FALSE)</f>
        <v>30</v>
      </c>
      <c r="R28" s="266" t="str">
        <f>IF(VLOOKUP(Data_Fund_Flows[[#This Row],[transaction-type]],Table_WA_Transaction_Type[], 5,FALSE), Data_Fund_Flows[[#This Row],[meta-partner-name]], info_reporting_org_name)</f>
        <v>WaterAid</v>
      </c>
      <c r="S28" s="358" t="str">
        <f>IF(NOT(ISBLANK(VLOOKUP(Data_Fund_Flows[[#This Row],[provider-org]],Data_Org[],4,FALSE))),VLOOKUP(Data_Fund_Flows[[#This Row],[provider-org]],Data_Org[],4,FALSE),"")</f>
        <v>GB-CHC-288701</v>
      </c>
      <c r="T28" s="361" t="str">
        <f>IF(EXACT(Data_Fund_Flows[[#This Row],[provider-org]],info_reporting_org_name),CONCATENATE(VLOOKUP(info_reporting_org_name,Data_Org[],4,FALSE), "-", Data_Fund_Flows[[#This Row],[meta-parent-ref]]),"")</f>
        <v>GB-CHC-288701-UG999</v>
      </c>
      <c r="U28" s="266" t="str">
        <f>IF(NOT(VLOOKUP(Data_Fund_Flows[[#This Row],[transaction-type]],Table_WA_Transaction_Type[], 5,FALSE)), Data_Fund_Flows[[#This Row],[meta-partner-name]], IF(VLOOKUP(Data_Fund_Flows[[#This Row],[transaction-type]],Table_WA_Transaction_Type[], 6,FALSE), info_reporting_org_name, ""))</f>
        <v>Uganda Rain Water Association</v>
      </c>
      <c r="V28" s="362" t="str">
        <f>IF(EXACT(Data_Fund_Flows[[#This Row],[receiver-org]], ""), "", IF(NOT(ISBLANK(VLOOKUP(Data_Fund_Flows[[#This Row],[receiver-org]],Data_Org[],4,FALSE))),VLOOKUP(Data_Fund_Flows[[#This Row],[receiver-org]],Data_Org[],4,FALSE),""))</f>
        <v/>
      </c>
      <c r="W28" s="363" t="str">
        <f>IF(EXACT(Data_Fund_Flows[[#This Row],[receiver-org]],info_reporting_org_name),CONCATENATE(VLOOKUP(info_reporting_org_name,Data_Org[],4,FALSE), "-", Data_Fund_Flows[[#This Row],[meta-parent-ref]]),"")</f>
        <v/>
      </c>
    </row>
    <row r="29" spans="1:23" s="24" customFormat="1" ht="30">
      <c r="A29" s="87"/>
      <c r="B29" s="87"/>
      <c r="C29" s="320" t="s">
        <v>1938</v>
      </c>
      <c r="D29" s="355" t="str">
        <f>CONCATENATE( LEFT(Data_Fund_Flows[[#This Row],[transaction-date@iso-date]],4), "-", VLOOKUP(RIGHT(Data_Fund_Flows[[#This Row],[transaction-date@iso-date]],7),Table_WA_Date_Conversion[],3,FALSE), "-",Data_Fund_Flows[[#This Row],[transaction-type@code]], "-", VLOOKUP(Data_Fund_Flows[[#This Row],[meta-partner-name]],Data_Org[],3,FALSE))</f>
        <v>2013-Q3-D-UWAS1</v>
      </c>
      <c r="E2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9" s="320" t="s">
        <v>1946</v>
      </c>
      <c r="G29" s="357" t="str">
        <f>CONCATENATE(VLOOKUP(info_reporting_org_name,Data_Org[],4,FALSE), "-", Data_Fund_Flows[[#This Row],[meta-parent-ref]], "-", Data_Fund_Flows[[#This Row],[meta-transaction-ref]])</f>
        <v>GB-CHC-288701-UG999-2013-Q3-D-UWAS1</v>
      </c>
      <c r="H29" s="320" t="s">
        <v>107</v>
      </c>
      <c r="I29" s="358" t="str">
        <f>VLOOKUP(Data_Fund_Flows[[#This Row],[transaction-type]],Table_Transaction_Type[],2,FALSE)</f>
        <v>D</v>
      </c>
      <c r="J29" s="266" t="str">
        <f>VLOOKUP(Data_Fund_Flows[[#This Row],[transaction-type]],Table_WA_Transaction_Type[],2,FALSE)</f>
        <v>Disbursement to partner for current quarter of the project</v>
      </c>
      <c r="K29" s="266" t="str">
        <f>VLOOKUP(Data_Fund_Flows[[#This Row],[transaction-type]],Table_WA_Transaction_Type[],3,FALSE)</f>
        <v>Calendar quarter for the project</v>
      </c>
      <c r="L29" s="320" t="s">
        <v>1975</v>
      </c>
      <c r="M29" s="320">
        <v>2666.68</v>
      </c>
      <c r="N29" s="359" t="str">
        <f t="shared" si="0"/>
        <v>GBP</v>
      </c>
      <c r="O29" s="360" t="str">
        <f>LEFT(Data_Fund_Flows[[#This Row],[transaction-date@iso-date]],4) &amp; VLOOKUP(RIGHT(Data_Fund_Flows[[#This Row],[transaction-date@iso-date]],7),Table_WA_Date_Conversion[],2,FALSE)</f>
        <v>2013-09-30Z</v>
      </c>
      <c r="P29" s="266" t="str">
        <f>IF(OR(VLOOKUP(Data_Fund_Flows[[#This Row],[provider-org]],Data_Org[],2,FALSE)="Government", VLOOKUP(Data_Fund_Flows[[#This Row],[provider-org]],Data_Org[],2,FALSE)="Multilateral"),"ODA", "Private Grants")</f>
        <v>Private Grants</v>
      </c>
      <c r="Q29" s="358">
        <f>VLOOKUP(Data_Fund_Flows[[#This Row],[flow-type]],Table_Flow_Type[],2,FALSE)</f>
        <v>30</v>
      </c>
      <c r="R29" s="266" t="str">
        <f>IF(VLOOKUP(Data_Fund_Flows[[#This Row],[transaction-type]],Table_WA_Transaction_Type[], 5,FALSE), Data_Fund_Flows[[#This Row],[meta-partner-name]], info_reporting_org_name)</f>
        <v>WaterAid</v>
      </c>
      <c r="S29" s="358" t="str">
        <f>IF(NOT(ISBLANK(VLOOKUP(Data_Fund_Flows[[#This Row],[provider-org]],Data_Org[],4,FALSE))),VLOOKUP(Data_Fund_Flows[[#This Row],[provider-org]],Data_Org[],4,FALSE),"")</f>
        <v>GB-CHC-288701</v>
      </c>
      <c r="T29" s="361" t="str">
        <f>IF(EXACT(Data_Fund_Flows[[#This Row],[provider-org]],info_reporting_org_name),CONCATENATE(VLOOKUP(info_reporting_org_name,Data_Org[],4,FALSE), "-", Data_Fund_Flows[[#This Row],[meta-parent-ref]]),"")</f>
        <v>GB-CHC-288701-UG999</v>
      </c>
      <c r="U29" s="266" t="str">
        <f>IF(NOT(VLOOKUP(Data_Fund_Flows[[#This Row],[transaction-type]],Table_WA_Transaction_Type[], 5,FALSE)), Data_Fund_Flows[[#This Row],[meta-partner-name]], IF(VLOOKUP(Data_Fund_Flows[[#This Row],[transaction-type]],Table_WA_Transaction_Type[], 6,FALSE), info_reporting_org_name, ""))</f>
        <v>Uganda Water and Sanitation NGO Network</v>
      </c>
      <c r="V29" s="362" t="str">
        <f>IF(EXACT(Data_Fund_Flows[[#This Row],[receiver-org]], ""), "", IF(NOT(ISBLANK(VLOOKUP(Data_Fund_Flows[[#This Row],[receiver-org]],Data_Org[],4,FALSE))),VLOOKUP(Data_Fund_Flows[[#This Row],[receiver-org]],Data_Org[],4,FALSE),""))</f>
        <v/>
      </c>
      <c r="W29" s="363" t="str">
        <f>IF(EXACT(Data_Fund_Flows[[#This Row],[receiver-org]],info_reporting_org_name),CONCATENATE(VLOOKUP(info_reporting_org_name,Data_Org[],4,FALSE), "-", Data_Fund_Flows[[#This Row],[meta-parent-ref]]),"")</f>
        <v/>
      </c>
    </row>
    <row r="30" spans="1:23" s="24" customFormat="1" ht="30">
      <c r="A30" s="87"/>
      <c r="B30" s="87"/>
      <c r="C30" s="320" t="s">
        <v>1938</v>
      </c>
      <c r="D30" s="355" t="str">
        <f>CONCATENATE( LEFT(Data_Fund_Flows[[#This Row],[transaction-date@iso-date]],4), "-", VLOOKUP(RIGHT(Data_Fund_Flows[[#This Row],[transaction-date@iso-date]],7),Table_WA_Date_Conversion[],3,FALSE), "-",Data_Fund_Flows[[#This Row],[transaction-type@code]], "-", VLOOKUP(Data_Fund_Flows[[#This Row],[meta-partner-name]],Data_Org[],3,FALSE))</f>
        <v>2013-Q3-D-WEDA1</v>
      </c>
      <c r="E3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0" s="320" t="s">
        <v>1947</v>
      </c>
      <c r="G30" s="357" t="str">
        <f>CONCATENATE(VLOOKUP(info_reporting_org_name,Data_Org[],4,FALSE), "-", Data_Fund_Flows[[#This Row],[meta-parent-ref]], "-", Data_Fund_Flows[[#This Row],[meta-transaction-ref]])</f>
        <v>GB-CHC-288701-UG999-2013-Q3-D-WEDA1</v>
      </c>
      <c r="H30" s="320" t="s">
        <v>107</v>
      </c>
      <c r="I30" s="358" t="str">
        <f>VLOOKUP(Data_Fund_Flows[[#This Row],[transaction-type]],Table_Transaction_Type[],2,FALSE)</f>
        <v>D</v>
      </c>
      <c r="J30" s="266" t="str">
        <f>VLOOKUP(Data_Fund_Flows[[#This Row],[transaction-type]],Table_WA_Transaction_Type[],2,FALSE)</f>
        <v>Disbursement to partner for current quarter of the project</v>
      </c>
      <c r="K30" s="266" t="str">
        <f>VLOOKUP(Data_Fund_Flows[[#This Row],[transaction-type]],Table_WA_Transaction_Type[],3,FALSE)</f>
        <v>Calendar quarter for the project</v>
      </c>
      <c r="L30" s="320" t="s">
        <v>1975</v>
      </c>
      <c r="M30" s="320">
        <v>1127.76</v>
      </c>
      <c r="N30" s="359" t="str">
        <f t="shared" si="0"/>
        <v>GBP</v>
      </c>
      <c r="O30" s="360" t="str">
        <f>LEFT(Data_Fund_Flows[[#This Row],[transaction-date@iso-date]],4) &amp; VLOOKUP(RIGHT(Data_Fund_Flows[[#This Row],[transaction-date@iso-date]],7),Table_WA_Date_Conversion[],2,FALSE)</f>
        <v>2013-09-30Z</v>
      </c>
      <c r="P30" s="266" t="str">
        <f>IF(OR(VLOOKUP(Data_Fund_Flows[[#This Row],[provider-org]],Data_Org[],2,FALSE)="Government", VLOOKUP(Data_Fund_Flows[[#This Row],[provider-org]],Data_Org[],2,FALSE)="Multilateral"),"ODA", "Private Grants")</f>
        <v>Private Grants</v>
      </c>
      <c r="Q30" s="358">
        <f>VLOOKUP(Data_Fund_Flows[[#This Row],[flow-type]],Table_Flow_Type[],2,FALSE)</f>
        <v>30</v>
      </c>
      <c r="R30" s="266" t="str">
        <f>IF(VLOOKUP(Data_Fund_Flows[[#This Row],[transaction-type]],Table_WA_Transaction_Type[], 5,FALSE), Data_Fund_Flows[[#This Row],[meta-partner-name]], info_reporting_org_name)</f>
        <v>WaterAid</v>
      </c>
      <c r="S30" s="358" t="str">
        <f>IF(NOT(ISBLANK(VLOOKUP(Data_Fund_Flows[[#This Row],[provider-org]],Data_Org[],4,FALSE))),VLOOKUP(Data_Fund_Flows[[#This Row],[provider-org]],Data_Org[],4,FALSE),"")</f>
        <v>GB-CHC-288701</v>
      </c>
      <c r="T30" s="361" t="str">
        <f>IF(EXACT(Data_Fund_Flows[[#This Row],[provider-org]],info_reporting_org_name),CONCATENATE(VLOOKUP(info_reporting_org_name,Data_Org[],4,FALSE), "-", Data_Fund_Flows[[#This Row],[meta-parent-ref]]),"")</f>
        <v>GB-CHC-288701-UG999</v>
      </c>
      <c r="U30" s="266" t="str">
        <f>IF(NOT(VLOOKUP(Data_Fund_Flows[[#This Row],[transaction-type]],Table_WA_Transaction_Type[], 5,FALSE)), Data_Fund_Flows[[#This Row],[meta-partner-name]], IF(VLOOKUP(Data_Fund_Flows[[#This Row],[transaction-type]],Table_WA_Transaction_Type[], 6,FALSE), info_reporting_org_name, ""))</f>
        <v>Wera Development Association</v>
      </c>
      <c r="V30" s="362" t="str">
        <f>IF(EXACT(Data_Fund_Flows[[#This Row],[receiver-org]], ""), "", IF(NOT(ISBLANK(VLOOKUP(Data_Fund_Flows[[#This Row],[receiver-org]],Data_Org[],4,FALSE))),VLOOKUP(Data_Fund_Flows[[#This Row],[receiver-org]],Data_Org[],4,FALSE),""))</f>
        <v/>
      </c>
      <c r="W30" s="363" t="str">
        <f>IF(EXACT(Data_Fund_Flows[[#This Row],[receiver-org]],info_reporting_org_name),CONCATENATE(VLOOKUP(info_reporting_org_name,Data_Org[],4,FALSE), "-", Data_Fund_Flows[[#This Row],[meta-parent-ref]]),"")</f>
        <v/>
      </c>
    </row>
    <row r="31" spans="1:23" s="24" customFormat="1" ht="30">
      <c r="A31" s="87"/>
      <c r="B31" s="87"/>
      <c r="C31" s="320" t="s">
        <v>1938</v>
      </c>
      <c r="D31"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1" s="320" t="s">
        <v>65</v>
      </c>
      <c r="G31" s="357" t="str">
        <f>CONCATENATE(VLOOKUP(info_reporting_org_name,Data_Org[],4,FALSE), "-", Data_Fund_Flows[[#This Row],[meta-parent-ref]], "-", Data_Fund_Flows[[#This Row],[meta-transaction-ref]])</f>
        <v>GB-CHC-288701-UG999-2013-Q3-E-ZZZZZ</v>
      </c>
      <c r="H31" s="320" t="s">
        <v>108</v>
      </c>
      <c r="I31" s="358" t="str">
        <f>VLOOKUP(Data_Fund_Flows[[#This Row],[transaction-type]],Table_Transaction_Type[],2,FALSE)</f>
        <v>E</v>
      </c>
      <c r="J31" s="266" t="str">
        <f>VLOOKUP(Data_Fund_Flows[[#This Row],[transaction-type]],Table_WA_Transaction_Type[],2,FALSE)</f>
        <v>Expenditure by WaterAid for current quarter of the project</v>
      </c>
      <c r="K31" s="266" t="str">
        <f>VLOOKUP(Data_Fund_Flows[[#This Row],[transaction-type]],Table_WA_Transaction_Type[],3,FALSE)</f>
        <v>Calendar quarter for the project</v>
      </c>
      <c r="L31" s="320" t="s">
        <v>1975</v>
      </c>
      <c r="M31" s="364">
        <f>127568.5+6704.72</f>
        <v>134273.22</v>
      </c>
      <c r="N31" s="359" t="str">
        <f t="shared" si="0"/>
        <v>GBP</v>
      </c>
      <c r="O31" s="360" t="str">
        <f>LEFT(Data_Fund_Flows[[#This Row],[transaction-date@iso-date]],4) &amp; VLOOKUP(RIGHT(Data_Fund_Flows[[#This Row],[transaction-date@iso-date]],7),Table_WA_Date_Conversion[],2,FALSE)</f>
        <v>2013-09-30Z</v>
      </c>
      <c r="P31" s="266" t="str">
        <f>IF(OR(VLOOKUP(Data_Fund_Flows[[#This Row],[provider-org]],Data_Org[],2,FALSE)="Government", VLOOKUP(Data_Fund_Flows[[#This Row],[provider-org]],Data_Org[],2,FALSE)="Multilateral"),"ODA", "Private Grants")</f>
        <v>Private Grants</v>
      </c>
      <c r="Q31" s="358">
        <f>VLOOKUP(Data_Fund_Flows[[#This Row],[flow-type]],Table_Flow_Type[],2,FALSE)</f>
        <v>30</v>
      </c>
      <c r="R31" s="266" t="str">
        <f>IF(VLOOKUP(Data_Fund_Flows[[#This Row],[transaction-type]],Table_WA_Transaction_Type[], 5,FALSE), Data_Fund_Flows[[#This Row],[meta-partner-name]], info_reporting_org_name)</f>
        <v>WaterAid</v>
      </c>
      <c r="S31" s="358" t="str">
        <f>IF(NOT(ISBLANK(VLOOKUP(Data_Fund_Flows[[#This Row],[provider-org]],Data_Org[],4,FALSE))),VLOOKUP(Data_Fund_Flows[[#This Row],[provider-org]],Data_Org[],4,FALSE),"")</f>
        <v>GB-CHC-288701</v>
      </c>
      <c r="T31" s="361" t="str">
        <f>IF(EXACT(Data_Fund_Flows[[#This Row],[provider-org]],info_reporting_org_name),CONCATENATE(VLOOKUP(info_reporting_org_name,Data_Org[],4,FALSE), "-", Data_Fund_Flows[[#This Row],[meta-parent-ref]]),"")</f>
        <v>GB-CHC-288701-UG999</v>
      </c>
      <c r="U31" s="266" t="str">
        <f>IF(NOT(VLOOKUP(Data_Fund_Flows[[#This Row],[transaction-type]],Table_WA_Transaction_Type[], 5,FALSE)), Data_Fund_Flows[[#This Row],[meta-partner-name]], IF(VLOOKUP(Data_Fund_Flows[[#This Row],[transaction-type]],Table_WA_Transaction_Type[], 6,FALSE), info_reporting_org_name, ""))</f>
        <v/>
      </c>
      <c r="V31" s="362" t="str">
        <f>IF(EXACT(Data_Fund_Flows[[#This Row],[receiver-org]], ""), "", IF(NOT(ISBLANK(VLOOKUP(Data_Fund_Flows[[#This Row],[receiver-org]],Data_Org[],4,FALSE))),VLOOKUP(Data_Fund_Flows[[#This Row],[receiver-org]],Data_Org[],4,FALSE),""))</f>
        <v/>
      </c>
      <c r="W31" s="363" t="str">
        <f>IF(EXACT(Data_Fund_Flows[[#This Row],[receiver-org]],info_reporting_org_name),CONCATENATE(VLOOKUP(info_reporting_org_name,Data_Org[],4,FALSE), "-", Data_Fund_Flows[[#This Row],[meta-parent-ref]]),"")</f>
        <v/>
      </c>
    </row>
    <row r="32" spans="1:23" s="24" customFormat="1" ht="30">
      <c r="A32" s="87"/>
      <c r="B32" s="87"/>
      <c r="C32" s="320" t="s">
        <v>1912</v>
      </c>
      <c r="D32" s="355" t="str">
        <f>CONCATENATE( LEFT(Data_Fund_Flows[[#This Row],[transaction-date@iso-date]],4), "-", VLOOKUP(RIGHT(Data_Fund_Flows[[#This Row],[transaction-date@iso-date]],7),Table_WA_Date_Conversion[],3,FALSE), "-",Data_Fund_Flows[[#This Row],[transaction-type@code]], "-", VLOOKUP(Data_Fund_Flows[[#This Row],[meta-partner-name]],Data_Org[],3,FALSE))</f>
        <v>2013-Q3-D-UWAS1</v>
      </c>
      <c r="E3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2" s="320" t="s">
        <v>1946</v>
      </c>
      <c r="G32" s="357" t="str">
        <f>CONCATENATE(VLOOKUP(info_reporting_org_name,Data_Org[],4,FALSE), "-", Data_Fund_Flows[[#This Row],[meta-parent-ref]], "-", Data_Fund_Flows[[#This Row],[meta-transaction-ref]])</f>
        <v>GB-CHC-288701-UGA13-2013-Q3-D-UWAS1</v>
      </c>
      <c r="H32" s="320" t="s">
        <v>107</v>
      </c>
      <c r="I32" s="358" t="str">
        <f>VLOOKUP(Data_Fund_Flows[[#This Row],[transaction-type]],Table_Transaction_Type[],2,FALSE)</f>
        <v>D</v>
      </c>
      <c r="J32" s="266" t="str">
        <f>VLOOKUP(Data_Fund_Flows[[#This Row],[transaction-type]],Table_WA_Transaction_Type[],2,FALSE)</f>
        <v>Disbursement to partner for current quarter of the project</v>
      </c>
      <c r="K32" s="266" t="str">
        <f>VLOOKUP(Data_Fund_Flows[[#This Row],[transaction-type]],Table_WA_Transaction_Type[],3,FALSE)</f>
        <v>Calendar quarter for the project</v>
      </c>
      <c r="L32" s="320" t="s">
        <v>1975</v>
      </c>
      <c r="M32" s="320">
        <v>15084.06</v>
      </c>
      <c r="N32" s="359" t="str">
        <f t="shared" si="0"/>
        <v>GBP</v>
      </c>
      <c r="O32" s="360" t="str">
        <f>LEFT(Data_Fund_Flows[[#This Row],[transaction-date@iso-date]],4) &amp; VLOOKUP(RIGHT(Data_Fund_Flows[[#This Row],[transaction-date@iso-date]],7),Table_WA_Date_Conversion[],2,FALSE)</f>
        <v>2013-09-30Z</v>
      </c>
      <c r="P32" s="266" t="str">
        <f>IF(OR(VLOOKUP(Data_Fund_Flows[[#This Row],[provider-org]],Data_Org[],2,FALSE)="Government", VLOOKUP(Data_Fund_Flows[[#This Row],[provider-org]],Data_Org[],2,FALSE)="Multilateral"),"ODA", "Private Grants")</f>
        <v>Private Grants</v>
      </c>
      <c r="Q32" s="358">
        <f>VLOOKUP(Data_Fund_Flows[[#This Row],[flow-type]],Table_Flow_Type[],2,FALSE)</f>
        <v>30</v>
      </c>
      <c r="R32" s="266" t="str">
        <f>IF(VLOOKUP(Data_Fund_Flows[[#This Row],[transaction-type]],Table_WA_Transaction_Type[], 5,FALSE), Data_Fund_Flows[[#This Row],[meta-partner-name]], info_reporting_org_name)</f>
        <v>WaterAid</v>
      </c>
      <c r="S32" s="358" t="str">
        <f>IF(NOT(ISBLANK(VLOOKUP(Data_Fund_Flows[[#This Row],[provider-org]],Data_Org[],4,FALSE))),VLOOKUP(Data_Fund_Flows[[#This Row],[provider-org]],Data_Org[],4,FALSE),"")</f>
        <v>GB-CHC-288701</v>
      </c>
      <c r="T32" s="361" t="str">
        <f>IF(EXACT(Data_Fund_Flows[[#This Row],[provider-org]],info_reporting_org_name),CONCATENATE(VLOOKUP(info_reporting_org_name,Data_Org[],4,FALSE), "-", Data_Fund_Flows[[#This Row],[meta-parent-ref]]),"")</f>
        <v>GB-CHC-288701-UGA13</v>
      </c>
      <c r="U32" s="266" t="str">
        <f>IF(NOT(VLOOKUP(Data_Fund_Flows[[#This Row],[transaction-type]],Table_WA_Transaction_Type[], 5,FALSE)), Data_Fund_Flows[[#This Row],[meta-partner-name]], IF(VLOOKUP(Data_Fund_Flows[[#This Row],[transaction-type]],Table_WA_Transaction_Type[], 6,FALSE), info_reporting_org_name, ""))</f>
        <v>Uganda Water and Sanitation NGO Network</v>
      </c>
      <c r="V32" s="362" t="str">
        <f>IF(EXACT(Data_Fund_Flows[[#This Row],[receiver-org]], ""), "", IF(NOT(ISBLANK(VLOOKUP(Data_Fund_Flows[[#This Row],[receiver-org]],Data_Org[],4,FALSE))),VLOOKUP(Data_Fund_Flows[[#This Row],[receiver-org]],Data_Org[],4,FALSE),""))</f>
        <v/>
      </c>
      <c r="W32" s="363" t="str">
        <f>IF(EXACT(Data_Fund_Flows[[#This Row],[receiver-org]],info_reporting_org_name),CONCATENATE(VLOOKUP(info_reporting_org_name,Data_Org[],4,FALSE), "-", Data_Fund_Flows[[#This Row],[meta-parent-ref]]),"")</f>
        <v/>
      </c>
    </row>
    <row r="33" spans="1:23" s="24" customFormat="1" ht="30">
      <c r="A33" s="87"/>
      <c r="B33" s="87"/>
      <c r="C33" s="320" t="s">
        <v>1912</v>
      </c>
      <c r="D33"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3" s="320" t="s">
        <v>65</v>
      </c>
      <c r="G33" s="357" t="str">
        <f>CONCATENATE(VLOOKUP(info_reporting_org_name,Data_Org[],4,FALSE), "-", Data_Fund_Flows[[#This Row],[meta-parent-ref]], "-", Data_Fund_Flows[[#This Row],[meta-transaction-ref]])</f>
        <v>GB-CHC-288701-UGA13-2013-Q3-E-ZZZZZ</v>
      </c>
      <c r="H33" s="320" t="s">
        <v>108</v>
      </c>
      <c r="I33" s="358" t="str">
        <f>VLOOKUP(Data_Fund_Flows[[#This Row],[transaction-type]],Table_Transaction_Type[],2,FALSE)</f>
        <v>E</v>
      </c>
      <c r="J33" s="266" t="str">
        <f>VLOOKUP(Data_Fund_Flows[[#This Row],[transaction-type]],Table_WA_Transaction_Type[],2,FALSE)</f>
        <v>Expenditure by WaterAid for current quarter of the project</v>
      </c>
      <c r="K33" s="266" t="str">
        <f>VLOOKUP(Data_Fund_Flows[[#This Row],[transaction-type]],Table_WA_Transaction_Type[],3,FALSE)</f>
        <v>Calendar quarter for the project</v>
      </c>
      <c r="L33" s="320" t="s">
        <v>1975</v>
      </c>
      <c r="M33" s="320">
        <v>4705.04</v>
      </c>
      <c r="N33" s="359" t="str">
        <f t="shared" si="0"/>
        <v>GBP</v>
      </c>
      <c r="O33" s="360" t="str">
        <f>LEFT(Data_Fund_Flows[[#This Row],[transaction-date@iso-date]],4) &amp; VLOOKUP(RIGHT(Data_Fund_Flows[[#This Row],[transaction-date@iso-date]],7),Table_WA_Date_Conversion[],2,FALSE)</f>
        <v>2013-09-30Z</v>
      </c>
      <c r="P33" s="266" t="str">
        <f>IF(OR(VLOOKUP(Data_Fund_Flows[[#This Row],[provider-org]],Data_Org[],2,FALSE)="Government", VLOOKUP(Data_Fund_Flows[[#This Row],[provider-org]],Data_Org[],2,FALSE)="Multilateral"),"ODA", "Private Grants")</f>
        <v>Private Grants</v>
      </c>
      <c r="Q33" s="358">
        <f>VLOOKUP(Data_Fund_Flows[[#This Row],[flow-type]],Table_Flow_Type[],2,FALSE)</f>
        <v>30</v>
      </c>
      <c r="R33" s="266" t="str">
        <f>IF(VLOOKUP(Data_Fund_Flows[[#This Row],[transaction-type]],Table_WA_Transaction_Type[], 5,FALSE), Data_Fund_Flows[[#This Row],[meta-partner-name]], info_reporting_org_name)</f>
        <v>WaterAid</v>
      </c>
      <c r="S33" s="358" t="str">
        <f>IF(NOT(ISBLANK(VLOOKUP(Data_Fund_Flows[[#This Row],[provider-org]],Data_Org[],4,FALSE))),VLOOKUP(Data_Fund_Flows[[#This Row],[provider-org]],Data_Org[],4,FALSE),"")</f>
        <v>GB-CHC-288701</v>
      </c>
      <c r="T33" s="361" t="str">
        <f>IF(EXACT(Data_Fund_Flows[[#This Row],[provider-org]],info_reporting_org_name),CONCATENATE(VLOOKUP(info_reporting_org_name,Data_Org[],4,FALSE), "-", Data_Fund_Flows[[#This Row],[meta-parent-ref]]),"")</f>
        <v>GB-CHC-288701-UGA13</v>
      </c>
      <c r="U33" s="266" t="str">
        <f>IF(NOT(VLOOKUP(Data_Fund_Flows[[#This Row],[transaction-type]],Table_WA_Transaction_Type[], 5,FALSE)), Data_Fund_Flows[[#This Row],[meta-partner-name]], IF(VLOOKUP(Data_Fund_Flows[[#This Row],[transaction-type]],Table_WA_Transaction_Type[], 6,FALSE), info_reporting_org_name, ""))</f>
        <v/>
      </c>
      <c r="V33" s="362" t="str">
        <f>IF(EXACT(Data_Fund_Flows[[#This Row],[receiver-org]], ""), "", IF(NOT(ISBLANK(VLOOKUP(Data_Fund_Flows[[#This Row],[receiver-org]],Data_Org[],4,FALSE))),VLOOKUP(Data_Fund_Flows[[#This Row],[receiver-org]],Data_Org[],4,FALSE),""))</f>
        <v/>
      </c>
      <c r="W33" s="363" t="str">
        <f>IF(EXACT(Data_Fund_Flows[[#This Row],[receiver-org]],info_reporting_org_name),CONCATENATE(VLOOKUP(info_reporting_org_name,Data_Org[],4,FALSE), "-", Data_Fund_Flows[[#This Row],[meta-parent-ref]]),"")</f>
        <v/>
      </c>
    </row>
    <row r="34" spans="1:23" s="24" customFormat="1" ht="30">
      <c r="A34" s="87"/>
      <c r="B34" s="87"/>
      <c r="C34" s="320" t="s">
        <v>1913</v>
      </c>
      <c r="D34"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4" s="320" t="s">
        <v>65</v>
      </c>
      <c r="G34" s="357" t="str">
        <f>CONCATENATE(VLOOKUP(info_reporting_org_name,Data_Org[],4,FALSE), "-", Data_Fund_Flows[[#This Row],[meta-parent-ref]], "-", Data_Fund_Flows[[#This Row],[meta-transaction-ref]])</f>
        <v>GB-CHC-288701-UGA17-2013-Q3-E-ZZZZZ</v>
      </c>
      <c r="H34" s="320" t="s">
        <v>108</v>
      </c>
      <c r="I34" s="358" t="str">
        <f>VLOOKUP(Data_Fund_Flows[[#This Row],[transaction-type]],Table_Transaction_Type[],2,FALSE)</f>
        <v>E</v>
      </c>
      <c r="J34" s="266" t="str">
        <f>VLOOKUP(Data_Fund_Flows[[#This Row],[transaction-type]],Table_WA_Transaction_Type[],2,FALSE)</f>
        <v>Expenditure by WaterAid for current quarter of the project</v>
      </c>
      <c r="K34" s="266" t="str">
        <f>VLOOKUP(Data_Fund_Flows[[#This Row],[transaction-type]],Table_WA_Transaction_Type[],3,FALSE)</f>
        <v>Calendar quarter for the project</v>
      </c>
      <c r="L34" s="320" t="s">
        <v>1975</v>
      </c>
      <c r="M34" s="320">
        <v>1419.08</v>
      </c>
      <c r="N34" s="359" t="str">
        <f t="shared" si="0"/>
        <v>GBP</v>
      </c>
      <c r="O34" s="360" t="str">
        <f>LEFT(Data_Fund_Flows[[#This Row],[transaction-date@iso-date]],4) &amp; VLOOKUP(RIGHT(Data_Fund_Flows[[#This Row],[transaction-date@iso-date]],7),Table_WA_Date_Conversion[],2,FALSE)</f>
        <v>2013-09-30Z</v>
      </c>
      <c r="P34" s="266" t="str">
        <f>IF(OR(VLOOKUP(Data_Fund_Flows[[#This Row],[provider-org]],Data_Org[],2,FALSE)="Government", VLOOKUP(Data_Fund_Flows[[#This Row],[provider-org]],Data_Org[],2,FALSE)="Multilateral"),"ODA", "Private Grants")</f>
        <v>Private Grants</v>
      </c>
      <c r="Q34" s="358">
        <f>VLOOKUP(Data_Fund_Flows[[#This Row],[flow-type]],Table_Flow_Type[],2,FALSE)</f>
        <v>30</v>
      </c>
      <c r="R34" s="266" t="str">
        <f>IF(VLOOKUP(Data_Fund_Flows[[#This Row],[transaction-type]],Table_WA_Transaction_Type[], 5,FALSE), Data_Fund_Flows[[#This Row],[meta-partner-name]], info_reporting_org_name)</f>
        <v>WaterAid</v>
      </c>
      <c r="S34" s="358" t="str">
        <f>IF(NOT(ISBLANK(VLOOKUP(Data_Fund_Flows[[#This Row],[provider-org]],Data_Org[],4,FALSE))),VLOOKUP(Data_Fund_Flows[[#This Row],[provider-org]],Data_Org[],4,FALSE),"")</f>
        <v>GB-CHC-288701</v>
      </c>
      <c r="T34" s="361" t="str">
        <f>IF(EXACT(Data_Fund_Flows[[#This Row],[provider-org]],info_reporting_org_name),CONCATENATE(VLOOKUP(info_reporting_org_name,Data_Org[],4,FALSE), "-", Data_Fund_Flows[[#This Row],[meta-parent-ref]]),"")</f>
        <v>GB-CHC-288701-UGA17</v>
      </c>
      <c r="U34" s="266" t="str">
        <f>IF(NOT(VLOOKUP(Data_Fund_Flows[[#This Row],[transaction-type]],Table_WA_Transaction_Type[], 5,FALSE)), Data_Fund_Flows[[#This Row],[meta-partner-name]], IF(VLOOKUP(Data_Fund_Flows[[#This Row],[transaction-type]],Table_WA_Transaction_Type[], 6,FALSE), info_reporting_org_name, ""))</f>
        <v/>
      </c>
      <c r="V34" s="362" t="str">
        <f>IF(EXACT(Data_Fund_Flows[[#This Row],[receiver-org]], ""), "", IF(NOT(ISBLANK(VLOOKUP(Data_Fund_Flows[[#This Row],[receiver-org]],Data_Org[],4,FALSE))),VLOOKUP(Data_Fund_Flows[[#This Row],[receiver-org]],Data_Org[],4,FALSE),""))</f>
        <v/>
      </c>
      <c r="W34" s="363" t="str">
        <f>IF(EXACT(Data_Fund_Flows[[#This Row],[receiver-org]],info_reporting_org_name),CONCATENATE(VLOOKUP(info_reporting_org_name,Data_Org[],4,FALSE), "-", Data_Fund_Flows[[#This Row],[meta-parent-ref]]),"")</f>
        <v/>
      </c>
    </row>
    <row r="35" spans="1:23" s="24" customFormat="1" ht="30">
      <c r="A35" s="87"/>
      <c r="B35" s="87"/>
      <c r="C35" s="320" t="s">
        <v>1914</v>
      </c>
      <c r="D35" s="355" t="str">
        <f>CONCATENATE( LEFT(Data_Fund_Flows[[#This Row],[transaction-date@iso-date]],4), "-", VLOOKUP(RIGHT(Data_Fund_Flows[[#This Row],[transaction-date@iso-date]],7),Table_WA_Date_Conversion[],3,FALSE), "-",Data_Fund_Flows[[#This Row],[transaction-type@code]], "-", VLOOKUP(Data_Fund_Flows[[#This Row],[meta-partner-name]],Data_Org[],3,FALSE))</f>
        <v>2013-Q3-D-AMUR1</v>
      </c>
      <c r="E3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5" s="320" t="s">
        <v>1948</v>
      </c>
      <c r="G35" s="357" t="str">
        <f>CONCATENATE(VLOOKUP(info_reporting_org_name,Data_Org[],4,FALSE), "-", Data_Fund_Flows[[#This Row],[meta-parent-ref]], "-", Data_Fund_Flows[[#This Row],[meta-transaction-ref]])</f>
        <v>GB-CHC-288701-UGA19-2013-Q3-D-AMUR1</v>
      </c>
      <c r="H35" s="320" t="s">
        <v>107</v>
      </c>
      <c r="I35" s="358" t="str">
        <f>VLOOKUP(Data_Fund_Flows[[#This Row],[transaction-type]],Table_Transaction_Type[],2,FALSE)</f>
        <v>D</v>
      </c>
      <c r="J35" s="266" t="str">
        <f>VLOOKUP(Data_Fund_Flows[[#This Row],[transaction-type]],Table_WA_Transaction_Type[],2,FALSE)</f>
        <v>Disbursement to partner for current quarter of the project</v>
      </c>
      <c r="K35" s="266" t="str">
        <f>VLOOKUP(Data_Fund_Flows[[#This Row],[transaction-type]],Table_WA_Transaction_Type[],3,FALSE)</f>
        <v>Calendar quarter for the project</v>
      </c>
      <c r="L35" s="320" t="s">
        <v>1975</v>
      </c>
      <c r="M35" s="320">
        <v>2066.85</v>
      </c>
      <c r="N35" s="359" t="str">
        <f t="shared" si="0"/>
        <v>GBP</v>
      </c>
      <c r="O35" s="360" t="str">
        <f>LEFT(Data_Fund_Flows[[#This Row],[transaction-date@iso-date]],4) &amp; VLOOKUP(RIGHT(Data_Fund_Flows[[#This Row],[transaction-date@iso-date]],7),Table_WA_Date_Conversion[],2,FALSE)</f>
        <v>2013-09-30Z</v>
      </c>
      <c r="P35" s="266" t="str">
        <f>IF(OR(VLOOKUP(Data_Fund_Flows[[#This Row],[provider-org]],Data_Org[],2,FALSE)="Government", VLOOKUP(Data_Fund_Flows[[#This Row],[provider-org]],Data_Org[],2,FALSE)="Multilateral"),"ODA", "Private Grants")</f>
        <v>Private Grants</v>
      </c>
      <c r="Q35" s="358">
        <f>VLOOKUP(Data_Fund_Flows[[#This Row],[flow-type]],Table_Flow_Type[],2,FALSE)</f>
        <v>30</v>
      </c>
      <c r="R35" s="266" t="str">
        <f>IF(VLOOKUP(Data_Fund_Flows[[#This Row],[transaction-type]],Table_WA_Transaction_Type[], 5,FALSE), Data_Fund_Flows[[#This Row],[meta-partner-name]], info_reporting_org_name)</f>
        <v>WaterAid</v>
      </c>
      <c r="S35" s="358" t="str">
        <f>IF(NOT(ISBLANK(VLOOKUP(Data_Fund_Flows[[#This Row],[provider-org]],Data_Org[],4,FALSE))),VLOOKUP(Data_Fund_Flows[[#This Row],[provider-org]],Data_Org[],4,FALSE),"")</f>
        <v>GB-CHC-288701</v>
      </c>
      <c r="T35" s="361" t="str">
        <f>IF(EXACT(Data_Fund_Flows[[#This Row],[provider-org]],info_reporting_org_name),CONCATENATE(VLOOKUP(info_reporting_org_name,Data_Org[],4,FALSE), "-", Data_Fund_Flows[[#This Row],[meta-parent-ref]]),"")</f>
        <v>GB-CHC-288701-UGA19</v>
      </c>
      <c r="U35" s="266" t="str">
        <f>IF(NOT(VLOOKUP(Data_Fund_Flows[[#This Row],[transaction-type]],Table_WA_Transaction_Type[], 5,FALSE)), Data_Fund_Flows[[#This Row],[meta-partner-name]], IF(VLOOKUP(Data_Fund_Flows[[#This Row],[transaction-type]],Table_WA_Transaction_Type[], 6,FALSE), info_reporting_org_name, ""))</f>
        <v>Amuria District Local Government</v>
      </c>
      <c r="V35" s="362" t="str">
        <f>IF(EXACT(Data_Fund_Flows[[#This Row],[receiver-org]], ""), "", IF(NOT(ISBLANK(VLOOKUP(Data_Fund_Flows[[#This Row],[receiver-org]],Data_Org[],4,FALSE))),VLOOKUP(Data_Fund_Flows[[#This Row],[receiver-org]],Data_Org[],4,FALSE),""))</f>
        <v/>
      </c>
      <c r="W35" s="363" t="str">
        <f>IF(EXACT(Data_Fund_Flows[[#This Row],[receiver-org]],info_reporting_org_name),CONCATENATE(VLOOKUP(info_reporting_org_name,Data_Org[],4,FALSE), "-", Data_Fund_Flows[[#This Row],[meta-parent-ref]]),"")</f>
        <v/>
      </c>
    </row>
    <row r="36" spans="1:23" s="24" customFormat="1" ht="30">
      <c r="A36" s="87"/>
      <c r="B36" s="87"/>
      <c r="C36" s="320" t="s">
        <v>1914</v>
      </c>
      <c r="D36" s="355" t="str">
        <f>CONCATENATE( LEFT(Data_Fund_Flows[[#This Row],[transaction-date@iso-date]],4), "-", VLOOKUP(RIGHT(Data_Fund_Flows[[#This Row],[transaction-date@iso-date]],7),Table_WA_Date_Conversion[],3,FALSE), "-",Data_Fund_Flows[[#This Row],[transaction-type@code]], "-", VLOOKUP(Data_Fund_Flows[[#This Row],[meta-partner-name]],Data_Org[],3,FALSE))</f>
        <v>2013-Q3-D-HEWA1</v>
      </c>
      <c r="E3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6" s="320" t="s">
        <v>1940</v>
      </c>
      <c r="G36" s="357" t="str">
        <f>CONCATENATE(VLOOKUP(info_reporting_org_name,Data_Org[],4,FALSE), "-", Data_Fund_Flows[[#This Row],[meta-parent-ref]], "-", Data_Fund_Flows[[#This Row],[meta-transaction-ref]])</f>
        <v>GB-CHC-288701-UGA19-2013-Q3-D-HEWA1</v>
      </c>
      <c r="H36" s="320" t="s">
        <v>107</v>
      </c>
      <c r="I36" s="358" t="str">
        <f>VLOOKUP(Data_Fund_Flows[[#This Row],[transaction-type]],Table_Transaction_Type[],2,FALSE)</f>
        <v>D</v>
      </c>
      <c r="J36" s="266" t="str">
        <f>VLOOKUP(Data_Fund_Flows[[#This Row],[transaction-type]],Table_WA_Transaction_Type[],2,FALSE)</f>
        <v>Disbursement to partner for current quarter of the project</v>
      </c>
      <c r="K36" s="266" t="str">
        <f>VLOOKUP(Data_Fund_Flows[[#This Row],[transaction-type]],Table_WA_Transaction_Type[],3,FALSE)</f>
        <v>Calendar quarter for the project</v>
      </c>
      <c r="L36" s="320" t="s">
        <v>1975</v>
      </c>
      <c r="M36" s="320">
        <v>8366.15</v>
      </c>
      <c r="N36" s="359" t="str">
        <f t="shared" si="0"/>
        <v>GBP</v>
      </c>
      <c r="O36" s="360" t="str">
        <f>LEFT(Data_Fund_Flows[[#This Row],[transaction-date@iso-date]],4) &amp; VLOOKUP(RIGHT(Data_Fund_Flows[[#This Row],[transaction-date@iso-date]],7),Table_WA_Date_Conversion[],2,FALSE)</f>
        <v>2013-09-30Z</v>
      </c>
      <c r="P36" s="266" t="str">
        <f>IF(OR(VLOOKUP(Data_Fund_Flows[[#This Row],[provider-org]],Data_Org[],2,FALSE)="Government", VLOOKUP(Data_Fund_Flows[[#This Row],[provider-org]],Data_Org[],2,FALSE)="Multilateral"),"ODA", "Private Grants")</f>
        <v>Private Grants</v>
      </c>
      <c r="Q36" s="358">
        <f>VLOOKUP(Data_Fund_Flows[[#This Row],[flow-type]],Table_Flow_Type[],2,FALSE)</f>
        <v>30</v>
      </c>
      <c r="R36" s="266" t="str">
        <f>IF(VLOOKUP(Data_Fund_Flows[[#This Row],[transaction-type]],Table_WA_Transaction_Type[], 5,FALSE), Data_Fund_Flows[[#This Row],[meta-partner-name]], info_reporting_org_name)</f>
        <v>WaterAid</v>
      </c>
      <c r="S36" s="358" t="str">
        <f>IF(NOT(ISBLANK(VLOOKUP(Data_Fund_Flows[[#This Row],[provider-org]],Data_Org[],4,FALSE))),VLOOKUP(Data_Fund_Flows[[#This Row],[provider-org]],Data_Org[],4,FALSE),"")</f>
        <v>GB-CHC-288701</v>
      </c>
      <c r="T36" s="361" t="str">
        <f>IF(EXACT(Data_Fund_Flows[[#This Row],[provider-org]],info_reporting_org_name),CONCATENATE(VLOOKUP(info_reporting_org_name,Data_Org[],4,FALSE), "-", Data_Fund_Flows[[#This Row],[meta-parent-ref]]),"")</f>
        <v>GB-CHC-288701-UGA19</v>
      </c>
      <c r="U36" s="266" t="str">
        <f>IF(NOT(VLOOKUP(Data_Fund_Flows[[#This Row],[transaction-type]],Table_WA_Transaction_Type[], 5,FALSE)), Data_Fund_Flows[[#This Row],[meta-partner-name]], IF(VLOOKUP(Data_Fund_Flows[[#This Row],[transaction-type]],Table_WA_Transaction_Type[], 6,FALSE), info_reporting_org_name, ""))</f>
        <v>Health Through Water &amp; Sanitation</v>
      </c>
      <c r="V36" s="362" t="str">
        <f>IF(EXACT(Data_Fund_Flows[[#This Row],[receiver-org]], ""), "", IF(NOT(ISBLANK(VLOOKUP(Data_Fund_Flows[[#This Row],[receiver-org]],Data_Org[],4,FALSE))),VLOOKUP(Data_Fund_Flows[[#This Row],[receiver-org]],Data_Org[],4,FALSE),""))</f>
        <v/>
      </c>
      <c r="W36" s="363" t="str">
        <f>IF(EXACT(Data_Fund_Flows[[#This Row],[receiver-org]],info_reporting_org_name),CONCATENATE(VLOOKUP(info_reporting_org_name,Data_Org[],4,FALSE), "-", Data_Fund_Flows[[#This Row],[meta-parent-ref]]),"")</f>
        <v/>
      </c>
    </row>
    <row r="37" spans="1:23" s="24" customFormat="1" ht="30">
      <c r="A37" s="87"/>
      <c r="B37" s="87"/>
      <c r="C37" s="320" t="s">
        <v>1914</v>
      </c>
      <c r="D37" s="355" t="str">
        <f>CONCATENATE( LEFT(Data_Fund_Flows[[#This Row],[transaction-date@iso-date]],4), "-", VLOOKUP(RIGHT(Data_Fund_Flows[[#This Row],[transaction-date@iso-date]],7),Table_WA_Date_Conversion[],3,FALSE), "-",Data_Fund_Flows[[#This Row],[transaction-type@code]], "-", VLOOKUP(Data_Fund_Flows[[#This Row],[meta-partner-name]],Data_Org[],3,FALSE))</f>
        <v>2013-Q3-D-KADP1</v>
      </c>
      <c r="E3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7" s="401" t="s">
        <v>2050</v>
      </c>
      <c r="G37" s="357" t="str">
        <f>CONCATENATE(VLOOKUP(info_reporting_org_name,Data_Org[],4,FALSE), "-", Data_Fund_Flows[[#This Row],[meta-parent-ref]], "-", Data_Fund_Flows[[#This Row],[meta-transaction-ref]])</f>
        <v>GB-CHC-288701-UGA19-2013-Q3-D-KADP1</v>
      </c>
      <c r="H37" s="320" t="s">
        <v>107</v>
      </c>
      <c r="I37" s="358" t="str">
        <f>VLOOKUP(Data_Fund_Flows[[#This Row],[transaction-type]],Table_Transaction_Type[],2,FALSE)</f>
        <v>D</v>
      </c>
      <c r="J37" s="266" t="str">
        <f>VLOOKUP(Data_Fund_Flows[[#This Row],[transaction-type]],Table_WA_Transaction_Type[],2,FALSE)</f>
        <v>Disbursement to partner for current quarter of the project</v>
      </c>
      <c r="K37" s="266" t="str">
        <f>VLOOKUP(Data_Fund_Flows[[#This Row],[transaction-type]],Table_WA_Transaction_Type[],3,FALSE)</f>
        <v>Calendar quarter for the project</v>
      </c>
      <c r="L37" s="320" t="s">
        <v>1975</v>
      </c>
      <c r="M37" s="320">
        <v>10553.51</v>
      </c>
      <c r="N37" s="359" t="str">
        <f t="shared" si="0"/>
        <v>GBP</v>
      </c>
      <c r="O37" s="360" t="str">
        <f>LEFT(Data_Fund_Flows[[#This Row],[transaction-date@iso-date]],4) &amp; VLOOKUP(RIGHT(Data_Fund_Flows[[#This Row],[transaction-date@iso-date]],7),Table_WA_Date_Conversion[],2,FALSE)</f>
        <v>2013-09-30Z</v>
      </c>
      <c r="P37" s="266" t="str">
        <f>IF(OR(VLOOKUP(Data_Fund_Flows[[#This Row],[provider-org]],Data_Org[],2,FALSE)="Government", VLOOKUP(Data_Fund_Flows[[#This Row],[provider-org]],Data_Org[],2,FALSE)="Multilateral"),"ODA", "Private Grants")</f>
        <v>Private Grants</v>
      </c>
      <c r="Q37" s="358">
        <f>VLOOKUP(Data_Fund_Flows[[#This Row],[flow-type]],Table_Flow_Type[],2,FALSE)</f>
        <v>30</v>
      </c>
      <c r="R37" s="266" t="str">
        <f>IF(VLOOKUP(Data_Fund_Flows[[#This Row],[transaction-type]],Table_WA_Transaction_Type[], 5,FALSE), Data_Fund_Flows[[#This Row],[meta-partner-name]], info_reporting_org_name)</f>
        <v>WaterAid</v>
      </c>
      <c r="S37" s="358" t="str">
        <f>IF(NOT(ISBLANK(VLOOKUP(Data_Fund_Flows[[#This Row],[provider-org]],Data_Org[],4,FALSE))),VLOOKUP(Data_Fund_Flows[[#This Row],[provider-org]],Data_Org[],4,FALSE),"")</f>
        <v>GB-CHC-288701</v>
      </c>
      <c r="T37" s="361" t="str">
        <f>IF(EXACT(Data_Fund_Flows[[#This Row],[provider-org]],info_reporting_org_name),CONCATENATE(VLOOKUP(info_reporting_org_name,Data_Org[],4,FALSE), "-", Data_Fund_Flows[[#This Row],[meta-parent-ref]]),"")</f>
        <v>GB-CHC-288701-UGA19</v>
      </c>
      <c r="U37" s="266" t="str">
        <f>IF(NOT(VLOOKUP(Data_Fund_Flows[[#This Row],[transaction-type]],Table_WA_Transaction_Type[], 5,FALSE)), Data_Fund_Flows[[#This Row],[meta-partner-name]], IF(VLOOKUP(Data_Fund_Flows[[#This Row],[transaction-type]],Table_WA_Transaction_Type[], 6,FALSE), info_reporting_org_name, ""))</f>
        <v>Karamoja Agro-Pastoral Dev't Programme</v>
      </c>
      <c r="V37" s="362" t="str">
        <f>IF(EXACT(Data_Fund_Flows[[#This Row],[receiver-org]], ""), "", IF(NOT(ISBLANK(VLOOKUP(Data_Fund_Flows[[#This Row],[receiver-org]],Data_Org[],4,FALSE))),VLOOKUP(Data_Fund_Flows[[#This Row],[receiver-org]],Data_Org[],4,FALSE),""))</f>
        <v/>
      </c>
      <c r="W37" s="363" t="str">
        <f>IF(EXACT(Data_Fund_Flows[[#This Row],[receiver-org]],info_reporting_org_name),CONCATENATE(VLOOKUP(info_reporting_org_name,Data_Org[],4,FALSE), "-", Data_Fund_Flows[[#This Row],[meta-parent-ref]]),"")</f>
        <v/>
      </c>
    </row>
    <row r="38" spans="1:23" s="24" customFormat="1" ht="30">
      <c r="A38" s="87"/>
      <c r="B38" s="87"/>
      <c r="C38" s="320" t="s">
        <v>1914</v>
      </c>
      <c r="D38" s="355" t="str">
        <f>CONCATENATE( LEFT(Data_Fund_Flows[[#This Row],[transaction-date@iso-date]],4), "-", VLOOKUP(RIGHT(Data_Fund_Flows[[#This Row],[transaction-date@iso-date]],7),Table_WA_Date_Conversion[],3,FALSE), "-",Data_Fund_Flows[[#This Row],[transaction-type@code]], "-", VLOOKUP(Data_Fund_Flows[[#This Row],[meta-partner-name]],Data_Org[],3,FALSE))</f>
        <v>2013-Q3-D-MASI1</v>
      </c>
      <c r="E3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8" s="320" t="s">
        <v>1941</v>
      </c>
      <c r="G38" s="357" t="str">
        <f>CONCATENATE(VLOOKUP(info_reporting_org_name,Data_Org[],4,FALSE), "-", Data_Fund_Flows[[#This Row],[meta-parent-ref]], "-", Data_Fund_Flows[[#This Row],[meta-transaction-ref]])</f>
        <v>GB-CHC-288701-UGA19-2013-Q3-D-MASI1</v>
      </c>
      <c r="H38" s="320" t="s">
        <v>107</v>
      </c>
      <c r="I38" s="358" t="str">
        <f>VLOOKUP(Data_Fund_Flows[[#This Row],[transaction-type]],Table_Transaction_Type[],2,FALSE)</f>
        <v>D</v>
      </c>
      <c r="J38" s="266" t="str">
        <f>VLOOKUP(Data_Fund_Flows[[#This Row],[transaction-type]],Table_WA_Transaction_Type[],2,FALSE)</f>
        <v>Disbursement to partner for current quarter of the project</v>
      </c>
      <c r="K38" s="266" t="str">
        <f>VLOOKUP(Data_Fund_Flows[[#This Row],[transaction-type]],Table_WA_Transaction_Type[],3,FALSE)</f>
        <v>Calendar quarter for the project</v>
      </c>
      <c r="L38" s="320" t="s">
        <v>1975</v>
      </c>
      <c r="M38" s="320">
        <v>1127.8699999999999</v>
      </c>
      <c r="N38" s="359" t="str">
        <f t="shared" si="0"/>
        <v>GBP</v>
      </c>
      <c r="O38" s="360" t="str">
        <f>LEFT(Data_Fund_Flows[[#This Row],[transaction-date@iso-date]],4) &amp; VLOOKUP(RIGHT(Data_Fund_Flows[[#This Row],[transaction-date@iso-date]],7),Table_WA_Date_Conversion[],2,FALSE)</f>
        <v>2013-09-30Z</v>
      </c>
      <c r="P38" s="266" t="str">
        <f>IF(OR(VLOOKUP(Data_Fund_Flows[[#This Row],[provider-org]],Data_Org[],2,FALSE)="Government", VLOOKUP(Data_Fund_Flows[[#This Row],[provider-org]],Data_Org[],2,FALSE)="Multilateral"),"ODA", "Private Grants")</f>
        <v>Private Grants</v>
      </c>
      <c r="Q38" s="358">
        <f>VLOOKUP(Data_Fund_Flows[[#This Row],[flow-type]],Table_Flow_Type[],2,FALSE)</f>
        <v>30</v>
      </c>
      <c r="R38" s="266" t="str">
        <f>IF(VLOOKUP(Data_Fund_Flows[[#This Row],[transaction-type]],Table_WA_Transaction_Type[], 5,FALSE), Data_Fund_Flows[[#This Row],[meta-partner-name]], info_reporting_org_name)</f>
        <v>WaterAid</v>
      </c>
      <c r="S38" s="358" t="str">
        <f>IF(NOT(ISBLANK(VLOOKUP(Data_Fund_Flows[[#This Row],[provider-org]],Data_Org[],4,FALSE))),VLOOKUP(Data_Fund_Flows[[#This Row],[provider-org]],Data_Org[],4,FALSE),"")</f>
        <v>GB-CHC-288701</v>
      </c>
      <c r="T38" s="361" t="str">
        <f>IF(EXACT(Data_Fund_Flows[[#This Row],[provider-org]],info_reporting_org_name),CONCATENATE(VLOOKUP(info_reporting_org_name,Data_Org[],4,FALSE), "-", Data_Fund_Flows[[#This Row],[meta-parent-ref]]),"")</f>
        <v>GB-CHC-288701-UGA19</v>
      </c>
      <c r="U38" s="266" t="str">
        <f>IF(NOT(VLOOKUP(Data_Fund_Flows[[#This Row],[transaction-type]],Table_WA_Transaction_Type[], 5,FALSE)), Data_Fund_Flows[[#This Row],[meta-partner-name]], IF(VLOOKUP(Data_Fund_Flows[[#This Row],[transaction-type]],Table_WA_Transaction_Type[], 6,FALSE), info_reporting_org_name, ""))</f>
        <v>Masindi District local Government</v>
      </c>
      <c r="V38" s="362" t="str">
        <f>IF(EXACT(Data_Fund_Flows[[#This Row],[receiver-org]], ""), "", IF(NOT(ISBLANK(VLOOKUP(Data_Fund_Flows[[#This Row],[receiver-org]],Data_Org[],4,FALSE))),VLOOKUP(Data_Fund_Flows[[#This Row],[receiver-org]],Data_Org[],4,FALSE),""))</f>
        <v/>
      </c>
      <c r="W38" s="363" t="str">
        <f>IF(EXACT(Data_Fund_Flows[[#This Row],[receiver-org]],info_reporting_org_name),CONCATENATE(VLOOKUP(info_reporting_org_name,Data_Org[],4,FALSE), "-", Data_Fund_Flows[[#This Row],[meta-parent-ref]]),"")</f>
        <v/>
      </c>
    </row>
    <row r="39" spans="1:23" s="24" customFormat="1" ht="30">
      <c r="A39" s="87"/>
      <c r="B39" s="87"/>
      <c r="C39" s="320" t="s">
        <v>1914</v>
      </c>
      <c r="D39" s="355" t="str">
        <f>CONCATENATE( LEFT(Data_Fund_Flows[[#This Row],[transaction-date@iso-date]],4), "-", VLOOKUP(RIGHT(Data_Fund_Flows[[#This Row],[transaction-date@iso-date]],7),Table_WA_Date_Conversion[],3,FALSE), "-",Data_Fund_Flows[[#This Row],[transaction-type@code]], "-", VLOOKUP(Data_Fund_Flows[[#This Row],[meta-partner-name]],Data_Org[],3,FALSE))</f>
        <v>2013-Q3-D-NAPA1</v>
      </c>
      <c r="E3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9" s="320" t="s">
        <v>1942</v>
      </c>
      <c r="G39" s="357" t="str">
        <f>CONCATENATE(VLOOKUP(info_reporting_org_name,Data_Org[],4,FALSE), "-", Data_Fund_Flows[[#This Row],[meta-parent-ref]], "-", Data_Fund_Flows[[#This Row],[meta-transaction-ref]])</f>
        <v>GB-CHC-288701-UGA19-2013-Q3-D-NAPA1</v>
      </c>
      <c r="H39" s="320" t="s">
        <v>107</v>
      </c>
      <c r="I39" s="358" t="str">
        <f>VLOOKUP(Data_Fund_Flows[[#This Row],[transaction-type]],Table_Transaction_Type[],2,FALSE)</f>
        <v>D</v>
      </c>
      <c r="J39" s="266" t="str">
        <f>VLOOKUP(Data_Fund_Flows[[#This Row],[transaction-type]],Table_WA_Transaction_Type[],2,FALSE)</f>
        <v>Disbursement to partner for current quarter of the project</v>
      </c>
      <c r="K39" s="266" t="str">
        <f>VLOOKUP(Data_Fund_Flows[[#This Row],[transaction-type]],Table_WA_Transaction_Type[],3,FALSE)</f>
        <v>Calendar quarter for the project</v>
      </c>
      <c r="L39" s="320" t="s">
        <v>1975</v>
      </c>
      <c r="M39" s="320">
        <v>1225.47</v>
      </c>
      <c r="N39" s="359" t="str">
        <f t="shared" si="0"/>
        <v>GBP</v>
      </c>
      <c r="O39" s="360" t="str">
        <f>LEFT(Data_Fund_Flows[[#This Row],[transaction-date@iso-date]],4) &amp; VLOOKUP(RIGHT(Data_Fund_Flows[[#This Row],[transaction-date@iso-date]],7),Table_WA_Date_Conversion[],2,FALSE)</f>
        <v>2013-09-30Z</v>
      </c>
      <c r="P39" s="266" t="str">
        <f>IF(OR(VLOOKUP(Data_Fund_Flows[[#This Row],[provider-org]],Data_Org[],2,FALSE)="Government", VLOOKUP(Data_Fund_Flows[[#This Row],[provider-org]],Data_Org[],2,FALSE)="Multilateral"),"ODA", "Private Grants")</f>
        <v>Private Grants</v>
      </c>
      <c r="Q39" s="358">
        <f>VLOOKUP(Data_Fund_Flows[[#This Row],[flow-type]],Table_Flow_Type[],2,FALSE)</f>
        <v>30</v>
      </c>
      <c r="R39" s="266" t="str">
        <f>IF(VLOOKUP(Data_Fund_Flows[[#This Row],[transaction-type]],Table_WA_Transaction_Type[], 5,FALSE), Data_Fund_Flows[[#This Row],[meta-partner-name]], info_reporting_org_name)</f>
        <v>WaterAid</v>
      </c>
      <c r="S39" s="358" t="str">
        <f>IF(NOT(ISBLANK(VLOOKUP(Data_Fund_Flows[[#This Row],[provider-org]],Data_Org[],4,FALSE))),VLOOKUP(Data_Fund_Flows[[#This Row],[provider-org]],Data_Org[],4,FALSE),"")</f>
        <v>GB-CHC-288701</v>
      </c>
      <c r="T39" s="361" t="str">
        <f>IF(EXACT(Data_Fund_Flows[[#This Row],[provider-org]],info_reporting_org_name),CONCATENATE(VLOOKUP(info_reporting_org_name,Data_Org[],4,FALSE), "-", Data_Fund_Flows[[#This Row],[meta-parent-ref]]),"")</f>
        <v>GB-CHC-288701-UGA19</v>
      </c>
      <c r="U39" s="266" t="str">
        <f>IF(NOT(VLOOKUP(Data_Fund_Flows[[#This Row],[transaction-type]],Table_WA_Transaction_Type[], 5,FALSE)), Data_Fund_Flows[[#This Row],[meta-partner-name]], IF(VLOOKUP(Data_Fund_Flows[[#This Row],[transaction-type]],Table_WA_Transaction_Type[], 6,FALSE), info_reporting_org_name, ""))</f>
        <v>Napak District Local Government</v>
      </c>
      <c r="V39" s="362" t="str">
        <f>IF(EXACT(Data_Fund_Flows[[#This Row],[receiver-org]], ""), "", IF(NOT(ISBLANK(VLOOKUP(Data_Fund_Flows[[#This Row],[receiver-org]],Data_Org[],4,FALSE))),VLOOKUP(Data_Fund_Flows[[#This Row],[receiver-org]],Data_Org[],4,FALSE),""))</f>
        <v/>
      </c>
      <c r="W39" s="363" t="str">
        <f>IF(EXACT(Data_Fund_Flows[[#This Row],[receiver-org]],info_reporting_org_name),CONCATENATE(VLOOKUP(info_reporting_org_name,Data_Org[],4,FALSE), "-", Data_Fund_Flows[[#This Row],[meta-parent-ref]]),"")</f>
        <v/>
      </c>
    </row>
    <row r="40" spans="1:23" s="24" customFormat="1" ht="30">
      <c r="A40" s="87"/>
      <c r="B40" s="87"/>
      <c r="C40" s="320" t="s">
        <v>1914</v>
      </c>
      <c r="D40" s="355" t="str">
        <f>CONCATENATE( LEFT(Data_Fund_Flows[[#This Row],[transaction-date@iso-date]],4), "-", VLOOKUP(RIGHT(Data_Fund_Flows[[#This Row],[transaction-date@iso-date]],7),Table_WA_Date_Conversion[],3,FALSE), "-",Data_Fund_Flows[[#This Row],[transaction-type@code]], "-", VLOOKUP(Data_Fund_Flows[[#This Row],[meta-partner-name]],Data_Org[],3,FALSE))</f>
        <v>2013-Q3-D-PALI1</v>
      </c>
      <c r="E4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0" s="320" t="s">
        <v>1943</v>
      </c>
      <c r="G40" s="357" t="str">
        <f>CONCATENATE(VLOOKUP(info_reporting_org_name,Data_Org[],4,FALSE), "-", Data_Fund_Flows[[#This Row],[meta-parent-ref]], "-", Data_Fund_Flows[[#This Row],[meta-transaction-ref]])</f>
        <v>GB-CHC-288701-UGA19-2013-Q3-D-PALI1</v>
      </c>
      <c r="H40" s="320" t="s">
        <v>107</v>
      </c>
      <c r="I40" s="358" t="str">
        <f>VLOOKUP(Data_Fund_Flows[[#This Row],[transaction-type]],Table_Transaction_Type[],2,FALSE)</f>
        <v>D</v>
      </c>
      <c r="J40" s="266" t="str">
        <f>VLOOKUP(Data_Fund_Flows[[#This Row],[transaction-type]],Table_WA_Transaction_Type[],2,FALSE)</f>
        <v>Disbursement to partner for current quarter of the project</v>
      </c>
      <c r="K40" s="266" t="str">
        <f>VLOOKUP(Data_Fund_Flows[[#This Row],[transaction-type]],Table_WA_Transaction_Type[],3,FALSE)</f>
        <v>Calendar quarter for the project</v>
      </c>
      <c r="L40" s="320" t="s">
        <v>1975</v>
      </c>
      <c r="M40" s="320">
        <v>999.9</v>
      </c>
      <c r="N40" s="359" t="str">
        <f t="shared" si="0"/>
        <v>GBP</v>
      </c>
      <c r="O40" s="360" t="str">
        <f>LEFT(Data_Fund_Flows[[#This Row],[transaction-date@iso-date]],4) &amp; VLOOKUP(RIGHT(Data_Fund_Flows[[#This Row],[transaction-date@iso-date]],7),Table_WA_Date_Conversion[],2,FALSE)</f>
        <v>2013-09-30Z</v>
      </c>
      <c r="P40" s="266" t="str">
        <f>IF(OR(VLOOKUP(Data_Fund_Flows[[#This Row],[provider-org]],Data_Org[],2,FALSE)="Government", VLOOKUP(Data_Fund_Flows[[#This Row],[provider-org]],Data_Org[],2,FALSE)="Multilateral"),"ODA", "Private Grants")</f>
        <v>Private Grants</v>
      </c>
      <c r="Q40" s="358">
        <f>VLOOKUP(Data_Fund_Flows[[#This Row],[flow-type]],Table_Flow_Type[],2,FALSE)</f>
        <v>30</v>
      </c>
      <c r="R40" s="266" t="str">
        <f>IF(VLOOKUP(Data_Fund_Flows[[#This Row],[transaction-type]],Table_WA_Transaction_Type[], 5,FALSE), Data_Fund_Flows[[#This Row],[meta-partner-name]], info_reporting_org_name)</f>
        <v>WaterAid</v>
      </c>
      <c r="S40" s="358" t="str">
        <f>IF(NOT(ISBLANK(VLOOKUP(Data_Fund_Flows[[#This Row],[provider-org]],Data_Org[],4,FALSE))),VLOOKUP(Data_Fund_Flows[[#This Row],[provider-org]],Data_Org[],4,FALSE),"")</f>
        <v>GB-CHC-288701</v>
      </c>
      <c r="T40" s="361" t="str">
        <f>IF(EXACT(Data_Fund_Flows[[#This Row],[provider-org]],info_reporting_org_name),CONCATENATE(VLOOKUP(info_reporting_org_name,Data_Org[],4,FALSE), "-", Data_Fund_Flows[[#This Row],[meta-parent-ref]]),"")</f>
        <v>GB-CHC-288701-UGA19</v>
      </c>
      <c r="U40" s="266" t="str">
        <f>IF(NOT(VLOOKUP(Data_Fund_Flows[[#This Row],[transaction-type]],Table_WA_Transaction_Type[], 5,FALSE)), Data_Fund_Flows[[#This Row],[meta-partner-name]], IF(VLOOKUP(Data_Fund_Flows[[#This Row],[transaction-type]],Table_WA_Transaction_Type[], 6,FALSE), info_reporting_org_name, ""))</f>
        <v>Paliisa DLG</v>
      </c>
      <c r="V40" s="362" t="str">
        <f>IF(EXACT(Data_Fund_Flows[[#This Row],[receiver-org]], ""), "", IF(NOT(ISBLANK(VLOOKUP(Data_Fund_Flows[[#This Row],[receiver-org]],Data_Org[],4,FALSE))),VLOOKUP(Data_Fund_Flows[[#This Row],[receiver-org]],Data_Org[],4,FALSE),""))</f>
        <v/>
      </c>
      <c r="W40" s="363" t="str">
        <f>IF(EXACT(Data_Fund_Flows[[#This Row],[receiver-org]],info_reporting_org_name),CONCATENATE(VLOOKUP(info_reporting_org_name,Data_Org[],4,FALSE), "-", Data_Fund_Flows[[#This Row],[meta-parent-ref]]),"")</f>
        <v/>
      </c>
    </row>
    <row r="41" spans="1:23" ht="30">
      <c r="C41" s="320" t="s">
        <v>1914</v>
      </c>
      <c r="D41" s="355" t="str">
        <f>CONCATENATE( LEFT(Data_Fund_Flows[[#This Row],[transaction-date@iso-date]],4), "-", VLOOKUP(RIGHT(Data_Fund_Flows[[#This Row],[transaction-date@iso-date]],7),Table_WA_Date_Conversion[],3,FALSE), "-",Data_Fund_Flows[[#This Row],[transaction-type@code]], "-", VLOOKUP(Data_Fund_Flows[[#This Row],[meta-partner-name]],Data_Org[],3,FALSE))</f>
        <v>2013-Q3-D-TEDD1</v>
      </c>
      <c r="E4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1" s="320" t="s">
        <v>1944</v>
      </c>
      <c r="G41" s="357" t="str">
        <f>CONCATENATE(VLOOKUP(info_reporting_org_name,Data_Org[],4,FALSE), "-", Data_Fund_Flows[[#This Row],[meta-parent-ref]], "-", Data_Fund_Flows[[#This Row],[meta-transaction-ref]])</f>
        <v>GB-CHC-288701-UGA19-2013-Q3-D-TEDD1</v>
      </c>
      <c r="H41" s="320" t="s">
        <v>107</v>
      </c>
      <c r="I41" s="358" t="str">
        <f>VLOOKUP(Data_Fund_Flows[[#This Row],[transaction-type]],Table_Transaction_Type[],2,FALSE)</f>
        <v>D</v>
      </c>
      <c r="J41" s="266" t="str">
        <f>VLOOKUP(Data_Fund_Flows[[#This Row],[transaction-type]],Table_WA_Transaction_Type[],2,FALSE)</f>
        <v>Disbursement to partner for current quarter of the project</v>
      </c>
      <c r="K41" s="266" t="str">
        <f>VLOOKUP(Data_Fund_Flows[[#This Row],[transaction-type]],Table_WA_Transaction_Type[],3,FALSE)</f>
        <v>Calendar quarter for the project</v>
      </c>
      <c r="L41" s="320" t="s">
        <v>1975</v>
      </c>
      <c r="M41" s="320">
        <v>16844.310000000001</v>
      </c>
      <c r="N41" s="359" t="str">
        <f t="shared" si="0"/>
        <v>GBP</v>
      </c>
      <c r="O41" s="360" t="str">
        <f>LEFT(Data_Fund_Flows[[#This Row],[transaction-date@iso-date]],4) &amp; VLOOKUP(RIGHT(Data_Fund_Flows[[#This Row],[transaction-date@iso-date]],7),Table_WA_Date_Conversion[],2,FALSE)</f>
        <v>2013-09-30Z</v>
      </c>
      <c r="P41" s="266" t="str">
        <f>IF(OR(VLOOKUP(Data_Fund_Flows[[#This Row],[provider-org]],Data_Org[],2,FALSE)="Government", VLOOKUP(Data_Fund_Flows[[#This Row],[provider-org]],Data_Org[],2,FALSE)="Multilateral"),"ODA", "Private Grants")</f>
        <v>Private Grants</v>
      </c>
      <c r="Q41" s="358">
        <f>VLOOKUP(Data_Fund_Flows[[#This Row],[flow-type]],Table_Flow_Type[],2,FALSE)</f>
        <v>30</v>
      </c>
      <c r="R41" s="266" t="str">
        <f>IF(VLOOKUP(Data_Fund_Flows[[#This Row],[transaction-type]],Table_WA_Transaction_Type[], 5,FALSE), Data_Fund_Flows[[#This Row],[meta-partner-name]], info_reporting_org_name)</f>
        <v>WaterAid</v>
      </c>
      <c r="S41" s="358" t="str">
        <f>IF(NOT(ISBLANK(VLOOKUP(Data_Fund_Flows[[#This Row],[provider-org]],Data_Org[],4,FALSE))),VLOOKUP(Data_Fund_Flows[[#This Row],[provider-org]],Data_Org[],4,FALSE),"")</f>
        <v>GB-CHC-288701</v>
      </c>
      <c r="T41" s="361" t="str">
        <f>IF(EXACT(Data_Fund_Flows[[#This Row],[provider-org]],info_reporting_org_name),CONCATENATE(VLOOKUP(info_reporting_org_name,Data_Org[],4,FALSE), "-", Data_Fund_Flows[[#This Row],[meta-parent-ref]]),"")</f>
        <v>GB-CHC-288701-UGA19</v>
      </c>
      <c r="U41" s="266" t="str">
        <f>IF(NOT(VLOOKUP(Data_Fund_Flows[[#This Row],[transaction-type]],Table_WA_Transaction_Type[], 5,FALSE)), Data_Fund_Flows[[#This Row],[meta-partner-name]], IF(VLOOKUP(Data_Fund_Flows[[#This Row],[transaction-type]],Table_WA_Transaction_Type[], 6,FALSE), info_reporting_org_name, ""))</f>
        <v>Teso Diocese Development Organisation</v>
      </c>
      <c r="V41" s="362" t="str">
        <f>IF(EXACT(Data_Fund_Flows[[#This Row],[receiver-org]], ""), "", IF(NOT(ISBLANK(VLOOKUP(Data_Fund_Flows[[#This Row],[receiver-org]],Data_Org[],4,FALSE))),VLOOKUP(Data_Fund_Flows[[#This Row],[receiver-org]],Data_Org[],4,FALSE),""))</f>
        <v/>
      </c>
      <c r="W41" s="363" t="str">
        <f>IF(EXACT(Data_Fund_Flows[[#This Row],[receiver-org]],info_reporting_org_name),CONCATENATE(VLOOKUP(info_reporting_org_name,Data_Org[],4,FALSE), "-", Data_Fund_Flows[[#This Row],[meta-parent-ref]]),"")</f>
        <v/>
      </c>
    </row>
    <row r="42" spans="1:23" ht="30">
      <c r="C42" s="320" t="s">
        <v>1914</v>
      </c>
      <c r="D42" s="355" t="str">
        <f>CONCATENATE( LEFT(Data_Fund_Flows[[#This Row],[transaction-date@iso-date]],4), "-", VLOOKUP(RIGHT(Data_Fund_Flows[[#This Row],[transaction-date@iso-date]],7),Table_WA_Date_Conversion[],3,FALSE), "-",Data_Fund_Flows[[#This Row],[transaction-type@code]], "-", VLOOKUP(Data_Fund_Flows[[#This Row],[meta-partner-name]],Data_Org[],3,FALSE))</f>
        <v>2013-Q3-D-WEDA1</v>
      </c>
      <c r="E4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2" s="320" t="s">
        <v>1947</v>
      </c>
      <c r="G42" s="357" t="str">
        <f>CONCATENATE(VLOOKUP(info_reporting_org_name,Data_Org[],4,FALSE), "-", Data_Fund_Flows[[#This Row],[meta-parent-ref]], "-", Data_Fund_Flows[[#This Row],[meta-transaction-ref]])</f>
        <v>GB-CHC-288701-UGA19-2013-Q3-D-WEDA1</v>
      </c>
      <c r="H42" s="320" t="s">
        <v>107</v>
      </c>
      <c r="I42" s="358" t="str">
        <f>VLOOKUP(Data_Fund_Flows[[#This Row],[transaction-type]],Table_Transaction_Type[],2,FALSE)</f>
        <v>D</v>
      </c>
      <c r="J42" s="266" t="str">
        <f>VLOOKUP(Data_Fund_Flows[[#This Row],[transaction-type]],Table_WA_Transaction_Type[],2,FALSE)</f>
        <v>Disbursement to partner for current quarter of the project</v>
      </c>
      <c r="K42" s="266" t="str">
        <f>VLOOKUP(Data_Fund_Flows[[#This Row],[transaction-type]],Table_WA_Transaction_Type[],3,FALSE)</f>
        <v>Calendar quarter for the project</v>
      </c>
      <c r="L42" s="320" t="s">
        <v>1975</v>
      </c>
      <c r="M42" s="320">
        <v>27584.71</v>
      </c>
      <c r="N42" s="359" t="str">
        <f t="shared" si="0"/>
        <v>GBP</v>
      </c>
      <c r="O42" s="360" t="str">
        <f>LEFT(Data_Fund_Flows[[#This Row],[transaction-date@iso-date]],4) &amp; VLOOKUP(RIGHT(Data_Fund_Flows[[#This Row],[transaction-date@iso-date]],7),Table_WA_Date_Conversion[],2,FALSE)</f>
        <v>2013-09-30Z</v>
      </c>
      <c r="P42" s="266" t="str">
        <f>IF(OR(VLOOKUP(Data_Fund_Flows[[#This Row],[provider-org]],Data_Org[],2,FALSE)="Government", VLOOKUP(Data_Fund_Flows[[#This Row],[provider-org]],Data_Org[],2,FALSE)="Multilateral"),"ODA", "Private Grants")</f>
        <v>Private Grants</v>
      </c>
      <c r="Q42" s="358">
        <f>VLOOKUP(Data_Fund_Flows[[#This Row],[flow-type]],Table_Flow_Type[],2,FALSE)</f>
        <v>30</v>
      </c>
      <c r="R42" s="266" t="str">
        <f>IF(VLOOKUP(Data_Fund_Flows[[#This Row],[transaction-type]],Table_WA_Transaction_Type[], 5,FALSE), Data_Fund_Flows[[#This Row],[meta-partner-name]], info_reporting_org_name)</f>
        <v>WaterAid</v>
      </c>
      <c r="S42" s="358" t="str">
        <f>IF(NOT(ISBLANK(VLOOKUP(Data_Fund_Flows[[#This Row],[provider-org]],Data_Org[],4,FALSE))),VLOOKUP(Data_Fund_Flows[[#This Row],[provider-org]],Data_Org[],4,FALSE),"")</f>
        <v>GB-CHC-288701</v>
      </c>
      <c r="T42" s="361" t="str">
        <f>IF(EXACT(Data_Fund_Flows[[#This Row],[provider-org]],info_reporting_org_name),CONCATENATE(VLOOKUP(info_reporting_org_name,Data_Org[],4,FALSE), "-", Data_Fund_Flows[[#This Row],[meta-parent-ref]]),"")</f>
        <v>GB-CHC-288701-UGA19</v>
      </c>
      <c r="U42" s="266" t="str">
        <f>IF(NOT(VLOOKUP(Data_Fund_Flows[[#This Row],[transaction-type]],Table_WA_Transaction_Type[], 5,FALSE)), Data_Fund_Flows[[#This Row],[meta-partner-name]], IF(VLOOKUP(Data_Fund_Flows[[#This Row],[transaction-type]],Table_WA_Transaction_Type[], 6,FALSE), info_reporting_org_name, ""))</f>
        <v>Wera Development Association</v>
      </c>
      <c r="V42" s="362" t="str">
        <f>IF(EXACT(Data_Fund_Flows[[#This Row],[receiver-org]], ""), "", IF(NOT(ISBLANK(VLOOKUP(Data_Fund_Flows[[#This Row],[receiver-org]],Data_Org[],4,FALSE))),VLOOKUP(Data_Fund_Flows[[#This Row],[receiver-org]],Data_Org[],4,FALSE),""))</f>
        <v/>
      </c>
      <c r="W42" s="363" t="str">
        <f>IF(EXACT(Data_Fund_Flows[[#This Row],[receiver-org]],info_reporting_org_name),CONCATENATE(VLOOKUP(info_reporting_org_name,Data_Org[],4,FALSE), "-", Data_Fund_Flows[[#This Row],[meta-parent-ref]]),"")</f>
        <v/>
      </c>
    </row>
    <row r="43" spans="1:23" ht="30">
      <c r="C43" s="320" t="s">
        <v>1914</v>
      </c>
      <c r="D43"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3" s="320" t="s">
        <v>65</v>
      </c>
      <c r="G43" s="357" t="str">
        <f>CONCATENATE(VLOOKUP(info_reporting_org_name,Data_Org[],4,FALSE), "-", Data_Fund_Flows[[#This Row],[meta-parent-ref]], "-", Data_Fund_Flows[[#This Row],[meta-transaction-ref]])</f>
        <v>GB-CHC-288701-UGA19-2013-Q3-E-ZZZZZ</v>
      </c>
      <c r="H43" s="320" t="s">
        <v>108</v>
      </c>
      <c r="I43" s="358" t="str">
        <f>VLOOKUP(Data_Fund_Flows[[#This Row],[transaction-type]],Table_Transaction_Type[],2,FALSE)</f>
        <v>E</v>
      </c>
      <c r="J43" s="266" t="str">
        <f>VLOOKUP(Data_Fund_Flows[[#This Row],[transaction-type]],Table_WA_Transaction_Type[],2,FALSE)</f>
        <v>Expenditure by WaterAid for current quarter of the project</v>
      </c>
      <c r="K43" s="266" t="str">
        <f>VLOOKUP(Data_Fund_Flows[[#This Row],[transaction-type]],Table_WA_Transaction_Type[],3,FALSE)</f>
        <v>Calendar quarter for the project</v>
      </c>
      <c r="L43" s="320" t="s">
        <v>1975</v>
      </c>
      <c r="M43" s="320">
        <v>-9477.77</v>
      </c>
      <c r="N43" s="359" t="str">
        <f t="shared" si="0"/>
        <v>GBP</v>
      </c>
      <c r="O43" s="360" t="str">
        <f>LEFT(Data_Fund_Flows[[#This Row],[transaction-date@iso-date]],4) &amp; VLOOKUP(RIGHT(Data_Fund_Flows[[#This Row],[transaction-date@iso-date]],7),Table_WA_Date_Conversion[],2,FALSE)</f>
        <v>2013-09-30Z</v>
      </c>
      <c r="P43" s="266" t="str">
        <f>IF(OR(VLOOKUP(Data_Fund_Flows[[#This Row],[provider-org]],Data_Org[],2,FALSE)="Government", VLOOKUP(Data_Fund_Flows[[#This Row],[provider-org]],Data_Org[],2,FALSE)="Multilateral"),"ODA", "Private Grants")</f>
        <v>Private Grants</v>
      </c>
      <c r="Q43" s="358">
        <f>VLOOKUP(Data_Fund_Flows[[#This Row],[flow-type]],Table_Flow_Type[],2,FALSE)</f>
        <v>30</v>
      </c>
      <c r="R43" s="266" t="str">
        <f>IF(VLOOKUP(Data_Fund_Flows[[#This Row],[transaction-type]],Table_WA_Transaction_Type[], 5,FALSE), Data_Fund_Flows[[#This Row],[meta-partner-name]], info_reporting_org_name)</f>
        <v>WaterAid</v>
      </c>
      <c r="S43" s="358" t="str">
        <f>IF(NOT(ISBLANK(VLOOKUP(Data_Fund_Flows[[#This Row],[provider-org]],Data_Org[],4,FALSE))),VLOOKUP(Data_Fund_Flows[[#This Row],[provider-org]],Data_Org[],4,FALSE),"")</f>
        <v>GB-CHC-288701</v>
      </c>
      <c r="T43" s="361" t="str">
        <f>IF(EXACT(Data_Fund_Flows[[#This Row],[provider-org]],info_reporting_org_name),CONCATENATE(VLOOKUP(info_reporting_org_name,Data_Org[],4,FALSE), "-", Data_Fund_Flows[[#This Row],[meta-parent-ref]]),"")</f>
        <v>GB-CHC-288701-UGA19</v>
      </c>
      <c r="U43" s="266" t="str">
        <f>IF(NOT(VLOOKUP(Data_Fund_Flows[[#This Row],[transaction-type]],Table_WA_Transaction_Type[], 5,FALSE)), Data_Fund_Flows[[#This Row],[meta-partner-name]], IF(VLOOKUP(Data_Fund_Flows[[#This Row],[transaction-type]],Table_WA_Transaction_Type[], 6,FALSE), info_reporting_org_name, ""))</f>
        <v/>
      </c>
      <c r="V43" s="362" t="str">
        <f>IF(EXACT(Data_Fund_Flows[[#This Row],[receiver-org]], ""), "", IF(NOT(ISBLANK(VLOOKUP(Data_Fund_Flows[[#This Row],[receiver-org]],Data_Org[],4,FALSE))),VLOOKUP(Data_Fund_Flows[[#This Row],[receiver-org]],Data_Org[],4,FALSE),""))</f>
        <v/>
      </c>
      <c r="W43" s="363" t="str">
        <f>IF(EXACT(Data_Fund_Flows[[#This Row],[receiver-org]],info_reporting_org_name),CONCATENATE(VLOOKUP(info_reporting_org_name,Data_Org[],4,FALSE), "-", Data_Fund_Flows[[#This Row],[meta-parent-ref]]),"")</f>
        <v/>
      </c>
    </row>
    <row r="44" spans="1:23" ht="30">
      <c r="C44" s="320" t="s">
        <v>1915</v>
      </c>
      <c r="D44" s="355" t="str">
        <f>CONCATENATE( LEFT(Data_Fund_Flows[[#This Row],[transaction-date@iso-date]],4), "-", VLOOKUP(RIGHT(Data_Fund_Flows[[#This Row],[transaction-date@iso-date]],7),Table_WA_Date_Conversion[],3,FALSE), "-",Data_Fund_Flows[[#This Row],[transaction-type@code]], "-", VLOOKUP(Data_Fund_Flows[[#This Row],[meta-partner-name]],Data_Org[],3,FALSE))</f>
        <v>2013-Q3-D-AFRI1</v>
      </c>
      <c r="E4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4" s="320" t="s">
        <v>1949</v>
      </c>
      <c r="G44" s="357" t="str">
        <f>CONCATENATE(VLOOKUP(info_reporting_org_name,Data_Org[],4,FALSE), "-", Data_Fund_Flows[[#This Row],[meta-parent-ref]], "-", Data_Fund_Flows[[#This Row],[meta-transaction-ref]])</f>
        <v>GB-CHC-288701-UGA24-2013-Q3-D-AFRI1</v>
      </c>
      <c r="H44" s="320" t="s">
        <v>107</v>
      </c>
      <c r="I44" s="358" t="str">
        <f>VLOOKUP(Data_Fund_Flows[[#This Row],[transaction-type]],Table_Transaction_Type[],2,FALSE)</f>
        <v>D</v>
      </c>
      <c r="J44" s="266" t="str">
        <f>VLOOKUP(Data_Fund_Flows[[#This Row],[transaction-type]],Table_WA_Transaction_Type[],2,FALSE)</f>
        <v>Disbursement to partner for current quarter of the project</v>
      </c>
      <c r="K44" s="266" t="str">
        <f>VLOOKUP(Data_Fund_Flows[[#This Row],[transaction-type]],Table_WA_Transaction_Type[],3,FALSE)</f>
        <v>Calendar quarter for the project</v>
      </c>
      <c r="L44" s="320" t="s">
        <v>1975</v>
      </c>
      <c r="M44" s="320">
        <v>33567.870000000003</v>
      </c>
      <c r="N44" s="359" t="str">
        <f t="shared" si="0"/>
        <v>GBP</v>
      </c>
      <c r="O44" s="360" t="str">
        <f>LEFT(Data_Fund_Flows[[#This Row],[transaction-date@iso-date]],4) &amp; VLOOKUP(RIGHT(Data_Fund_Flows[[#This Row],[transaction-date@iso-date]],7),Table_WA_Date_Conversion[],2,FALSE)</f>
        <v>2013-09-30Z</v>
      </c>
      <c r="P44" s="266" t="str">
        <f>IF(OR(VLOOKUP(Data_Fund_Flows[[#This Row],[provider-org]],Data_Org[],2,FALSE)="Government", VLOOKUP(Data_Fund_Flows[[#This Row],[provider-org]],Data_Org[],2,FALSE)="Multilateral"),"ODA", "Private Grants")</f>
        <v>Private Grants</v>
      </c>
      <c r="Q44" s="358">
        <f>VLOOKUP(Data_Fund_Flows[[#This Row],[flow-type]],Table_Flow_Type[],2,FALSE)</f>
        <v>30</v>
      </c>
      <c r="R44" s="266" t="str">
        <f>IF(VLOOKUP(Data_Fund_Flows[[#This Row],[transaction-type]],Table_WA_Transaction_Type[], 5,FALSE), Data_Fund_Flows[[#This Row],[meta-partner-name]], info_reporting_org_name)</f>
        <v>WaterAid</v>
      </c>
      <c r="S44" s="358" t="str">
        <f>IF(NOT(ISBLANK(VLOOKUP(Data_Fund_Flows[[#This Row],[provider-org]],Data_Org[],4,FALSE))),VLOOKUP(Data_Fund_Flows[[#This Row],[provider-org]],Data_Org[],4,FALSE),"")</f>
        <v>GB-CHC-288701</v>
      </c>
      <c r="T44" s="361" t="str">
        <f>IF(EXACT(Data_Fund_Flows[[#This Row],[provider-org]],info_reporting_org_name),CONCATENATE(VLOOKUP(info_reporting_org_name,Data_Org[],4,FALSE), "-", Data_Fund_Flows[[#This Row],[meta-parent-ref]]),"")</f>
        <v>GB-CHC-288701-UGA24</v>
      </c>
      <c r="U44" s="266" t="str">
        <f>IF(NOT(VLOOKUP(Data_Fund_Flows[[#This Row],[transaction-type]],Table_WA_Transaction_Type[], 5,FALSE)), Data_Fund_Flows[[#This Row],[meta-partner-name]], IF(VLOOKUP(Data_Fund_Flows[[#This Row],[transaction-type]],Table_WA_Transaction_Type[], 6,FALSE), info_reporting_org_name, ""))</f>
        <v>African Evangelistic Enterprise</v>
      </c>
      <c r="V44" s="362" t="str">
        <f>IF(EXACT(Data_Fund_Flows[[#This Row],[receiver-org]], ""), "", IF(NOT(ISBLANK(VLOOKUP(Data_Fund_Flows[[#This Row],[receiver-org]],Data_Org[],4,FALSE))),VLOOKUP(Data_Fund_Flows[[#This Row],[receiver-org]],Data_Org[],4,FALSE),""))</f>
        <v/>
      </c>
      <c r="W44" s="363" t="str">
        <f>IF(EXACT(Data_Fund_Flows[[#This Row],[receiver-org]],info_reporting_org_name),CONCATENATE(VLOOKUP(info_reporting_org_name,Data_Org[],4,FALSE), "-", Data_Fund_Flows[[#This Row],[meta-parent-ref]]),"")</f>
        <v/>
      </c>
    </row>
    <row r="45" spans="1:23" ht="30">
      <c r="C45" s="320" t="s">
        <v>1915</v>
      </c>
      <c r="D45" s="355" t="str">
        <f>CONCATENATE( LEFT(Data_Fund_Flows[[#This Row],[transaction-date@iso-date]],4), "-", VLOOKUP(RIGHT(Data_Fund_Flows[[#This Row],[transaction-date@iso-date]],7),Table_WA_Date_Conversion[],3,FALSE), "-",Data_Fund_Flows[[#This Row],[transaction-type@code]], "-", VLOOKUP(Data_Fund_Flows[[#This Row],[meta-partner-name]],Data_Org[],3,FALSE))</f>
        <v>2013-Q3-D-CIDI1</v>
      </c>
      <c r="E4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5" s="320" t="s">
        <v>1950</v>
      </c>
      <c r="G45" s="357" t="str">
        <f>CONCATENATE(VLOOKUP(info_reporting_org_name,Data_Org[],4,FALSE), "-", Data_Fund_Flows[[#This Row],[meta-parent-ref]], "-", Data_Fund_Flows[[#This Row],[meta-transaction-ref]])</f>
        <v>GB-CHC-288701-UGA24-2013-Q3-D-CIDI1</v>
      </c>
      <c r="H45" s="320" t="s">
        <v>107</v>
      </c>
      <c r="I45" s="358" t="str">
        <f>VLOOKUP(Data_Fund_Flows[[#This Row],[transaction-type]],Table_Transaction_Type[],2,FALSE)</f>
        <v>D</v>
      </c>
      <c r="J45" s="266" t="str">
        <f>VLOOKUP(Data_Fund_Flows[[#This Row],[transaction-type]],Table_WA_Transaction_Type[],2,FALSE)</f>
        <v>Disbursement to partner for current quarter of the project</v>
      </c>
      <c r="K45" s="266" t="str">
        <f>VLOOKUP(Data_Fund_Flows[[#This Row],[transaction-type]],Table_WA_Transaction_Type[],3,FALSE)</f>
        <v>Calendar quarter for the project</v>
      </c>
      <c r="L45" s="320" t="s">
        <v>1975</v>
      </c>
      <c r="M45" s="320">
        <v>11663.86</v>
      </c>
      <c r="N45" s="359" t="str">
        <f t="shared" si="0"/>
        <v>GBP</v>
      </c>
      <c r="O45" s="360" t="str">
        <f>LEFT(Data_Fund_Flows[[#This Row],[transaction-date@iso-date]],4) &amp; VLOOKUP(RIGHT(Data_Fund_Flows[[#This Row],[transaction-date@iso-date]],7),Table_WA_Date_Conversion[],2,FALSE)</f>
        <v>2013-09-30Z</v>
      </c>
      <c r="P45" s="266" t="str">
        <f>IF(OR(VLOOKUP(Data_Fund_Flows[[#This Row],[provider-org]],Data_Org[],2,FALSE)="Government", VLOOKUP(Data_Fund_Flows[[#This Row],[provider-org]],Data_Org[],2,FALSE)="Multilateral"),"ODA", "Private Grants")</f>
        <v>Private Grants</v>
      </c>
      <c r="Q45" s="358">
        <f>VLOOKUP(Data_Fund_Flows[[#This Row],[flow-type]],Table_Flow_Type[],2,FALSE)</f>
        <v>30</v>
      </c>
      <c r="R45" s="266" t="str">
        <f>IF(VLOOKUP(Data_Fund_Flows[[#This Row],[transaction-type]],Table_WA_Transaction_Type[], 5,FALSE), Data_Fund_Flows[[#This Row],[meta-partner-name]], info_reporting_org_name)</f>
        <v>WaterAid</v>
      </c>
      <c r="S45" s="358" t="str">
        <f>IF(NOT(ISBLANK(VLOOKUP(Data_Fund_Flows[[#This Row],[provider-org]],Data_Org[],4,FALSE))),VLOOKUP(Data_Fund_Flows[[#This Row],[provider-org]],Data_Org[],4,FALSE),"")</f>
        <v>GB-CHC-288701</v>
      </c>
      <c r="T45" s="361" t="str">
        <f>IF(EXACT(Data_Fund_Flows[[#This Row],[provider-org]],info_reporting_org_name),CONCATENATE(VLOOKUP(info_reporting_org_name,Data_Org[],4,FALSE), "-", Data_Fund_Flows[[#This Row],[meta-parent-ref]]),"")</f>
        <v>GB-CHC-288701-UGA24</v>
      </c>
      <c r="U45" s="266" t="str">
        <f>IF(NOT(VLOOKUP(Data_Fund_Flows[[#This Row],[transaction-type]],Table_WA_Transaction_Type[], 5,FALSE)), Data_Fund_Flows[[#This Row],[meta-partner-name]], IF(VLOOKUP(Data_Fund_Flows[[#This Row],[transaction-type]],Table_WA_Transaction_Type[], 6,FALSE), info_reporting_org_name, ""))</f>
        <v>Community Integrated  Development Initiative</v>
      </c>
      <c r="V45" s="362" t="str">
        <f>IF(EXACT(Data_Fund_Flows[[#This Row],[receiver-org]], ""), "", IF(NOT(ISBLANK(VLOOKUP(Data_Fund_Flows[[#This Row],[receiver-org]],Data_Org[],4,FALSE))),VLOOKUP(Data_Fund_Flows[[#This Row],[receiver-org]],Data_Org[],4,FALSE),""))</f>
        <v/>
      </c>
      <c r="W45" s="363" t="str">
        <f>IF(EXACT(Data_Fund_Flows[[#This Row],[receiver-org]],info_reporting_org_name),CONCATENATE(VLOOKUP(info_reporting_org_name,Data_Org[],4,FALSE), "-", Data_Fund_Flows[[#This Row],[meta-parent-ref]]),"")</f>
        <v/>
      </c>
    </row>
    <row r="46" spans="1:23" ht="30">
      <c r="C46" s="320" t="s">
        <v>1915</v>
      </c>
      <c r="D46" s="355" t="str">
        <f>CONCATENATE( LEFT(Data_Fund_Flows[[#This Row],[transaction-date@iso-date]],4), "-", VLOOKUP(RIGHT(Data_Fund_Flows[[#This Row],[transaction-date@iso-date]],7),Table_WA_Date_Conversion[],3,FALSE), "-",Data_Fund_Flows[[#This Row],[transaction-type@code]], "-", VLOOKUP(Data_Fund_Flows[[#This Row],[meta-partner-name]],Data_Org[],3,FALSE))</f>
        <v>2013-Q3-D-KCCA1</v>
      </c>
      <c r="E4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6" s="320" t="s">
        <v>1951</v>
      </c>
      <c r="G46" s="357" t="str">
        <f>CONCATENATE(VLOOKUP(info_reporting_org_name,Data_Org[],4,FALSE), "-", Data_Fund_Flows[[#This Row],[meta-parent-ref]], "-", Data_Fund_Flows[[#This Row],[meta-transaction-ref]])</f>
        <v>GB-CHC-288701-UGA24-2013-Q3-D-KCCA1</v>
      </c>
      <c r="H46" s="320" t="s">
        <v>107</v>
      </c>
      <c r="I46" s="358" t="str">
        <f>VLOOKUP(Data_Fund_Flows[[#This Row],[transaction-type]],Table_Transaction_Type[],2,FALSE)</f>
        <v>D</v>
      </c>
      <c r="J46" s="266" t="str">
        <f>VLOOKUP(Data_Fund_Flows[[#This Row],[transaction-type]],Table_WA_Transaction_Type[],2,FALSE)</f>
        <v>Disbursement to partner for current quarter of the project</v>
      </c>
      <c r="K46" s="266" t="str">
        <f>VLOOKUP(Data_Fund_Flows[[#This Row],[transaction-type]],Table_WA_Transaction_Type[],3,FALSE)</f>
        <v>Calendar quarter for the project</v>
      </c>
      <c r="L46" s="320" t="s">
        <v>1975</v>
      </c>
      <c r="M46" s="320">
        <v>4587.95</v>
      </c>
      <c r="N46" s="359" t="str">
        <f t="shared" si="0"/>
        <v>GBP</v>
      </c>
      <c r="O46" s="360" t="str">
        <f>LEFT(Data_Fund_Flows[[#This Row],[transaction-date@iso-date]],4) &amp; VLOOKUP(RIGHT(Data_Fund_Flows[[#This Row],[transaction-date@iso-date]],7),Table_WA_Date_Conversion[],2,FALSE)</f>
        <v>2013-09-30Z</v>
      </c>
      <c r="P46" s="266" t="str">
        <f>IF(OR(VLOOKUP(Data_Fund_Flows[[#This Row],[provider-org]],Data_Org[],2,FALSE)="Government", VLOOKUP(Data_Fund_Flows[[#This Row],[provider-org]],Data_Org[],2,FALSE)="Multilateral"),"ODA", "Private Grants")</f>
        <v>Private Grants</v>
      </c>
      <c r="Q46" s="358">
        <f>VLOOKUP(Data_Fund_Flows[[#This Row],[flow-type]],Table_Flow_Type[],2,FALSE)</f>
        <v>30</v>
      </c>
      <c r="R46" s="266" t="str">
        <f>IF(VLOOKUP(Data_Fund_Flows[[#This Row],[transaction-type]],Table_WA_Transaction_Type[], 5,FALSE), Data_Fund_Flows[[#This Row],[meta-partner-name]], info_reporting_org_name)</f>
        <v>WaterAid</v>
      </c>
      <c r="S46" s="358" t="str">
        <f>IF(NOT(ISBLANK(VLOOKUP(Data_Fund_Flows[[#This Row],[provider-org]],Data_Org[],4,FALSE))),VLOOKUP(Data_Fund_Flows[[#This Row],[provider-org]],Data_Org[],4,FALSE),"")</f>
        <v>GB-CHC-288701</v>
      </c>
      <c r="T46" s="361" t="str">
        <f>IF(EXACT(Data_Fund_Flows[[#This Row],[provider-org]],info_reporting_org_name),CONCATENATE(VLOOKUP(info_reporting_org_name,Data_Org[],4,FALSE), "-", Data_Fund_Flows[[#This Row],[meta-parent-ref]]),"")</f>
        <v>GB-CHC-288701-UGA24</v>
      </c>
      <c r="U46" s="266" t="str">
        <f>IF(NOT(VLOOKUP(Data_Fund_Flows[[#This Row],[transaction-type]],Table_WA_Transaction_Type[], 5,FALSE)), Data_Fund_Flows[[#This Row],[meta-partner-name]], IF(VLOOKUP(Data_Fund_Flows[[#This Row],[transaction-type]],Table_WA_Transaction_Type[], 6,FALSE), info_reporting_org_name, ""))</f>
        <v>Kampala Capital City Authority</v>
      </c>
      <c r="V46" s="362" t="str">
        <f>IF(EXACT(Data_Fund_Flows[[#This Row],[receiver-org]], ""), "", IF(NOT(ISBLANK(VLOOKUP(Data_Fund_Flows[[#This Row],[receiver-org]],Data_Org[],4,FALSE))),VLOOKUP(Data_Fund_Flows[[#This Row],[receiver-org]],Data_Org[],4,FALSE),""))</f>
        <v/>
      </c>
      <c r="W46" s="363" t="str">
        <f>IF(EXACT(Data_Fund_Flows[[#This Row],[receiver-org]],info_reporting_org_name),CONCATENATE(VLOOKUP(info_reporting_org_name,Data_Org[],4,FALSE), "-", Data_Fund_Flows[[#This Row],[meta-parent-ref]]),"")</f>
        <v/>
      </c>
    </row>
    <row r="47" spans="1:23" s="24" customFormat="1" ht="30">
      <c r="A47" s="87"/>
      <c r="B47" s="87"/>
      <c r="C47" s="320" t="s">
        <v>1915</v>
      </c>
      <c r="D47"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7" s="320" t="s">
        <v>65</v>
      </c>
      <c r="G47" s="357" t="str">
        <f>CONCATENATE(VLOOKUP(info_reporting_org_name,Data_Org[],4,FALSE), "-", Data_Fund_Flows[[#This Row],[meta-parent-ref]], "-", Data_Fund_Flows[[#This Row],[meta-transaction-ref]])</f>
        <v>GB-CHC-288701-UGA24-2013-Q3-E-ZZZZZ</v>
      </c>
      <c r="H47" s="320" t="s">
        <v>108</v>
      </c>
      <c r="I47" s="358" t="str">
        <f>VLOOKUP(Data_Fund_Flows[[#This Row],[transaction-type]],Table_Transaction_Type[],2,FALSE)</f>
        <v>E</v>
      </c>
      <c r="J47" s="266" t="str">
        <f>VLOOKUP(Data_Fund_Flows[[#This Row],[transaction-type]],Table_WA_Transaction_Type[],2,FALSE)</f>
        <v>Expenditure by WaterAid for current quarter of the project</v>
      </c>
      <c r="K47" s="266" t="str">
        <f>VLOOKUP(Data_Fund_Flows[[#This Row],[transaction-type]],Table_WA_Transaction_Type[],3,FALSE)</f>
        <v>Calendar quarter for the project</v>
      </c>
      <c r="L47" s="320" t="s">
        <v>1975</v>
      </c>
      <c r="M47" s="320">
        <v>11741.09</v>
      </c>
      <c r="N47" s="359" t="str">
        <f t="shared" si="0"/>
        <v>GBP</v>
      </c>
      <c r="O47" s="360" t="str">
        <f>LEFT(Data_Fund_Flows[[#This Row],[transaction-date@iso-date]],4) &amp; VLOOKUP(RIGHT(Data_Fund_Flows[[#This Row],[transaction-date@iso-date]],7),Table_WA_Date_Conversion[],2,FALSE)</f>
        <v>2013-09-30Z</v>
      </c>
      <c r="P47" s="266" t="str">
        <f>IF(OR(VLOOKUP(Data_Fund_Flows[[#This Row],[provider-org]],Data_Org[],2,FALSE)="Government", VLOOKUP(Data_Fund_Flows[[#This Row],[provider-org]],Data_Org[],2,FALSE)="Multilateral"),"ODA", "Private Grants")</f>
        <v>Private Grants</v>
      </c>
      <c r="Q47" s="358">
        <f>VLOOKUP(Data_Fund_Flows[[#This Row],[flow-type]],Table_Flow_Type[],2,FALSE)</f>
        <v>30</v>
      </c>
      <c r="R47" s="266" t="str">
        <f>IF(VLOOKUP(Data_Fund_Flows[[#This Row],[transaction-type]],Table_WA_Transaction_Type[], 5,FALSE), Data_Fund_Flows[[#This Row],[meta-partner-name]], info_reporting_org_name)</f>
        <v>WaterAid</v>
      </c>
      <c r="S47" s="358" t="str">
        <f>IF(NOT(ISBLANK(VLOOKUP(Data_Fund_Flows[[#This Row],[provider-org]],Data_Org[],4,FALSE))),VLOOKUP(Data_Fund_Flows[[#This Row],[provider-org]],Data_Org[],4,FALSE),"")</f>
        <v>GB-CHC-288701</v>
      </c>
      <c r="T47" s="361" t="str">
        <f>IF(EXACT(Data_Fund_Flows[[#This Row],[provider-org]],info_reporting_org_name),CONCATENATE(VLOOKUP(info_reporting_org_name,Data_Org[],4,FALSE), "-", Data_Fund_Flows[[#This Row],[meta-parent-ref]]),"")</f>
        <v>GB-CHC-288701-UGA24</v>
      </c>
      <c r="U47" s="266" t="str">
        <f>IF(NOT(VLOOKUP(Data_Fund_Flows[[#This Row],[transaction-type]],Table_WA_Transaction_Type[], 5,FALSE)), Data_Fund_Flows[[#This Row],[meta-partner-name]], IF(VLOOKUP(Data_Fund_Flows[[#This Row],[transaction-type]],Table_WA_Transaction_Type[], 6,FALSE), info_reporting_org_name, ""))</f>
        <v/>
      </c>
      <c r="V47" s="362" t="str">
        <f>IF(EXACT(Data_Fund_Flows[[#This Row],[receiver-org]], ""), "", IF(NOT(ISBLANK(VLOOKUP(Data_Fund_Flows[[#This Row],[receiver-org]],Data_Org[],4,FALSE))),VLOOKUP(Data_Fund_Flows[[#This Row],[receiver-org]],Data_Org[],4,FALSE),""))</f>
        <v/>
      </c>
      <c r="W47" s="363" t="str">
        <f>IF(EXACT(Data_Fund_Flows[[#This Row],[receiver-org]],info_reporting_org_name),CONCATENATE(VLOOKUP(info_reporting_org_name,Data_Org[],4,FALSE), "-", Data_Fund_Flows[[#This Row],[meta-parent-ref]]),"")</f>
        <v/>
      </c>
    </row>
    <row r="48" spans="1:23" s="24" customFormat="1" ht="30">
      <c r="A48" s="87"/>
      <c r="B48" s="87"/>
      <c r="C48" s="320" t="s">
        <v>1916</v>
      </c>
      <c r="D48"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8" s="320" t="s">
        <v>65</v>
      </c>
      <c r="G48" s="357" t="str">
        <f>CONCATENATE(VLOOKUP(info_reporting_org_name,Data_Org[],4,FALSE), "-", Data_Fund_Flows[[#This Row],[meta-parent-ref]], "-", Data_Fund_Flows[[#This Row],[meta-transaction-ref]])</f>
        <v>GB-CHC-288701-UGA50-2013-Q3-E-ZZZZZ</v>
      </c>
      <c r="H48" s="320" t="s">
        <v>108</v>
      </c>
      <c r="I48" s="358" t="str">
        <f>VLOOKUP(Data_Fund_Flows[[#This Row],[transaction-type]],Table_Transaction_Type[],2,FALSE)</f>
        <v>E</v>
      </c>
      <c r="J48" s="266" t="str">
        <f>VLOOKUP(Data_Fund_Flows[[#This Row],[transaction-type]],Table_WA_Transaction_Type[],2,FALSE)</f>
        <v>Expenditure by WaterAid for current quarter of the project</v>
      </c>
      <c r="K48" s="266" t="str">
        <f>VLOOKUP(Data_Fund_Flows[[#This Row],[transaction-type]],Table_WA_Transaction_Type[],3,FALSE)</f>
        <v>Calendar quarter for the project</v>
      </c>
      <c r="L48" s="320" t="s">
        <v>1975</v>
      </c>
      <c r="M48" s="320">
        <v>1644.54</v>
      </c>
      <c r="N48" s="359" t="str">
        <f t="shared" si="0"/>
        <v>GBP</v>
      </c>
      <c r="O48" s="360" t="str">
        <f>LEFT(Data_Fund_Flows[[#This Row],[transaction-date@iso-date]],4) &amp; VLOOKUP(RIGHT(Data_Fund_Flows[[#This Row],[transaction-date@iso-date]],7),Table_WA_Date_Conversion[],2,FALSE)</f>
        <v>2013-09-30Z</v>
      </c>
      <c r="P48" s="266" t="str">
        <f>IF(OR(VLOOKUP(Data_Fund_Flows[[#This Row],[provider-org]],Data_Org[],2,FALSE)="Government", VLOOKUP(Data_Fund_Flows[[#This Row],[provider-org]],Data_Org[],2,FALSE)="Multilateral"),"ODA", "Private Grants")</f>
        <v>Private Grants</v>
      </c>
      <c r="Q48" s="358">
        <f>VLOOKUP(Data_Fund_Flows[[#This Row],[flow-type]],Table_Flow_Type[],2,FALSE)</f>
        <v>30</v>
      </c>
      <c r="R48" s="266" t="str">
        <f>IF(VLOOKUP(Data_Fund_Flows[[#This Row],[transaction-type]],Table_WA_Transaction_Type[], 5,FALSE), Data_Fund_Flows[[#This Row],[meta-partner-name]], info_reporting_org_name)</f>
        <v>WaterAid</v>
      </c>
      <c r="S48" s="358" t="str">
        <f>IF(NOT(ISBLANK(VLOOKUP(Data_Fund_Flows[[#This Row],[provider-org]],Data_Org[],4,FALSE))),VLOOKUP(Data_Fund_Flows[[#This Row],[provider-org]],Data_Org[],4,FALSE),"")</f>
        <v>GB-CHC-288701</v>
      </c>
      <c r="T48" s="361" t="str">
        <f>IF(EXACT(Data_Fund_Flows[[#This Row],[provider-org]],info_reporting_org_name),CONCATENATE(VLOOKUP(info_reporting_org_name,Data_Org[],4,FALSE), "-", Data_Fund_Flows[[#This Row],[meta-parent-ref]]),"")</f>
        <v>GB-CHC-288701-UGA50</v>
      </c>
      <c r="U48" s="266" t="str">
        <f>IF(NOT(VLOOKUP(Data_Fund_Flows[[#This Row],[transaction-type]],Table_WA_Transaction_Type[], 5,FALSE)), Data_Fund_Flows[[#This Row],[meta-partner-name]], IF(VLOOKUP(Data_Fund_Flows[[#This Row],[transaction-type]],Table_WA_Transaction_Type[], 6,FALSE), info_reporting_org_name, ""))</f>
        <v/>
      </c>
      <c r="V48" s="362" t="str">
        <f>IF(EXACT(Data_Fund_Flows[[#This Row],[receiver-org]], ""), "", IF(NOT(ISBLANK(VLOOKUP(Data_Fund_Flows[[#This Row],[receiver-org]],Data_Org[],4,FALSE))),VLOOKUP(Data_Fund_Flows[[#This Row],[receiver-org]],Data_Org[],4,FALSE),""))</f>
        <v/>
      </c>
      <c r="W48" s="363" t="str">
        <f>IF(EXACT(Data_Fund_Flows[[#This Row],[receiver-org]],info_reporting_org_name),CONCATENATE(VLOOKUP(info_reporting_org_name,Data_Org[],4,FALSE), "-", Data_Fund_Flows[[#This Row],[meta-parent-ref]]),"")</f>
        <v/>
      </c>
    </row>
    <row r="49" spans="1:23" s="24" customFormat="1" ht="30">
      <c r="A49" s="87"/>
      <c r="B49" s="87"/>
      <c r="C49" s="320" t="s">
        <v>1917</v>
      </c>
      <c r="D49" s="355" t="str">
        <f>CONCATENATE( LEFT(Data_Fund_Flows[[#This Row],[transaction-date@iso-date]],4), "-", VLOOKUP(RIGHT(Data_Fund_Flows[[#This Row],[transaction-date@iso-date]],7),Table_WA_Date_Conversion[],3,FALSE), "-",Data_Fund_Flows[[#This Row],[transaction-type@code]], "-", VLOOKUP(Data_Fund_Flows[[#This Row],[meta-partner-name]],Data_Org[],3,FALSE))</f>
        <v>2013-Q3-D-CIDI1</v>
      </c>
      <c r="E4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9" s="320" t="s">
        <v>1950</v>
      </c>
      <c r="G49" s="357" t="str">
        <f>CONCATENATE(VLOOKUP(info_reporting_org_name,Data_Org[],4,FALSE), "-", Data_Fund_Flows[[#This Row],[meta-parent-ref]], "-", Data_Fund_Flows[[#This Row],[meta-transaction-ref]])</f>
        <v>GB-CHC-288701-UGL50-2013-Q3-D-CIDI1</v>
      </c>
      <c r="H49" s="320" t="s">
        <v>107</v>
      </c>
      <c r="I49" s="358" t="str">
        <f>VLOOKUP(Data_Fund_Flows[[#This Row],[transaction-type]],Table_Transaction_Type[],2,FALSE)</f>
        <v>D</v>
      </c>
      <c r="J49" s="266" t="str">
        <f>VLOOKUP(Data_Fund_Flows[[#This Row],[transaction-type]],Table_WA_Transaction_Type[],2,FALSE)</f>
        <v>Disbursement to partner for current quarter of the project</v>
      </c>
      <c r="K49" s="266" t="str">
        <f>VLOOKUP(Data_Fund_Flows[[#This Row],[transaction-type]],Table_WA_Transaction_Type[],3,FALSE)</f>
        <v>Calendar quarter for the project</v>
      </c>
      <c r="L49" s="320" t="s">
        <v>1975</v>
      </c>
      <c r="M49" s="320">
        <v>4045.02</v>
      </c>
      <c r="N49" s="359" t="str">
        <f t="shared" si="0"/>
        <v>GBP</v>
      </c>
      <c r="O49" s="360" t="str">
        <f>LEFT(Data_Fund_Flows[[#This Row],[transaction-date@iso-date]],4) &amp; VLOOKUP(RIGHT(Data_Fund_Flows[[#This Row],[transaction-date@iso-date]],7),Table_WA_Date_Conversion[],2,FALSE)</f>
        <v>2013-09-30Z</v>
      </c>
      <c r="P49" s="266" t="str">
        <f>IF(OR(VLOOKUP(Data_Fund_Flows[[#This Row],[provider-org]],Data_Org[],2,FALSE)="Government", VLOOKUP(Data_Fund_Flows[[#This Row],[provider-org]],Data_Org[],2,FALSE)="Multilateral"),"ODA", "Private Grants")</f>
        <v>Private Grants</v>
      </c>
      <c r="Q49" s="358">
        <f>VLOOKUP(Data_Fund_Flows[[#This Row],[flow-type]],Table_Flow_Type[],2,FALSE)</f>
        <v>30</v>
      </c>
      <c r="R49" s="266" t="str">
        <f>IF(VLOOKUP(Data_Fund_Flows[[#This Row],[transaction-type]],Table_WA_Transaction_Type[], 5,FALSE), Data_Fund_Flows[[#This Row],[meta-partner-name]], info_reporting_org_name)</f>
        <v>WaterAid</v>
      </c>
      <c r="S49" s="358" t="str">
        <f>IF(NOT(ISBLANK(VLOOKUP(Data_Fund_Flows[[#This Row],[provider-org]],Data_Org[],4,FALSE))),VLOOKUP(Data_Fund_Flows[[#This Row],[provider-org]],Data_Org[],4,FALSE),"")</f>
        <v>GB-CHC-288701</v>
      </c>
      <c r="T49" s="361" t="str">
        <f>IF(EXACT(Data_Fund_Flows[[#This Row],[provider-org]],info_reporting_org_name),CONCATENATE(VLOOKUP(info_reporting_org_name,Data_Org[],4,FALSE), "-", Data_Fund_Flows[[#This Row],[meta-parent-ref]]),"")</f>
        <v>GB-CHC-288701-UGL50</v>
      </c>
      <c r="U49" s="266" t="str">
        <f>IF(NOT(VLOOKUP(Data_Fund_Flows[[#This Row],[transaction-type]],Table_WA_Transaction_Type[], 5,FALSE)), Data_Fund_Flows[[#This Row],[meta-partner-name]], IF(VLOOKUP(Data_Fund_Flows[[#This Row],[transaction-type]],Table_WA_Transaction_Type[], 6,FALSE), info_reporting_org_name, ""))</f>
        <v>Community Integrated  Development Initiative</v>
      </c>
      <c r="V49" s="362" t="str">
        <f>IF(EXACT(Data_Fund_Flows[[#This Row],[receiver-org]], ""), "", IF(NOT(ISBLANK(VLOOKUP(Data_Fund_Flows[[#This Row],[receiver-org]],Data_Org[],4,FALSE))),VLOOKUP(Data_Fund_Flows[[#This Row],[receiver-org]],Data_Org[],4,FALSE),""))</f>
        <v/>
      </c>
      <c r="W49" s="363" t="str">
        <f>IF(EXACT(Data_Fund_Flows[[#This Row],[receiver-org]],info_reporting_org_name),CONCATENATE(VLOOKUP(info_reporting_org_name,Data_Org[],4,FALSE), "-", Data_Fund_Flows[[#This Row],[meta-parent-ref]]),"")</f>
        <v/>
      </c>
    </row>
    <row r="50" spans="1:23" s="24" customFormat="1" ht="30">
      <c r="A50" s="87"/>
      <c r="B50" s="87"/>
      <c r="C50" s="320" t="s">
        <v>1917</v>
      </c>
      <c r="D50"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5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50" s="320" t="s">
        <v>65</v>
      </c>
      <c r="G50" s="357" t="str">
        <f>CONCATENATE(VLOOKUP(info_reporting_org_name,Data_Org[],4,FALSE), "-", Data_Fund_Flows[[#This Row],[meta-parent-ref]], "-", Data_Fund_Flows[[#This Row],[meta-transaction-ref]])</f>
        <v>GB-CHC-288701-UGL50-2013-Q3-E-ZZZZZ</v>
      </c>
      <c r="H50" s="320" t="s">
        <v>108</v>
      </c>
      <c r="I50" s="358" t="str">
        <f>VLOOKUP(Data_Fund_Flows[[#This Row],[transaction-type]],Table_Transaction_Type[],2,FALSE)</f>
        <v>E</v>
      </c>
      <c r="J50" s="266" t="str">
        <f>VLOOKUP(Data_Fund_Flows[[#This Row],[transaction-type]],Table_WA_Transaction_Type[],2,FALSE)</f>
        <v>Expenditure by WaterAid for current quarter of the project</v>
      </c>
      <c r="K50" s="266" t="str">
        <f>VLOOKUP(Data_Fund_Flows[[#This Row],[transaction-type]],Table_WA_Transaction_Type[],3,FALSE)</f>
        <v>Calendar quarter for the project</v>
      </c>
      <c r="L50" s="320" t="s">
        <v>1975</v>
      </c>
      <c r="M50" s="320">
        <v>1096.4499999999998</v>
      </c>
      <c r="N50" s="359" t="str">
        <f t="shared" si="0"/>
        <v>GBP</v>
      </c>
      <c r="O50" s="360" t="str">
        <f>LEFT(Data_Fund_Flows[[#This Row],[transaction-date@iso-date]],4) &amp; VLOOKUP(RIGHT(Data_Fund_Flows[[#This Row],[transaction-date@iso-date]],7),Table_WA_Date_Conversion[],2,FALSE)</f>
        <v>2013-09-30Z</v>
      </c>
      <c r="P50" s="266" t="str">
        <f>IF(OR(VLOOKUP(Data_Fund_Flows[[#This Row],[provider-org]],Data_Org[],2,FALSE)="Government", VLOOKUP(Data_Fund_Flows[[#This Row],[provider-org]],Data_Org[],2,FALSE)="Multilateral"),"ODA", "Private Grants")</f>
        <v>Private Grants</v>
      </c>
      <c r="Q50" s="358">
        <f>VLOOKUP(Data_Fund_Flows[[#This Row],[flow-type]],Table_Flow_Type[],2,FALSE)</f>
        <v>30</v>
      </c>
      <c r="R50" s="266" t="str">
        <f>IF(VLOOKUP(Data_Fund_Flows[[#This Row],[transaction-type]],Table_WA_Transaction_Type[], 5,FALSE), Data_Fund_Flows[[#This Row],[meta-partner-name]], info_reporting_org_name)</f>
        <v>WaterAid</v>
      </c>
      <c r="S50" s="358" t="str">
        <f>IF(NOT(ISBLANK(VLOOKUP(Data_Fund_Flows[[#This Row],[provider-org]],Data_Org[],4,FALSE))),VLOOKUP(Data_Fund_Flows[[#This Row],[provider-org]],Data_Org[],4,FALSE),"")</f>
        <v>GB-CHC-288701</v>
      </c>
      <c r="T50" s="361" t="str">
        <f>IF(EXACT(Data_Fund_Flows[[#This Row],[provider-org]],info_reporting_org_name),CONCATENATE(VLOOKUP(info_reporting_org_name,Data_Org[],4,FALSE), "-", Data_Fund_Flows[[#This Row],[meta-parent-ref]]),"")</f>
        <v>GB-CHC-288701-UGL50</v>
      </c>
      <c r="U50" s="266" t="str">
        <f>IF(NOT(VLOOKUP(Data_Fund_Flows[[#This Row],[transaction-type]],Table_WA_Transaction_Type[], 5,FALSE)), Data_Fund_Flows[[#This Row],[meta-partner-name]], IF(VLOOKUP(Data_Fund_Flows[[#This Row],[transaction-type]],Table_WA_Transaction_Type[], 6,FALSE), info_reporting_org_name, ""))</f>
        <v/>
      </c>
      <c r="V50" s="362" t="str">
        <f>IF(EXACT(Data_Fund_Flows[[#This Row],[receiver-org]], ""), "", IF(NOT(ISBLANK(VLOOKUP(Data_Fund_Flows[[#This Row],[receiver-org]],Data_Org[],4,FALSE))),VLOOKUP(Data_Fund_Flows[[#This Row],[receiver-org]],Data_Org[],4,FALSE),""))</f>
        <v/>
      </c>
      <c r="W50" s="363" t="str">
        <f>IF(EXACT(Data_Fund_Flows[[#This Row],[receiver-org]],info_reporting_org_name),CONCATENATE(VLOOKUP(info_reporting_org_name,Data_Org[],4,FALSE), "-", Data_Fund_Flows[[#This Row],[meta-parent-ref]]),"")</f>
        <v/>
      </c>
    </row>
    <row r="51" spans="1:23" ht="30">
      <c r="C51" s="320" t="s">
        <v>1918</v>
      </c>
      <c r="D51"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5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51" s="320" t="s">
        <v>65</v>
      </c>
      <c r="G51" s="357" t="str">
        <f>CONCATENATE(VLOOKUP(info_reporting_org_name,Data_Org[],4,FALSE), "-", Data_Fund_Flows[[#This Row],[meta-parent-ref]], "-", Data_Fund_Flows[[#This Row],[meta-transaction-ref]])</f>
        <v>GB-CHC-288701-UGR52-2013-Q3-E-ZZZZZ</v>
      </c>
      <c r="H51" s="320" t="s">
        <v>108</v>
      </c>
      <c r="I51" s="358" t="str">
        <f>VLOOKUP(Data_Fund_Flows[[#This Row],[transaction-type]],Table_Transaction_Type[],2,FALSE)</f>
        <v>E</v>
      </c>
      <c r="J51" s="266" t="str">
        <f>VLOOKUP(Data_Fund_Flows[[#This Row],[transaction-type]],Table_WA_Transaction_Type[],2,FALSE)</f>
        <v>Expenditure by WaterAid for current quarter of the project</v>
      </c>
      <c r="K51" s="266" t="str">
        <f>VLOOKUP(Data_Fund_Flows[[#This Row],[transaction-type]],Table_WA_Transaction_Type[],3,FALSE)</f>
        <v>Calendar quarter for the project</v>
      </c>
      <c r="L51" s="320" t="s">
        <v>1975</v>
      </c>
      <c r="M51" s="320">
        <v>4006.85</v>
      </c>
      <c r="N51" s="359" t="str">
        <f t="shared" si="0"/>
        <v>GBP</v>
      </c>
      <c r="O51" s="360" t="str">
        <f>LEFT(Data_Fund_Flows[[#This Row],[transaction-date@iso-date]],4) &amp; VLOOKUP(RIGHT(Data_Fund_Flows[[#This Row],[transaction-date@iso-date]],7),Table_WA_Date_Conversion[],2,FALSE)</f>
        <v>2013-09-30Z</v>
      </c>
      <c r="P51" s="266" t="str">
        <f>IF(OR(VLOOKUP(Data_Fund_Flows[[#This Row],[provider-org]],Data_Org[],2,FALSE)="Government", VLOOKUP(Data_Fund_Flows[[#This Row],[provider-org]],Data_Org[],2,FALSE)="Multilateral"),"ODA", "Private Grants")</f>
        <v>Private Grants</v>
      </c>
      <c r="Q51" s="358">
        <f>VLOOKUP(Data_Fund_Flows[[#This Row],[flow-type]],Table_Flow_Type[],2,FALSE)</f>
        <v>30</v>
      </c>
      <c r="R51" s="266" t="str">
        <f>IF(VLOOKUP(Data_Fund_Flows[[#This Row],[transaction-type]],Table_WA_Transaction_Type[], 5,FALSE), Data_Fund_Flows[[#This Row],[meta-partner-name]], info_reporting_org_name)</f>
        <v>WaterAid</v>
      </c>
      <c r="S51" s="358" t="str">
        <f>IF(NOT(ISBLANK(VLOOKUP(Data_Fund_Flows[[#This Row],[provider-org]],Data_Org[],4,FALSE))),VLOOKUP(Data_Fund_Flows[[#This Row],[provider-org]],Data_Org[],4,FALSE),"")</f>
        <v>GB-CHC-288701</v>
      </c>
      <c r="T51" s="361" t="str">
        <f>IF(EXACT(Data_Fund_Flows[[#This Row],[provider-org]],info_reporting_org_name),CONCATENATE(VLOOKUP(info_reporting_org_name,Data_Org[],4,FALSE), "-", Data_Fund_Flows[[#This Row],[meta-parent-ref]]),"")</f>
        <v>GB-CHC-288701-UGR52</v>
      </c>
      <c r="U51" s="266" t="str">
        <f>IF(NOT(VLOOKUP(Data_Fund_Flows[[#This Row],[transaction-type]],Table_WA_Transaction_Type[], 5,FALSE)), Data_Fund_Flows[[#This Row],[meta-partner-name]], IF(VLOOKUP(Data_Fund_Flows[[#This Row],[transaction-type]],Table_WA_Transaction_Type[], 6,FALSE), info_reporting_org_name, ""))</f>
        <v/>
      </c>
      <c r="V51" s="362" t="str">
        <f>IF(EXACT(Data_Fund_Flows[[#This Row],[receiver-org]], ""), "", IF(NOT(ISBLANK(VLOOKUP(Data_Fund_Flows[[#This Row],[receiver-org]],Data_Org[],4,FALSE))),VLOOKUP(Data_Fund_Flows[[#This Row],[receiver-org]],Data_Org[],4,FALSE),""))</f>
        <v/>
      </c>
      <c r="W51" s="363" t="str">
        <f>IF(EXACT(Data_Fund_Flows[[#This Row],[receiver-org]],info_reporting_org_name),CONCATENATE(VLOOKUP(info_reporting_org_name,Data_Org[],4,FALSE), "-", Data_Fund_Flows[[#This Row],[meta-parent-ref]]),"")</f>
        <v/>
      </c>
    </row>
    <row r="54" spans="1:23" s="24" customFormat="1">
      <c r="A54" s="87"/>
      <c r="B54" s="87"/>
      <c r="C54" s="17"/>
      <c r="D54" s="34"/>
      <c r="E54" s="19"/>
      <c r="F54" s="18"/>
      <c r="G54" s="34"/>
      <c r="H54" s="34"/>
      <c r="I54" s="18"/>
      <c r="J54" s="26"/>
      <c r="K54" s="25"/>
      <c r="L54" s="19"/>
      <c r="M54"/>
      <c r="N54"/>
      <c r="O54"/>
      <c r="P54" s="14"/>
      <c r="Q54" s="34"/>
      <c r="R54" s="79"/>
      <c r="S54" s="79"/>
      <c r="T54" s="34"/>
      <c r="U54" s="34"/>
      <c r="V54" s="18"/>
      <c r="W54" s="18"/>
    </row>
    <row r="56" spans="1:23" s="30" customFormat="1">
      <c r="A56" s="87"/>
      <c r="B56" s="87"/>
      <c r="C56" s="17"/>
      <c r="D56" s="34"/>
      <c r="E56" s="19"/>
      <c r="F56" s="18"/>
      <c r="G56" s="34"/>
      <c r="H56" s="34"/>
      <c r="I56" s="18"/>
      <c r="J56" s="26"/>
      <c r="K56" s="25"/>
      <c r="L56" s="19"/>
      <c r="M56"/>
      <c r="N56"/>
      <c r="O56"/>
      <c r="P56" s="14"/>
      <c r="Q56" s="34"/>
      <c r="R56" s="79"/>
      <c r="S56" s="79"/>
      <c r="T56" s="34"/>
      <c r="U56" s="34"/>
      <c r="V56" s="18"/>
      <c r="W56" s="18"/>
    </row>
    <row r="57" spans="1:23" s="30" customFormat="1">
      <c r="A57" s="87"/>
      <c r="B57" s="87"/>
      <c r="C57" s="17"/>
      <c r="D57" s="34"/>
      <c r="E57" s="19"/>
      <c r="F57" s="18"/>
      <c r="G57" s="34"/>
      <c r="H57" s="34"/>
      <c r="I57" s="18"/>
      <c r="J57" s="26"/>
      <c r="K57" s="25"/>
      <c r="L57" s="19"/>
      <c r="M57"/>
      <c r="N57"/>
      <c r="O57"/>
      <c r="P57" s="14"/>
      <c r="Q57" s="34"/>
      <c r="R57" s="79"/>
      <c r="S57" s="79"/>
      <c r="T57" s="34"/>
      <c r="U57" s="34"/>
      <c r="V57" s="18"/>
      <c r="W57" s="18"/>
    </row>
    <row r="58" spans="1:23" s="30" customFormat="1">
      <c r="A58" s="87"/>
      <c r="B58" s="87"/>
      <c r="C58" s="17"/>
      <c r="D58" s="34"/>
      <c r="E58" s="19"/>
      <c r="F58" s="18"/>
      <c r="G58" s="34"/>
      <c r="H58" s="34"/>
      <c r="I58" s="18"/>
      <c r="J58" s="26"/>
      <c r="K58" s="25"/>
      <c r="L58" s="19"/>
      <c r="M58"/>
      <c r="N58"/>
      <c r="O58"/>
      <c r="P58" s="14"/>
      <c r="Q58" s="34"/>
      <c r="R58" s="79"/>
      <c r="S58" s="79"/>
      <c r="T58" s="34"/>
      <c r="U58" s="34"/>
      <c r="V58" s="18"/>
      <c r="W58" s="18"/>
    </row>
    <row r="59" spans="1:23" s="30" customFormat="1">
      <c r="A59" s="87"/>
      <c r="B59" s="87"/>
      <c r="C59" s="17"/>
      <c r="D59" s="34"/>
      <c r="E59" s="19"/>
      <c r="F59" s="18"/>
      <c r="G59" s="34"/>
      <c r="H59" s="34"/>
      <c r="I59" s="18"/>
      <c r="J59" s="26"/>
      <c r="K59" s="25"/>
      <c r="L59" s="19"/>
      <c r="M59"/>
      <c r="N59"/>
      <c r="O59"/>
      <c r="P59" s="14"/>
      <c r="Q59" s="34"/>
      <c r="R59" s="79"/>
      <c r="S59" s="79"/>
      <c r="T59" s="34"/>
      <c r="U59" s="34"/>
      <c r="V59" s="18"/>
      <c r="W59" s="18"/>
    </row>
    <row r="60" spans="1:23" s="30" customFormat="1">
      <c r="A60" s="87"/>
      <c r="B60" s="87"/>
      <c r="C60" s="17"/>
      <c r="D60" s="34"/>
      <c r="E60" s="19"/>
      <c r="F60" s="18"/>
      <c r="G60" s="34"/>
      <c r="H60" s="34"/>
      <c r="I60" s="18"/>
      <c r="J60" s="26"/>
      <c r="K60" s="25"/>
      <c r="L60" s="19"/>
      <c r="M60"/>
      <c r="N60"/>
      <c r="O60"/>
      <c r="P60" s="14"/>
      <c r="Q60" s="34"/>
      <c r="R60" s="79"/>
      <c r="S60" s="79"/>
      <c r="T60" s="34"/>
      <c r="U60" s="34"/>
      <c r="V60" s="18"/>
      <c r="W60" s="18"/>
    </row>
    <row r="61" spans="1:23" s="30" customFormat="1">
      <c r="A61" s="87"/>
      <c r="B61" s="87"/>
      <c r="C61" s="17"/>
      <c r="D61" s="34"/>
      <c r="E61" s="19"/>
      <c r="F61" s="18"/>
      <c r="G61" s="34"/>
      <c r="H61" s="34"/>
      <c r="I61" s="18"/>
      <c r="J61" s="26"/>
      <c r="K61" s="25"/>
      <c r="L61" s="19"/>
      <c r="M61"/>
      <c r="N61"/>
      <c r="O61"/>
      <c r="P61" s="14"/>
      <c r="Q61" s="34"/>
      <c r="R61" s="79"/>
      <c r="S61" s="79"/>
      <c r="T61" s="34"/>
      <c r="U61" s="34"/>
      <c r="V61" s="18"/>
      <c r="W61" s="18"/>
    </row>
    <row r="62" spans="1:23" s="30" customFormat="1">
      <c r="A62" s="87"/>
      <c r="B62" s="87"/>
      <c r="C62" s="17"/>
      <c r="D62" s="34"/>
      <c r="E62" s="19"/>
      <c r="F62" s="18"/>
      <c r="G62" s="34"/>
      <c r="H62" s="34"/>
      <c r="I62" s="18"/>
      <c r="J62" s="26"/>
      <c r="K62" s="25"/>
      <c r="L62" s="19"/>
      <c r="M62"/>
      <c r="N62"/>
      <c r="O62"/>
      <c r="P62" s="14"/>
      <c r="Q62" s="34"/>
      <c r="R62" s="79"/>
      <c r="S62" s="79"/>
      <c r="T62" s="34"/>
      <c r="U62" s="34"/>
      <c r="V62" s="18"/>
      <c r="W62" s="18"/>
    </row>
    <row r="63" spans="1:23" s="30" customFormat="1">
      <c r="A63" s="87"/>
      <c r="B63" s="87"/>
      <c r="C63" s="17"/>
      <c r="D63" s="34"/>
      <c r="E63" s="19"/>
      <c r="F63" s="18"/>
      <c r="G63" s="34"/>
      <c r="H63" s="34"/>
      <c r="I63" s="18"/>
      <c r="J63" s="26"/>
      <c r="K63" s="25"/>
      <c r="L63" s="19"/>
      <c r="M63"/>
      <c r="N63"/>
      <c r="O63"/>
      <c r="P63" s="14"/>
      <c r="Q63" s="34"/>
      <c r="R63" s="79"/>
      <c r="S63" s="79"/>
      <c r="T63" s="34"/>
      <c r="U63" s="34"/>
      <c r="V63" s="18"/>
      <c r="W63" s="18"/>
    </row>
    <row r="64" spans="1:23" s="30" customFormat="1">
      <c r="A64" s="87"/>
      <c r="B64" s="87"/>
      <c r="C64" s="17"/>
      <c r="D64" s="34"/>
      <c r="E64" s="19"/>
      <c r="F64" s="18"/>
      <c r="G64" s="34"/>
      <c r="H64" s="34"/>
      <c r="I64" s="18"/>
      <c r="J64" s="26"/>
      <c r="K64" s="25"/>
      <c r="L64" s="19"/>
      <c r="M64"/>
      <c r="N64"/>
      <c r="O64"/>
      <c r="P64" s="14"/>
      <c r="Q64" s="34"/>
      <c r="R64" s="79"/>
      <c r="S64" s="79"/>
      <c r="T64" s="34"/>
      <c r="U64" s="34"/>
      <c r="V64" s="18"/>
      <c r="W64" s="18"/>
    </row>
    <row r="65" spans="1:23" s="30" customFormat="1">
      <c r="A65" s="87"/>
      <c r="B65" s="87"/>
      <c r="C65" s="17"/>
      <c r="D65" s="34"/>
      <c r="E65" s="19"/>
      <c r="F65" s="18"/>
      <c r="G65" s="34"/>
      <c r="H65" s="34"/>
      <c r="I65" s="18"/>
      <c r="J65" s="26"/>
      <c r="K65" s="25"/>
      <c r="L65" s="19"/>
      <c r="M65"/>
      <c r="N65"/>
      <c r="O65"/>
      <c r="P65" s="14"/>
      <c r="Q65" s="34"/>
      <c r="R65" s="79"/>
      <c r="S65" s="79"/>
      <c r="T65" s="34"/>
      <c r="U65" s="34"/>
      <c r="V65" s="18"/>
      <c r="W65" s="18"/>
    </row>
    <row r="66" spans="1:23" s="30" customFormat="1">
      <c r="A66" s="87"/>
      <c r="B66" s="87"/>
      <c r="C66" s="17"/>
      <c r="D66" s="34"/>
      <c r="E66" s="19"/>
      <c r="F66" s="18"/>
      <c r="G66" s="34"/>
      <c r="H66" s="34"/>
      <c r="I66" s="18"/>
      <c r="J66" s="26"/>
      <c r="K66" s="25"/>
      <c r="L66" s="19"/>
      <c r="M66"/>
      <c r="N66"/>
      <c r="O66"/>
      <c r="P66" s="14"/>
      <c r="Q66" s="34"/>
      <c r="R66" s="79"/>
      <c r="S66" s="79"/>
      <c r="T66" s="34"/>
      <c r="U66" s="34"/>
      <c r="V66" s="18"/>
      <c r="W66" s="18"/>
    </row>
    <row r="67" spans="1:23" s="30" customFormat="1">
      <c r="A67" s="87"/>
      <c r="B67" s="87"/>
      <c r="C67" s="17"/>
      <c r="D67" s="34"/>
      <c r="E67" s="19"/>
      <c r="F67" s="18"/>
      <c r="G67" s="34"/>
      <c r="H67" s="34"/>
      <c r="I67" s="18"/>
      <c r="J67" s="26"/>
      <c r="K67" s="25"/>
      <c r="L67" s="19"/>
      <c r="M67"/>
      <c r="N67"/>
      <c r="O67"/>
      <c r="P67" s="14"/>
      <c r="Q67" s="34"/>
      <c r="R67" s="79"/>
      <c r="S67" s="79"/>
      <c r="T67" s="34"/>
      <c r="U67" s="34"/>
      <c r="V67" s="18"/>
      <c r="W67" s="18"/>
    </row>
    <row r="68" spans="1:23" s="30" customFormat="1">
      <c r="A68" s="87"/>
      <c r="B68" s="87"/>
      <c r="C68" s="17"/>
      <c r="D68" s="34"/>
      <c r="E68" s="19"/>
      <c r="F68" s="18"/>
      <c r="G68" s="34"/>
      <c r="H68" s="34"/>
      <c r="I68" s="18"/>
      <c r="J68" s="26"/>
      <c r="K68" s="25"/>
      <c r="L68" s="19"/>
      <c r="M68"/>
      <c r="N68"/>
      <c r="O68"/>
      <c r="P68" s="14"/>
      <c r="Q68" s="34"/>
      <c r="R68" s="79"/>
      <c r="S68" s="79"/>
      <c r="T68" s="34"/>
      <c r="U68" s="34"/>
      <c r="V68" s="18"/>
      <c r="W68" s="18"/>
    </row>
    <row r="69" spans="1:23" s="30" customFormat="1">
      <c r="A69" s="87"/>
      <c r="B69" s="87"/>
      <c r="C69" s="17"/>
      <c r="D69" s="34"/>
      <c r="E69" s="19"/>
      <c r="F69" s="18"/>
      <c r="G69" s="34"/>
      <c r="H69" s="34"/>
      <c r="I69" s="18"/>
      <c r="J69" s="26"/>
      <c r="K69" s="25"/>
      <c r="L69" s="19"/>
      <c r="M69"/>
      <c r="N69"/>
      <c r="O69"/>
      <c r="P69" s="14"/>
      <c r="Q69" s="34"/>
      <c r="R69" s="79"/>
      <c r="S69" s="79"/>
      <c r="T69" s="34"/>
      <c r="U69" s="34"/>
      <c r="V69" s="18"/>
      <c r="W69" s="18"/>
    </row>
    <row r="70" spans="1:23" ht="15" customHeight="1"/>
    <row r="71" spans="1:23" ht="15" customHeight="1"/>
    <row r="72" spans="1:23" ht="15" customHeight="1"/>
    <row r="73" spans="1:23">
      <c r="A73" s="31"/>
      <c r="B73" s="31"/>
    </row>
    <row r="74" spans="1:23">
      <c r="A74" s="31"/>
      <c r="B74" s="31"/>
    </row>
    <row r="75" spans="1:23">
      <c r="A75" s="31"/>
      <c r="B75" s="31"/>
    </row>
    <row r="76" spans="1:23">
      <c r="A76" s="31"/>
      <c r="B76" s="31"/>
    </row>
    <row r="77" spans="1:23">
      <c r="A77" s="31"/>
      <c r="B77" s="31"/>
    </row>
    <row r="78" spans="1:23">
      <c r="A78" s="31"/>
      <c r="B78" s="31"/>
    </row>
    <row r="79" spans="1:23">
      <c r="A79" s="31"/>
      <c r="B79" s="31"/>
    </row>
  </sheetData>
  <sortState ref="F10:AL72">
    <sortCondition ref="O10:O72"/>
    <sortCondition ref="M10:M72"/>
  </sortState>
  <mergeCells count="18">
    <mergeCell ref="A19:B19"/>
    <mergeCell ref="A20:B20"/>
    <mergeCell ref="B2:J2"/>
    <mergeCell ref="I4:J4"/>
    <mergeCell ref="P18:Q18"/>
    <mergeCell ref="R18:T18"/>
    <mergeCell ref="M18:O18"/>
    <mergeCell ref="U18:W18"/>
    <mergeCell ref="A1:B1"/>
    <mergeCell ref="A17:B17"/>
    <mergeCell ref="A18:B18"/>
    <mergeCell ref="C18:F18"/>
    <mergeCell ref="C5:F5"/>
    <mergeCell ref="C6:F6"/>
    <mergeCell ref="B4:F4"/>
    <mergeCell ref="C8:F8"/>
    <mergeCell ref="H18:I18"/>
    <mergeCell ref="K18:L18"/>
  </mergeCells>
  <dataValidations disablePrompts="1" count="3">
    <dataValidation type="list" allowBlank="1" showInputMessage="1" showErrorMessage="1" sqref="P21:P51">
      <formula1>List_Flow_Type</formula1>
    </dataValidation>
    <dataValidation type="list" allowBlank="1" showInputMessage="1" showErrorMessage="1" sqref="N21:N51">
      <formula1>List_Currency</formula1>
    </dataValidation>
    <dataValidation type="list" allowBlank="1" showInputMessage="1" showErrorMessage="1" sqref="R21:R51 U21:U51">
      <formula1>List_Org</formula1>
    </dataValidation>
  </dataValidations>
  <hyperlinks>
    <hyperlink ref="J17" r:id="rId1"/>
    <hyperlink ref="R17" r:id="rId2"/>
    <hyperlink ref="U17" r:id="rId3"/>
    <hyperlink ref="G17" r:id="rId4" display="Transaction"/>
    <hyperlink ref="I20" r:id="rId5"/>
    <hyperlink ref="L20" r:id="rId6"/>
    <hyperlink ref="N20" r:id="rId7"/>
    <hyperlink ref="O20" r:id="rId8"/>
    <hyperlink ref="Q20" r:id="rId9"/>
    <hyperlink ref="S17" r:id="rId10"/>
    <hyperlink ref="T17" r:id="rId11"/>
    <hyperlink ref="S20" r:id="rId12"/>
    <hyperlink ref="T20" r:id="rId13"/>
    <hyperlink ref="V17" r:id="rId14"/>
    <hyperlink ref="W17" r:id="rId15"/>
    <hyperlink ref="V20" r:id="rId16"/>
    <hyperlink ref="W20" r:id="rId17"/>
    <hyperlink ref="G20" r:id="rId18"/>
  </hyperlinks>
  <pageMargins left="0.17083333333333334" right="0.17916666666666667" top="0.17585784313725492" bottom="0.17585784313725492" header="0.3" footer="0.3"/>
  <pageSetup paperSize="8" scale="43" fitToHeight="0" orientation="landscape"/>
  <legacyDrawing r:id="rId19"/>
  <tableParts count="1">
    <tablePart r:id="rId2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lated">
    <tabColor theme="5" tint="0.39997558519241921"/>
    <pageSetUpPr fitToPage="1"/>
  </sheetPr>
  <dimension ref="A1:AK92"/>
  <sheetViews>
    <sheetView zoomScaleNormal="100" zoomScalePageLayoutView="85" workbookViewId="0">
      <selection activeCell="H6" sqref="H6"/>
    </sheetView>
  </sheetViews>
  <sheetFormatPr defaultRowHeight="15"/>
  <cols>
    <col min="1" max="1" width="22.140625" style="87" customWidth="1"/>
    <col min="2" max="2" width="4.42578125" style="87" customWidth="1"/>
    <col min="3" max="3" width="15.28515625" style="18" customWidth="1"/>
    <col min="4" max="4" width="12.5703125" style="35" customWidth="1"/>
    <col min="5" max="5" width="10.5703125" style="35" customWidth="1"/>
    <col min="6" max="6" width="14.7109375" customWidth="1"/>
    <col min="7" max="7" width="21.85546875" style="24" customWidth="1"/>
    <col min="8" max="8" width="51.85546875" style="35" customWidth="1"/>
    <col min="9" max="9" width="11" style="24" customWidth="1"/>
    <col min="10" max="10" width="13.42578125" style="22" customWidth="1"/>
    <col min="11" max="11" width="34.85546875" style="22" customWidth="1"/>
    <col min="12" max="12" width="38.140625" style="22" customWidth="1"/>
    <col min="13" max="17" width="11" style="22" customWidth="1"/>
    <col min="18" max="37" width="12" style="22" customWidth="1"/>
    <col min="38" max="16384" width="9.140625" style="22"/>
  </cols>
  <sheetData>
    <row r="1" spans="1:37" s="18" customFormat="1" ht="23.25" customHeight="1">
      <c r="A1" s="433" t="s">
        <v>1460</v>
      </c>
      <c r="B1" s="433"/>
      <c r="C1" s="160" t="s">
        <v>1484</v>
      </c>
      <c r="D1" s="161"/>
      <c r="E1" s="162"/>
      <c r="F1" s="165"/>
      <c r="G1" s="164" t="s">
        <v>1475</v>
      </c>
      <c r="H1" s="165"/>
      <c r="I1" s="165"/>
      <c r="J1" s="161"/>
      <c r="L1" s="19"/>
      <c r="M1" s="19"/>
      <c r="N1" s="8"/>
      <c r="O1" s="19"/>
      <c r="P1" s="19"/>
      <c r="Q1" s="19"/>
      <c r="R1" s="6"/>
      <c r="S1" s="6"/>
      <c r="T1" s="6"/>
      <c r="U1" s="6"/>
      <c r="V1" s="7"/>
      <c r="W1" s="7"/>
      <c r="X1" s="7"/>
      <c r="Y1" s="19"/>
      <c r="Z1" s="19"/>
      <c r="AA1" s="19"/>
    </row>
    <row r="2" spans="1:37" s="35" customFormat="1" ht="15.75">
      <c r="A2" s="87"/>
      <c r="B2" s="464"/>
      <c r="C2" s="464"/>
      <c r="D2" s="464"/>
      <c r="E2" s="464"/>
      <c r="F2" s="464"/>
      <c r="G2" s="464"/>
      <c r="H2" s="464"/>
      <c r="I2" s="464"/>
      <c r="J2" s="464"/>
    </row>
    <row r="3" spans="1:37" s="35" customFormat="1" ht="15.75" thickBot="1">
      <c r="A3" s="2"/>
      <c r="B3" s="2"/>
      <c r="C3" s="2"/>
      <c r="D3" s="106"/>
      <c r="E3" s="1"/>
      <c r="F3" s="107"/>
      <c r="G3" s="107"/>
      <c r="H3" s="107"/>
      <c r="I3" s="107"/>
      <c r="J3" s="106"/>
    </row>
    <row r="4" spans="1:37" ht="16.5" customHeight="1" thickBot="1">
      <c r="A4" s="2"/>
      <c r="B4" s="500" t="s">
        <v>1463</v>
      </c>
      <c r="C4" s="501"/>
      <c r="D4" s="501"/>
      <c r="E4" s="501"/>
      <c r="F4" s="501"/>
      <c r="G4" s="502"/>
      <c r="H4" s="122"/>
      <c r="I4" s="2"/>
      <c r="J4" s="110"/>
    </row>
    <row r="5" spans="1:37" s="84" customFormat="1" ht="32.25" customHeight="1">
      <c r="A5" s="2"/>
      <c r="B5" s="117"/>
      <c r="C5" s="434" t="s">
        <v>1502</v>
      </c>
      <c r="D5" s="536"/>
      <c r="E5" s="536"/>
      <c r="F5" s="536"/>
      <c r="G5" s="435"/>
      <c r="H5" s="107"/>
      <c r="I5" s="2"/>
      <c r="J5" s="105"/>
    </row>
    <row r="6" spans="1:37" s="84" customFormat="1" ht="15.75" customHeight="1" thickBot="1">
      <c r="A6" s="2"/>
      <c r="B6" s="118"/>
      <c r="C6" s="436" t="s">
        <v>1450</v>
      </c>
      <c r="D6" s="537"/>
      <c r="E6" s="537"/>
      <c r="F6" s="537"/>
      <c r="G6" s="437"/>
      <c r="H6" s="107"/>
      <c r="I6" s="2"/>
      <c r="J6" s="105"/>
    </row>
    <row r="7" spans="1:37" s="84" customFormat="1" ht="15.75" thickBot="1">
      <c r="A7" s="1"/>
      <c r="B7" s="1"/>
      <c r="C7" s="1"/>
      <c r="D7" s="1"/>
      <c r="E7" s="1"/>
      <c r="F7" s="1"/>
      <c r="G7" s="1"/>
      <c r="H7" s="1"/>
      <c r="I7" s="1"/>
      <c r="J7" s="1"/>
    </row>
    <row r="8" spans="1:37" s="84" customFormat="1" ht="16.5" thickBot="1">
      <c r="A8" s="1"/>
      <c r="B8" s="533" t="s">
        <v>1438</v>
      </c>
      <c r="C8" s="534"/>
      <c r="D8" s="534"/>
      <c r="E8" s="534"/>
      <c r="F8" s="534"/>
      <c r="G8" s="535"/>
      <c r="H8" s="1"/>
      <c r="I8" s="1"/>
      <c r="J8" s="1"/>
      <c r="K8" s="91"/>
      <c r="L8" s="91"/>
      <c r="M8" s="91"/>
      <c r="N8" s="91"/>
      <c r="V8" s="3"/>
    </row>
    <row r="9" spans="1:37" s="91" customFormat="1">
      <c r="A9" s="1"/>
      <c r="B9" s="540" t="s">
        <v>132</v>
      </c>
      <c r="C9" s="541"/>
      <c r="D9" s="541" t="s">
        <v>133</v>
      </c>
      <c r="E9" s="541"/>
      <c r="F9" s="541"/>
      <c r="G9" s="546"/>
      <c r="H9" s="1"/>
      <c r="I9" s="1"/>
      <c r="J9" s="1"/>
      <c r="V9" s="87"/>
    </row>
    <row r="10" spans="1:37" s="91" customFormat="1" ht="15" customHeight="1">
      <c r="A10" s="1"/>
      <c r="B10" s="542" t="s">
        <v>134</v>
      </c>
      <c r="C10" s="543"/>
      <c r="D10" s="543" t="s">
        <v>135</v>
      </c>
      <c r="E10" s="543"/>
      <c r="F10" s="543"/>
      <c r="G10" s="547"/>
      <c r="H10" s="1"/>
      <c r="I10" s="213" t="s">
        <v>1983</v>
      </c>
      <c r="J10" s="213" t="s">
        <v>1984</v>
      </c>
      <c r="K10" s="371" t="s">
        <v>1985</v>
      </c>
      <c r="L10" s="371" t="s">
        <v>1986</v>
      </c>
      <c r="M10" s="371" t="s">
        <v>1987</v>
      </c>
      <c r="N10" s="371" t="s">
        <v>1988</v>
      </c>
      <c r="O10" s="371" t="s">
        <v>1996</v>
      </c>
      <c r="P10" s="371" t="s">
        <v>1989</v>
      </c>
      <c r="Q10" s="371" t="s">
        <v>1997</v>
      </c>
      <c r="R10" s="371" t="s">
        <v>1998</v>
      </c>
      <c r="S10" s="371" t="s">
        <v>1990</v>
      </c>
      <c r="T10" s="371" t="s">
        <v>1991</v>
      </c>
      <c r="U10" s="371" t="s">
        <v>1992</v>
      </c>
      <c r="V10" s="372" t="s">
        <v>1993</v>
      </c>
      <c r="W10" s="371" t="s">
        <v>1999</v>
      </c>
      <c r="X10" s="371" t="s">
        <v>49</v>
      </c>
      <c r="Y10" s="371" t="s">
        <v>2000</v>
      </c>
      <c r="Z10" s="371" t="s">
        <v>2001</v>
      </c>
      <c r="AA10" s="371" t="s">
        <v>2002</v>
      </c>
      <c r="AB10" s="371" t="s">
        <v>1994</v>
      </c>
      <c r="AC10" s="371" t="s">
        <v>2003</v>
      </c>
      <c r="AD10" s="371" t="s">
        <v>2004</v>
      </c>
      <c r="AE10" s="371" t="s">
        <v>1995</v>
      </c>
      <c r="AF10" s="371" t="s">
        <v>2005</v>
      </c>
      <c r="AG10" s="371" t="s">
        <v>2006</v>
      </c>
      <c r="AH10" s="371" t="s">
        <v>2007</v>
      </c>
      <c r="AI10" s="371" t="s">
        <v>2008</v>
      </c>
      <c r="AJ10" s="371" t="s">
        <v>2009</v>
      </c>
      <c r="AK10" s="371" t="s">
        <v>2010</v>
      </c>
    </row>
    <row r="11" spans="1:37" s="91" customFormat="1" ht="29.25" customHeight="1">
      <c r="A11" s="1"/>
      <c r="B11" s="542" t="s">
        <v>136</v>
      </c>
      <c r="C11" s="543"/>
      <c r="D11" s="543" t="s">
        <v>137</v>
      </c>
      <c r="E11" s="543"/>
      <c r="F11" s="543"/>
      <c r="G11" s="547"/>
      <c r="H11" s="1"/>
      <c r="I11" s="373"/>
      <c r="J11" s="1"/>
      <c r="K11" s="318"/>
      <c r="L11" s="318"/>
      <c r="M11" s="318"/>
      <c r="N11" s="318"/>
      <c r="O11" s="318"/>
      <c r="P11" s="318"/>
      <c r="Q11" s="318"/>
      <c r="R11" s="318"/>
      <c r="U11" s="318"/>
      <c r="V11" s="374"/>
      <c r="W11" s="318"/>
      <c r="X11" s="318"/>
      <c r="Y11" s="318"/>
      <c r="Z11" s="318"/>
      <c r="AA11" s="318"/>
      <c r="AB11" s="318"/>
      <c r="AC11" s="318"/>
      <c r="AD11" s="318"/>
      <c r="AE11" s="318"/>
      <c r="AF11" s="318"/>
      <c r="AG11" s="318"/>
      <c r="AH11" s="318"/>
      <c r="AI11" s="318"/>
      <c r="AJ11" s="318"/>
      <c r="AK11" s="318"/>
    </row>
    <row r="12" spans="1:37" s="91" customFormat="1" ht="30.75" customHeight="1" thickBot="1">
      <c r="A12" s="1"/>
      <c r="B12" s="544" t="s">
        <v>138</v>
      </c>
      <c r="C12" s="545"/>
      <c r="D12" s="545" t="s">
        <v>139</v>
      </c>
      <c r="E12" s="545"/>
      <c r="F12" s="545"/>
      <c r="G12" s="548"/>
      <c r="H12" s="1"/>
      <c r="I12" s="1"/>
      <c r="J12" s="1"/>
      <c r="V12" s="87"/>
    </row>
    <row r="13" spans="1:37" s="91" customFormat="1" ht="8.25" customHeight="1">
      <c r="A13" s="1"/>
      <c r="B13" s="1"/>
      <c r="C13" s="1"/>
      <c r="D13" s="1"/>
      <c r="E13" s="1"/>
      <c r="F13" s="1"/>
      <c r="G13" s="1"/>
      <c r="H13" s="1"/>
      <c r="I13" s="1"/>
      <c r="J13" s="1"/>
      <c r="V13" s="87"/>
    </row>
    <row r="14" spans="1:37" s="91" customFormat="1">
      <c r="A14" s="1"/>
      <c r="B14" s="213" t="s">
        <v>1516</v>
      </c>
      <c r="C14" s="1"/>
      <c r="D14" s="1"/>
      <c r="E14" s="1"/>
      <c r="F14" s="1"/>
      <c r="G14" s="1"/>
      <c r="H14" s="1"/>
      <c r="I14" s="1"/>
      <c r="J14" s="1"/>
      <c r="V14" s="87"/>
    </row>
    <row r="15" spans="1:37" s="91" customFormat="1">
      <c r="A15" s="1"/>
      <c r="B15" s="1" t="s">
        <v>1493</v>
      </c>
      <c r="C15" s="1"/>
      <c r="D15" s="1"/>
      <c r="E15" s="1"/>
      <c r="F15" s="1"/>
      <c r="G15" s="1"/>
      <c r="H15" s="1"/>
      <c r="I15" s="1"/>
      <c r="J15" s="1"/>
      <c r="V15" s="87"/>
    </row>
    <row r="16" spans="1:37" s="91" customFormat="1" ht="15.75" thickBot="1">
      <c r="A16" s="1"/>
      <c r="B16" s="1"/>
      <c r="C16" s="1"/>
      <c r="D16" s="1"/>
      <c r="E16" s="1"/>
      <c r="F16" s="107"/>
      <c r="G16" s="107"/>
      <c r="H16" s="107"/>
      <c r="I16" s="107"/>
      <c r="J16" s="106"/>
      <c r="V16" s="87"/>
    </row>
    <row r="17" spans="1:33" ht="33" customHeight="1">
      <c r="A17" s="431" t="s">
        <v>1509</v>
      </c>
      <c r="B17" s="432"/>
      <c r="C17" s="382" t="s">
        <v>1461</v>
      </c>
      <c r="D17" s="382" t="s">
        <v>1461</v>
      </c>
      <c r="E17" s="382" t="s">
        <v>1461</v>
      </c>
      <c r="F17" s="382" t="s">
        <v>1461</v>
      </c>
      <c r="G17" s="376" t="s">
        <v>1489</v>
      </c>
      <c r="H17" s="376" t="s">
        <v>1489</v>
      </c>
      <c r="I17" s="376" t="s">
        <v>1489</v>
      </c>
      <c r="J17" s="149"/>
    </row>
    <row r="18" spans="1:33" s="20" customFormat="1" ht="38.25" customHeight="1">
      <c r="A18" s="465" t="s">
        <v>1459</v>
      </c>
      <c r="B18" s="495"/>
      <c r="C18" s="428" t="s">
        <v>1462</v>
      </c>
      <c r="D18" s="429"/>
      <c r="E18" s="429"/>
      <c r="F18" s="518"/>
      <c r="G18" s="538" t="s">
        <v>128</v>
      </c>
      <c r="H18" s="538"/>
      <c r="I18" s="539"/>
      <c r="J18" s="150"/>
      <c r="M18" s="12"/>
      <c r="N18" s="12"/>
      <c r="O18" s="12"/>
      <c r="P18" s="12"/>
      <c r="Q18" s="13"/>
      <c r="R18" s="11"/>
      <c r="S18" s="10"/>
      <c r="T18" s="10"/>
      <c r="U18" s="12"/>
      <c r="V18" s="12"/>
      <c r="W18" s="12"/>
      <c r="X18" s="12"/>
      <c r="Y18" s="12"/>
      <c r="Z18" s="12"/>
      <c r="AA18" s="12"/>
      <c r="AB18" s="12"/>
      <c r="AC18" s="12"/>
      <c r="AD18" s="12"/>
      <c r="AE18" s="12"/>
      <c r="AF18" s="13"/>
      <c r="AG18" s="13"/>
    </row>
    <row r="19" spans="1:33" s="20" customFormat="1" ht="51.75" customHeight="1">
      <c r="A19" s="531" t="s">
        <v>1464</v>
      </c>
      <c r="B19" s="532"/>
      <c r="C19" s="158" t="s">
        <v>1437</v>
      </c>
      <c r="D19" s="131" t="s">
        <v>1451</v>
      </c>
      <c r="E19" s="131" t="s">
        <v>1439</v>
      </c>
      <c r="F19" s="132" t="s">
        <v>1488</v>
      </c>
      <c r="G19" s="131" t="s">
        <v>130</v>
      </c>
      <c r="H19" s="131" t="s">
        <v>1483</v>
      </c>
      <c r="I19" s="131" t="s">
        <v>129</v>
      </c>
      <c r="J19" s="151"/>
      <c r="M19" s="9"/>
      <c r="N19" s="9"/>
      <c r="O19" s="9"/>
      <c r="P19" s="9"/>
      <c r="Q19" s="9"/>
      <c r="R19" s="9"/>
      <c r="S19" s="9"/>
      <c r="T19" s="9"/>
    </row>
    <row r="20" spans="1:33" s="20" customFormat="1" ht="48" customHeight="1" thickBot="1">
      <c r="A20" s="549" t="s">
        <v>1465</v>
      </c>
      <c r="B20" s="550"/>
      <c r="C20" s="199" t="s">
        <v>1513</v>
      </c>
      <c r="D20" s="198" t="s">
        <v>1457</v>
      </c>
      <c r="E20" s="198" t="s">
        <v>1481</v>
      </c>
      <c r="F20" s="195" t="s">
        <v>1482</v>
      </c>
      <c r="G20" s="391" t="s">
        <v>1456</v>
      </c>
      <c r="H20" s="392" t="s">
        <v>2031</v>
      </c>
      <c r="I20" s="389" t="s">
        <v>2032</v>
      </c>
      <c r="J20" s="198" t="s">
        <v>1909</v>
      </c>
      <c r="K20" s="19"/>
      <c r="L20" s="9"/>
      <c r="M20" s="9"/>
      <c r="N20" s="9"/>
      <c r="O20" s="9"/>
      <c r="P20" s="9"/>
      <c r="Q20" s="9"/>
      <c r="R20" s="9"/>
      <c r="S20" s="9"/>
      <c r="T20" s="9"/>
    </row>
    <row r="21" spans="1:33">
      <c r="C21" s="294" t="str">
        <f>VLOOKUP(Default_Recipient_Country,Table_Country[],2,FALSE)&amp;"999"</f>
        <v>UG999</v>
      </c>
      <c r="D21" s="313">
        <f ca="1">MAX(VLOOKUP(Data_Related_Activity[[#This Row],[meta-parent-ref]],Data_Main[],2,FALSE),IFERROR(VLOOKUP(RIGHT(Data_Related_Activity[[#This Row],[related-activity]],5),Data_Main[],2,FALSE),0))</f>
        <v>41639</v>
      </c>
      <c r="E21" s="215" t="s">
        <v>132</v>
      </c>
      <c r="F21" s="215" t="s">
        <v>1118</v>
      </c>
      <c r="G21" s="278" t="str">
        <f ca="1">INDEX(INDIRECT(VLOOKUP(Data_Related_Activity[[#This Row],[meta-published-this-file]],Name_Table_In_File,3,FALSE)),MATCH(Data_Related_Activity[[#This Row],[related-activity@ref]],INDIRECT(VLOOKUP(Data_Related_Activity[[#This Row],[meta-published-this-file]],Name_Table_In_File,2,FALSE)),0))</f>
        <v>WaterAid Uganda</v>
      </c>
      <c r="H21" s="83" t="s">
        <v>1966</v>
      </c>
      <c r="I21" s="95">
        <f>VLOOKUP(E21,Table_related[],2,FALSE)</f>
        <v>1</v>
      </c>
      <c r="J21" s="279" t="b">
        <f ca="1">Data_Related_Activity[[#This Row],[meta-parent-ref]] = RIGHT(Data_Related_Activity[[#This Row],[related-activity]],5)</f>
        <v>0</v>
      </c>
      <c r="L21" s="21"/>
      <c r="M21" s="21"/>
      <c r="N21" s="21"/>
      <c r="O21" s="21"/>
      <c r="P21" s="21"/>
      <c r="Q21" s="21"/>
      <c r="R21" s="21"/>
      <c r="S21" s="21"/>
      <c r="T21" s="21"/>
      <c r="U21" s="21"/>
      <c r="V21" s="21"/>
      <c r="W21" s="21"/>
      <c r="X21" s="21"/>
      <c r="Y21" s="21"/>
      <c r="Z21" s="21"/>
      <c r="AA21" s="21"/>
      <c r="AB21" s="21"/>
      <c r="AC21" s="21"/>
      <c r="AD21" s="21"/>
    </row>
    <row r="22" spans="1:33">
      <c r="C22" s="354" t="str">
        <f>VLOOKUP(Default_Recipient_Country,Table_Country[],2,FALSE)&amp;"999"</f>
        <v>UG999</v>
      </c>
      <c r="D22" s="340">
        <f ca="1">MAX(VLOOKUP(Data_Related_Activity[[#This Row],[meta-parent-ref]],Data_Main[],2,FALSE),IFERROR(VLOOKUP(RIGHT(Data_Related_Activity[[#This Row],[related-activity]],5),Data_Main[],2,FALSE),0))</f>
        <v>41639</v>
      </c>
      <c r="E22" s="89" t="s">
        <v>136</v>
      </c>
      <c r="F22" s="89" t="s">
        <v>1117</v>
      </c>
      <c r="G22" s="350"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22" s="353" t="s">
        <v>1967</v>
      </c>
      <c r="I22" s="95">
        <f>VLOOKUP(E22,Table_related[],2,FALSE)</f>
        <v>3</v>
      </c>
      <c r="J22" s="279" t="b">
        <f ca="1">Data_Related_Activity[[#This Row],[meta-parent-ref]] = RIGHT(Data_Related_Activity[[#This Row],[related-activity]],5)</f>
        <v>0</v>
      </c>
      <c r="K22" s="21"/>
      <c r="L22" s="21"/>
      <c r="M22" s="21"/>
      <c r="N22" s="21"/>
      <c r="O22" s="21"/>
      <c r="P22" s="21"/>
      <c r="Q22" s="21"/>
      <c r="R22" s="21"/>
      <c r="S22" s="21"/>
      <c r="T22" s="21"/>
      <c r="U22" s="21"/>
      <c r="V22" s="21"/>
      <c r="W22" s="21"/>
      <c r="X22" s="21"/>
      <c r="Y22" s="21"/>
      <c r="Z22" s="21"/>
      <c r="AA22" s="21"/>
      <c r="AB22" s="21"/>
      <c r="AC22" s="21"/>
      <c r="AD22" s="21"/>
    </row>
    <row r="23" spans="1:33">
      <c r="C23" s="354" t="str">
        <f>VLOOKUP(Default_Recipient_Country,Table_Country[],2,FALSE)&amp;"999"</f>
        <v>UG999</v>
      </c>
      <c r="D23" s="340">
        <f ca="1">MAX(VLOOKUP(Data_Related_Activity[[#This Row],[meta-parent-ref]],Data_Main[],2,FALSE),IFERROR(VLOOKUP(RIGHT(Data_Related_Activity[[#This Row],[related-activity]],5),Data_Main[],2,FALSE),0))</f>
        <v>41639</v>
      </c>
      <c r="E23" s="89" t="s">
        <v>136</v>
      </c>
      <c r="F23" s="89" t="s">
        <v>1117</v>
      </c>
      <c r="G23" s="350"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23" s="353" t="s">
        <v>1968</v>
      </c>
      <c r="I23" s="95">
        <f>VLOOKUP(E23,Table_related[],2,FALSE)</f>
        <v>3</v>
      </c>
      <c r="J23" s="279" t="b">
        <f ca="1">Data_Related_Activity[[#This Row],[meta-parent-ref]] = RIGHT(Data_Related_Activity[[#This Row],[related-activity]],5)</f>
        <v>0</v>
      </c>
      <c r="K23" s="21"/>
      <c r="L23" s="21"/>
      <c r="M23" s="21"/>
      <c r="N23" s="21"/>
      <c r="O23" s="21"/>
      <c r="P23" s="21"/>
      <c r="Q23" s="21"/>
      <c r="R23" s="21"/>
      <c r="S23" s="21"/>
      <c r="T23" s="21"/>
      <c r="U23" s="21"/>
      <c r="V23" s="21"/>
      <c r="W23" s="21"/>
      <c r="X23" s="21"/>
      <c r="Y23" s="21"/>
      <c r="Z23" s="21"/>
      <c r="AA23" s="21"/>
      <c r="AB23" s="21"/>
      <c r="AC23" s="21"/>
      <c r="AD23" s="21"/>
    </row>
    <row r="24" spans="1:33">
      <c r="C24" s="354" t="str">
        <f>VLOOKUP(Default_Recipient_Country,Table_Country[],2,FALSE)&amp;"999"</f>
        <v>UG999</v>
      </c>
      <c r="D24" s="340">
        <f ca="1">MAX(VLOOKUP(Data_Related_Activity[[#This Row],[meta-parent-ref]],Data_Main[],2,FALSE),IFERROR(VLOOKUP(RIGHT(Data_Related_Activity[[#This Row],[related-activity]],5),Data_Main[],2,FALSE),0))</f>
        <v>41639</v>
      </c>
      <c r="E24" s="89" t="s">
        <v>136</v>
      </c>
      <c r="F24" s="89" t="s">
        <v>1117</v>
      </c>
      <c r="G24" s="350"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24" s="353" t="s">
        <v>1969</v>
      </c>
      <c r="I24" s="95">
        <f>VLOOKUP(E24,Table_related[],2,FALSE)</f>
        <v>3</v>
      </c>
      <c r="J24" s="279" t="b">
        <f ca="1">Data_Related_Activity[[#This Row],[meta-parent-ref]] = RIGHT(Data_Related_Activity[[#This Row],[related-activity]],5)</f>
        <v>0</v>
      </c>
      <c r="K24" s="21"/>
      <c r="L24" s="21"/>
      <c r="M24" s="21"/>
      <c r="N24" s="21"/>
      <c r="O24" s="21"/>
      <c r="P24" s="21"/>
      <c r="Q24" s="21"/>
      <c r="R24" s="21"/>
      <c r="S24" s="21"/>
      <c r="T24" s="21"/>
      <c r="U24" s="21"/>
      <c r="V24" s="21"/>
      <c r="W24" s="21"/>
      <c r="X24" s="21"/>
      <c r="Y24" s="21"/>
      <c r="Z24" s="21"/>
      <c r="AA24" s="21"/>
      <c r="AB24" s="21"/>
      <c r="AC24" s="21"/>
      <c r="AD24" s="21"/>
    </row>
    <row r="25" spans="1:33">
      <c r="C25" s="354" t="str">
        <f>VLOOKUP(Default_Recipient_Country,Table_Country[],2,FALSE)&amp;"999"</f>
        <v>UG999</v>
      </c>
      <c r="D25" s="340">
        <f ca="1">MAX(VLOOKUP(Data_Related_Activity[[#This Row],[meta-parent-ref]],Data_Main[],2,FALSE),IFERROR(VLOOKUP(RIGHT(Data_Related_Activity[[#This Row],[related-activity]],5),Data_Main[],2,FALSE),0))</f>
        <v>41639</v>
      </c>
      <c r="E25" s="89" t="s">
        <v>136</v>
      </c>
      <c r="F25" s="89" t="s">
        <v>1117</v>
      </c>
      <c r="G25" s="350"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25" s="353" t="s">
        <v>1970</v>
      </c>
      <c r="I25" s="95">
        <f>VLOOKUP(E25,Table_related[],2,FALSE)</f>
        <v>3</v>
      </c>
      <c r="J25" s="279" t="b">
        <f ca="1">Data_Related_Activity[[#This Row],[meta-parent-ref]] = RIGHT(Data_Related_Activity[[#This Row],[related-activity]],5)</f>
        <v>0</v>
      </c>
      <c r="K25" s="21"/>
      <c r="L25" s="21"/>
      <c r="M25" s="21"/>
      <c r="N25" s="21"/>
      <c r="O25" s="21"/>
      <c r="P25" s="21"/>
      <c r="Q25" s="21"/>
      <c r="R25" s="21"/>
      <c r="S25" s="21"/>
      <c r="T25" s="21"/>
      <c r="U25" s="21"/>
      <c r="V25" s="21"/>
      <c r="W25" s="21"/>
      <c r="X25" s="21"/>
      <c r="Y25" s="21"/>
      <c r="Z25" s="21"/>
      <c r="AA25" s="21"/>
      <c r="AB25" s="21"/>
      <c r="AC25" s="21"/>
      <c r="AD25" s="21"/>
    </row>
    <row r="26" spans="1:33">
      <c r="C26" s="354" t="str">
        <f>VLOOKUP(Default_Recipient_Country,Table_Country[],2,FALSE)&amp;"999"</f>
        <v>UG999</v>
      </c>
      <c r="D26" s="340">
        <f ca="1">MAX(VLOOKUP(Data_Related_Activity[[#This Row],[meta-parent-ref]],Data_Main[],2,FALSE),IFERROR(VLOOKUP(RIGHT(Data_Related_Activity[[#This Row],[related-activity]],5),Data_Main[],2,FALSE),0))</f>
        <v>41639</v>
      </c>
      <c r="E26" s="89" t="s">
        <v>136</v>
      </c>
      <c r="F26" s="89" t="s">
        <v>1117</v>
      </c>
      <c r="G26"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26" s="353" t="s">
        <v>1971</v>
      </c>
      <c r="I26" s="95">
        <f>VLOOKUP(E26,Table_related[],2,FALSE)</f>
        <v>3</v>
      </c>
      <c r="J26" s="279" t="b">
        <f ca="1">Data_Related_Activity[[#This Row],[meta-parent-ref]] = RIGHT(Data_Related_Activity[[#This Row],[related-activity]],5)</f>
        <v>0</v>
      </c>
    </row>
    <row r="27" spans="1:33">
      <c r="C27" s="354" t="str">
        <f>VLOOKUP(Default_Recipient_Country,Table_Country[],2,FALSE)&amp;"999"</f>
        <v>UG999</v>
      </c>
      <c r="D27" s="340">
        <f ca="1">MAX(VLOOKUP(Data_Related_Activity[[#This Row],[meta-parent-ref]],Data_Main[],2,FALSE),IFERROR(VLOOKUP(RIGHT(Data_Related_Activity[[#This Row],[related-activity]],5),Data_Main[],2,FALSE),0))</f>
        <v>41639</v>
      </c>
      <c r="E27" s="89" t="s">
        <v>136</v>
      </c>
      <c r="F27" s="89" t="s">
        <v>1117</v>
      </c>
      <c r="G27"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27" s="353" t="s">
        <v>1972</v>
      </c>
      <c r="I27" s="95">
        <f>VLOOKUP(E27,Table_related[],2,FALSE)</f>
        <v>3</v>
      </c>
      <c r="J27" s="279" t="b">
        <f ca="1">Data_Related_Activity[[#This Row],[meta-parent-ref]] = RIGHT(Data_Related_Activity[[#This Row],[related-activity]],5)</f>
        <v>0</v>
      </c>
    </row>
    <row r="28" spans="1:33">
      <c r="C28" s="354" t="str">
        <f>VLOOKUP(Default_Recipient_Country,Table_Country[],2,FALSE)&amp;"999"</f>
        <v>UG999</v>
      </c>
      <c r="D28" s="340">
        <f ca="1">MAX(VLOOKUP(Data_Related_Activity[[#This Row],[meta-parent-ref]],Data_Main[],2,FALSE),IFERROR(VLOOKUP(RIGHT(Data_Related_Activity[[#This Row],[related-activity]],5),Data_Main[],2,FALSE),0))</f>
        <v>41639</v>
      </c>
      <c r="E28" s="89" t="s">
        <v>136</v>
      </c>
      <c r="F28" s="89" t="s">
        <v>1117</v>
      </c>
      <c r="G28"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28" s="353" t="s">
        <v>1973</v>
      </c>
      <c r="I28" s="95">
        <f>VLOOKUP(E28,Table_related[],2,FALSE)</f>
        <v>3</v>
      </c>
      <c r="J28" s="279" t="b">
        <f ca="1">Data_Related_Activity[[#This Row],[meta-parent-ref]] = RIGHT(Data_Related_Activity[[#This Row],[related-activity]],5)</f>
        <v>0</v>
      </c>
    </row>
    <row r="29" spans="1:33">
      <c r="C29" s="354" t="str">
        <f>VLOOKUP(Default_Recipient_Country,Table_Country[],2,FALSE)&amp;"999"</f>
        <v>UG999</v>
      </c>
      <c r="D29" s="340">
        <f ca="1">MAX(VLOOKUP(Data_Related_Activity[[#This Row],[meta-parent-ref]],Data_Main[],2,FALSE),IFERROR(VLOOKUP(RIGHT(Data_Related_Activity[[#This Row],[related-activity]],5),Data_Main[],2,FALSE),0))</f>
        <v>41639</v>
      </c>
      <c r="E29" s="89" t="s">
        <v>136</v>
      </c>
      <c r="F29" s="89" t="s">
        <v>1117</v>
      </c>
      <c r="G29"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29" s="353" t="s">
        <v>1974</v>
      </c>
      <c r="I29" s="95">
        <f>VLOOKUP(E29,Table_related[],2,FALSE)</f>
        <v>3</v>
      </c>
      <c r="J29" s="279" t="b">
        <f ca="1">Data_Related_Activity[[#This Row],[meta-parent-ref]] = RIGHT(Data_Related_Activity[[#This Row],[related-activity]],5)</f>
        <v>0</v>
      </c>
    </row>
    <row r="30" spans="1:33">
      <c r="C30" s="238" t="s">
        <v>1912</v>
      </c>
      <c r="D30" s="340">
        <f ca="1">MAX(VLOOKUP(Data_Related_Activity[[#This Row],[meta-parent-ref]],Data_Main[],2,FALSE),IFERROR(VLOOKUP(RIGHT(Data_Related_Activity[[#This Row],[related-activity]],5),Data_Main[],2,FALSE),0))</f>
        <v>41639</v>
      </c>
      <c r="E30" s="215" t="s">
        <v>132</v>
      </c>
      <c r="F30" s="215" t="s">
        <v>1118</v>
      </c>
      <c r="G30" s="79" t="str">
        <f ca="1">INDEX(INDIRECT(VLOOKUP(Data_Related_Activity[[#This Row],[meta-published-this-file]],Name_Table_In_File,3,FALSE)),MATCH(Data_Related_Activity[[#This Row],[related-activity@ref]],INDIRECT(VLOOKUP(Data_Related_Activity[[#This Row],[meta-published-this-file]],Name_Table_In_File,2,FALSE)),0))</f>
        <v>WaterAid Uganda</v>
      </c>
      <c r="H30" s="83" t="s">
        <v>1966</v>
      </c>
      <c r="I30" s="95">
        <f>VLOOKUP(E30,Table_related[],2,FALSE)</f>
        <v>1</v>
      </c>
      <c r="J30" s="279" t="b">
        <f ca="1">Data_Related_Activity[[#This Row],[meta-parent-ref]] = RIGHT(Data_Related_Activity[[#This Row],[related-activity]],5)</f>
        <v>0</v>
      </c>
    </row>
    <row r="31" spans="1:33">
      <c r="C31" s="354" t="s">
        <v>1912</v>
      </c>
      <c r="D31" s="340">
        <f ca="1">MAX(VLOOKUP(Data_Related_Activity[[#This Row],[meta-parent-ref]],Data_Main[],2,FALSE),IFERROR(VLOOKUP(RIGHT(Data_Related_Activity[[#This Row],[related-activity]],5),Data_Main[],2,FALSE),0))</f>
        <v>41639</v>
      </c>
      <c r="E31" s="89" t="s">
        <v>136</v>
      </c>
      <c r="F31" s="89" t="s">
        <v>1117</v>
      </c>
      <c r="G31"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31" s="353" t="s">
        <v>1967</v>
      </c>
      <c r="I31" s="95">
        <f>VLOOKUP(E31,Table_related[],2,FALSE)</f>
        <v>3</v>
      </c>
      <c r="J31" s="279" t="b">
        <f ca="1">Data_Related_Activity[[#This Row],[meta-parent-ref]] = RIGHT(Data_Related_Activity[[#This Row],[related-activity]],5)</f>
        <v>0</v>
      </c>
    </row>
    <row r="32" spans="1:33">
      <c r="C32" s="354" t="s">
        <v>1912</v>
      </c>
      <c r="D32" s="340">
        <f ca="1">MAX(VLOOKUP(Data_Related_Activity[[#This Row],[meta-parent-ref]],Data_Main[],2,FALSE),IFERROR(VLOOKUP(RIGHT(Data_Related_Activity[[#This Row],[related-activity]],5),Data_Main[],2,FALSE),0))</f>
        <v>41639</v>
      </c>
      <c r="E32" s="89" t="s">
        <v>136</v>
      </c>
      <c r="F32" s="89" t="s">
        <v>1117</v>
      </c>
      <c r="G32"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32" s="353" t="s">
        <v>1968</v>
      </c>
      <c r="I32" s="95">
        <f>VLOOKUP(E32,Table_related[],2,FALSE)</f>
        <v>3</v>
      </c>
      <c r="J32" s="279" t="b">
        <f ca="1">Data_Related_Activity[[#This Row],[meta-parent-ref]] = RIGHT(Data_Related_Activity[[#This Row],[related-activity]],5)</f>
        <v>0</v>
      </c>
    </row>
    <row r="33" spans="3:10">
      <c r="C33" s="354" t="s">
        <v>1912</v>
      </c>
      <c r="D33" s="340">
        <f ca="1">MAX(VLOOKUP(Data_Related_Activity[[#This Row],[meta-parent-ref]],Data_Main[],2,FALSE),IFERROR(VLOOKUP(RIGHT(Data_Related_Activity[[#This Row],[related-activity]],5),Data_Main[],2,FALSE),0))</f>
        <v>41639</v>
      </c>
      <c r="E33" s="89" t="s">
        <v>136</v>
      </c>
      <c r="F33" s="89" t="s">
        <v>1117</v>
      </c>
      <c r="G33"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33" s="353" t="s">
        <v>1969</v>
      </c>
      <c r="I33" s="95">
        <f>VLOOKUP(E33,Table_related[],2,FALSE)</f>
        <v>3</v>
      </c>
      <c r="J33" s="279" t="b">
        <f ca="1">Data_Related_Activity[[#This Row],[meta-parent-ref]] = RIGHT(Data_Related_Activity[[#This Row],[related-activity]],5)</f>
        <v>0</v>
      </c>
    </row>
    <row r="34" spans="3:10">
      <c r="C34" s="354" t="s">
        <v>1912</v>
      </c>
      <c r="D34" s="340">
        <f ca="1">MAX(VLOOKUP(Data_Related_Activity[[#This Row],[meta-parent-ref]],Data_Main[],2,FALSE),IFERROR(VLOOKUP(RIGHT(Data_Related_Activity[[#This Row],[related-activity]],5),Data_Main[],2,FALSE),0))</f>
        <v>41639</v>
      </c>
      <c r="E34" s="89" t="s">
        <v>136</v>
      </c>
      <c r="F34" s="89" t="s">
        <v>1117</v>
      </c>
      <c r="G34"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34" s="353" t="s">
        <v>1970</v>
      </c>
      <c r="I34" s="95">
        <f>VLOOKUP(E34,Table_related[],2,FALSE)</f>
        <v>3</v>
      </c>
      <c r="J34" s="279" t="b">
        <f ca="1">Data_Related_Activity[[#This Row],[meta-parent-ref]] = RIGHT(Data_Related_Activity[[#This Row],[related-activity]],5)</f>
        <v>0</v>
      </c>
    </row>
    <row r="35" spans="3:10">
      <c r="C35" s="354" t="s">
        <v>1912</v>
      </c>
      <c r="D35" s="340">
        <f ca="1">MAX(VLOOKUP(Data_Related_Activity[[#This Row],[meta-parent-ref]],Data_Main[],2,FALSE),IFERROR(VLOOKUP(RIGHT(Data_Related_Activity[[#This Row],[related-activity]],5),Data_Main[],2,FALSE),0))</f>
        <v>41639</v>
      </c>
      <c r="E35" s="89" t="s">
        <v>136</v>
      </c>
      <c r="F35" s="89" t="s">
        <v>1117</v>
      </c>
      <c r="G35"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35" s="353" t="s">
        <v>1971</v>
      </c>
      <c r="I35" s="95">
        <f>VLOOKUP(E35,Table_related[],2,FALSE)</f>
        <v>3</v>
      </c>
      <c r="J35" s="279" t="b">
        <f ca="1">Data_Related_Activity[[#This Row],[meta-parent-ref]] = RIGHT(Data_Related_Activity[[#This Row],[related-activity]],5)</f>
        <v>0</v>
      </c>
    </row>
    <row r="36" spans="3:10">
      <c r="C36" s="354" t="s">
        <v>1912</v>
      </c>
      <c r="D36" s="340">
        <f ca="1">MAX(VLOOKUP(Data_Related_Activity[[#This Row],[meta-parent-ref]],Data_Main[],2,FALSE),IFERROR(VLOOKUP(RIGHT(Data_Related_Activity[[#This Row],[related-activity]],5),Data_Main[],2,FALSE),0))</f>
        <v>41639</v>
      </c>
      <c r="E36" s="89" t="s">
        <v>136</v>
      </c>
      <c r="F36" s="89" t="s">
        <v>1117</v>
      </c>
      <c r="G36"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36" s="353" t="s">
        <v>1972</v>
      </c>
      <c r="I36" s="95">
        <f>VLOOKUP(E36,Table_related[],2,FALSE)</f>
        <v>3</v>
      </c>
      <c r="J36" s="279" t="b">
        <f ca="1">Data_Related_Activity[[#This Row],[meta-parent-ref]] = RIGHT(Data_Related_Activity[[#This Row],[related-activity]],5)</f>
        <v>0</v>
      </c>
    </row>
    <row r="37" spans="3:10">
      <c r="C37" s="354" t="s">
        <v>1912</v>
      </c>
      <c r="D37" s="340">
        <f ca="1">MAX(VLOOKUP(Data_Related_Activity[[#This Row],[meta-parent-ref]],Data_Main[],2,FALSE),IFERROR(VLOOKUP(RIGHT(Data_Related_Activity[[#This Row],[related-activity]],5),Data_Main[],2,FALSE),0))</f>
        <v>41639</v>
      </c>
      <c r="E37" s="89" t="s">
        <v>136</v>
      </c>
      <c r="F37" s="89" t="s">
        <v>1117</v>
      </c>
      <c r="G37"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37" s="353" t="s">
        <v>1973</v>
      </c>
      <c r="I37" s="95">
        <f>VLOOKUP(E37,Table_related[],2,FALSE)</f>
        <v>3</v>
      </c>
      <c r="J37" s="279" t="b">
        <f ca="1">Data_Related_Activity[[#This Row],[meta-parent-ref]] = RIGHT(Data_Related_Activity[[#This Row],[related-activity]],5)</f>
        <v>0</v>
      </c>
    </row>
    <row r="38" spans="3:10">
      <c r="C38" s="354" t="s">
        <v>1912</v>
      </c>
      <c r="D38" s="340">
        <f ca="1">MAX(VLOOKUP(Data_Related_Activity[[#This Row],[meta-parent-ref]],Data_Main[],2,FALSE),IFERROR(VLOOKUP(RIGHT(Data_Related_Activity[[#This Row],[related-activity]],5),Data_Main[],2,FALSE),0))</f>
        <v>41639</v>
      </c>
      <c r="E38" s="89" t="s">
        <v>136</v>
      </c>
      <c r="F38" s="89" t="s">
        <v>1117</v>
      </c>
      <c r="G38"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38" s="353" t="s">
        <v>1974</v>
      </c>
      <c r="I38" s="95">
        <f>VLOOKUP(E38,Table_related[],2,FALSE)</f>
        <v>3</v>
      </c>
      <c r="J38" s="279" t="b">
        <f ca="1">Data_Related_Activity[[#This Row],[meta-parent-ref]] = RIGHT(Data_Related_Activity[[#This Row],[related-activity]],5)</f>
        <v>0</v>
      </c>
    </row>
    <row r="39" spans="3:10">
      <c r="C39" s="238" t="s">
        <v>1913</v>
      </c>
      <c r="D39" s="340">
        <f ca="1">MAX(VLOOKUP(Data_Related_Activity[[#This Row],[meta-parent-ref]],Data_Main[],2,FALSE),IFERROR(VLOOKUP(RIGHT(Data_Related_Activity[[#This Row],[related-activity]],5),Data_Main[],2,FALSE),0))</f>
        <v>41639</v>
      </c>
      <c r="E39" s="215" t="s">
        <v>132</v>
      </c>
      <c r="F39" s="215" t="s">
        <v>1118</v>
      </c>
      <c r="G39" s="79" t="str">
        <f ca="1">INDEX(INDIRECT(VLOOKUP(Data_Related_Activity[[#This Row],[meta-published-this-file]],Name_Table_In_File,3,FALSE)),MATCH(Data_Related_Activity[[#This Row],[related-activity@ref]],INDIRECT(VLOOKUP(Data_Related_Activity[[#This Row],[meta-published-this-file]],Name_Table_In_File,2,FALSE)),0))</f>
        <v>WaterAid Uganda</v>
      </c>
      <c r="H39" s="83" t="s">
        <v>1966</v>
      </c>
      <c r="I39" s="95">
        <f>VLOOKUP(E39,Table_related[],2,FALSE)</f>
        <v>1</v>
      </c>
      <c r="J39" s="279" t="b">
        <f ca="1">Data_Related_Activity[[#This Row],[meta-parent-ref]] = RIGHT(Data_Related_Activity[[#This Row],[related-activity]],5)</f>
        <v>0</v>
      </c>
    </row>
    <row r="40" spans="3:10">
      <c r="C40" s="354" t="s">
        <v>1913</v>
      </c>
      <c r="D40" s="340">
        <f ca="1">MAX(VLOOKUP(Data_Related_Activity[[#This Row],[meta-parent-ref]],Data_Main[],2,FALSE),IFERROR(VLOOKUP(RIGHT(Data_Related_Activity[[#This Row],[related-activity]],5),Data_Main[],2,FALSE),0))</f>
        <v>41639</v>
      </c>
      <c r="E40" s="89" t="s">
        <v>136</v>
      </c>
      <c r="F40" s="89" t="s">
        <v>1117</v>
      </c>
      <c r="G40"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40" s="353" t="s">
        <v>1967</v>
      </c>
      <c r="I40" s="95">
        <f>VLOOKUP(E40,Table_related[],2,FALSE)</f>
        <v>3</v>
      </c>
      <c r="J40" s="279" t="b">
        <f ca="1">Data_Related_Activity[[#This Row],[meta-parent-ref]] = RIGHT(Data_Related_Activity[[#This Row],[related-activity]],5)</f>
        <v>0</v>
      </c>
    </row>
    <row r="41" spans="3:10">
      <c r="C41" s="354" t="s">
        <v>1913</v>
      </c>
      <c r="D41" s="340">
        <f ca="1">MAX(VLOOKUP(Data_Related_Activity[[#This Row],[meta-parent-ref]],Data_Main[],2,FALSE),IFERROR(VLOOKUP(RIGHT(Data_Related_Activity[[#This Row],[related-activity]],5),Data_Main[],2,FALSE),0))</f>
        <v>41639</v>
      </c>
      <c r="E41" s="89" t="s">
        <v>136</v>
      </c>
      <c r="F41" s="89" t="s">
        <v>1117</v>
      </c>
      <c r="G41"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41" s="353" t="s">
        <v>1968</v>
      </c>
      <c r="I41" s="95">
        <f>VLOOKUP(E41,Table_related[],2,FALSE)</f>
        <v>3</v>
      </c>
      <c r="J41" s="279" t="b">
        <f ca="1">Data_Related_Activity[[#This Row],[meta-parent-ref]] = RIGHT(Data_Related_Activity[[#This Row],[related-activity]],5)</f>
        <v>0</v>
      </c>
    </row>
    <row r="42" spans="3:10">
      <c r="C42" s="354" t="s">
        <v>1913</v>
      </c>
      <c r="D42" s="340">
        <f ca="1">MAX(VLOOKUP(Data_Related_Activity[[#This Row],[meta-parent-ref]],Data_Main[],2,FALSE),IFERROR(VLOOKUP(RIGHT(Data_Related_Activity[[#This Row],[related-activity]],5),Data_Main[],2,FALSE),0))</f>
        <v>41639</v>
      </c>
      <c r="E42" s="89" t="s">
        <v>136</v>
      </c>
      <c r="F42" s="89" t="s">
        <v>1117</v>
      </c>
      <c r="G42"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42" s="353" t="s">
        <v>1969</v>
      </c>
      <c r="I42" s="95">
        <f>VLOOKUP(E42,Table_related[],2,FALSE)</f>
        <v>3</v>
      </c>
      <c r="J42" s="279" t="b">
        <f ca="1">Data_Related_Activity[[#This Row],[meta-parent-ref]] = RIGHT(Data_Related_Activity[[#This Row],[related-activity]],5)</f>
        <v>0</v>
      </c>
    </row>
    <row r="43" spans="3:10">
      <c r="C43" s="354" t="s">
        <v>1913</v>
      </c>
      <c r="D43" s="340">
        <f ca="1">MAX(VLOOKUP(Data_Related_Activity[[#This Row],[meta-parent-ref]],Data_Main[],2,FALSE),IFERROR(VLOOKUP(RIGHT(Data_Related_Activity[[#This Row],[related-activity]],5),Data_Main[],2,FALSE),0))</f>
        <v>41639</v>
      </c>
      <c r="E43" s="89" t="s">
        <v>136</v>
      </c>
      <c r="F43" s="89" t="s">
        <v>1117</v>
      </c>
      <c r="G43"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43" s="353" t="s">
        <v>1970</v>
      </c>
      <c r="I43" s="95">
        <f>VLOOKUP(E43,Table_related[],2,FALSE)</f>
        <v>3</v>
      </c>
      <c r="J43" s="279" t="b">
        <f ca="1">Data_Related_Activity[[#This Row],[meta-parent-ref]] = RIGHT(Data_Related_Activity[[#This Row],[related-activity]],5)</f>
        <v>0</v>
      </c>
    </row>
    <row r="44" spans="3:10">
      <c r="C44" s="354" t="s">
        <v>1913</v>
      </c>
      <c r="D44" s="340">
        <f ca="1">MAX(VLOOKUP(Data_Related_Activity[[#This Row],[meta-parent-ref]],Data_Main[],2,FALSE),IFERROR(VLOOKUP(RIGHT(Data_Related_Activity[[#This Row],[related-activity]],5),Data_Main[],2,FALSE),0))</f>
        <v>41639</v>
      </c>
      <c r="E44" s="89" t="s">
        <v>136</v>
      </c>
      <c r="F44" s="89" t="s">
        <v>1117</v>
      </c>
      <c r="G44"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44" s="353" t="s">
        <v>1971</v>
      </c>
      <c r="I44" s="95">
        <f>VLOOKUP(E44,Table_related[],2,FALSE)</f>
        <v>3</v>
      </c>
      <c r="J44" s="279" t="b">
        <f ca="1">Data_Related_Activity[[#This Row],[meta-parent-ref]] = RIGHT(Data_Related_Activity[[#This Row],[related-activity]],5)</f>
        <v>0</v>
      </c>
    </row>
    <row r="45" spans="3:10">
      <c r="C45" s="354" t="s">
        <v>1913</v>
      </c>
      <c r="D45" s="340">
        <f ca="1">MAX(VLOOKUP(Data_Related_Activity[[#This Row],[meta-parent-ref]],Data_Main[],2,FALSE),IFERROR(VLOOKUP(RIGHT(Data_Related_Activity[[#This Row],[related-activity]],5),Data_Main[],2,FALSE),0))</f>
        <v>41639</v>
      </c>
      <c r="E45" s="89" t="s">
        <v>136</v>
      </c>
      <c r="F45" s="89" t="s">
        <v>1117</v>
      </c>
      <c r="G45"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45" s="353" t="s">
        <v>1972</v>
      </c>
      <c r="I45" s="95">
        <f>VLOOKUP(E45,Table_related[],2,FALSE)</f>
        <v>3</v>
      </c>
      <c r="J45" s="279" t="b">
        <f ca="1">Data_Related_Activity[[#This Row],[meta-parent-ref]] = RIGHT(Data_Related_Activity[[#This Row],[related-activity]],5)</f>
        <v>0</v>
      </c>
    </row>
    <row r="46" spans="3:10">
      <c r="C46" s="354" t="s">
        <v>1913</v>
      </c>
      <c r="D46" s="340">
        <f ca="1">MAX(VLOOKUP(Data_Related_Activity[[#This Row],[meta-parent-ref]],Data_Main[],2,FALSE),IFERROR(VLOOKUP(RIGHT(Data_Related_Activity[[#This Row],[related-activity]],5),Data_Main[],2,FALSE),0))</f>
        <v>41639</v>
      </c>
      <c r="E46" s="89" t="s">
        <v>136</v>
      </c>
      <c r="F46" s="89" t="s">
        <v>1117</v>
      </c>
      <c r="G46"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46" s="353" t="s">
        <v>1973</v>
      </c>
      <c r="I46" s="95">
        <f>VLOOKUP(E46,Table_related[],2,FALSE)</f>
        <v>3</v>
      </c>
      <c r="J46" s="279" t="b">
        <f ca="1">Data_Related_Activity[[#This Row],[meta-parent-ref]] = RIGHT(Data_Related_Activity[[#This Row],[related-activity]],5)</f>
        <v>0</v>
      </c>
    </row>
    <row r="47" spans="3:10">
      <c r="C47" s="354" t="s">
        <v>1913</v>
      </c>
      <c r="D47" s="340">
        <f ca="1">MAX(VLOOKUP(Data_Related_Activity[[#This Row],[meta-parent-ref]],Data_Main[],2,FALSE),IFERROR(VLOOKUP(RIGHT(Data_Related_Activity[[#This Row],[related-activity]],5),Data_Main[],2,FALSE),0))</f>
        <v>41639</v>
      </c>
      <c r="E47" s="89" t="s">
        <v>136</v>
      </c>
      <c r="F47" s="89" t="s">
        <v>1117</v>
      </c>
      <c r="G47"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47" s="353" t="s">
        <v>1974</v>
      </c>
      <c r="I47" s="95">
        <f>VLOOKUP(E47,Table_related[],2,FALSE)</f>
        <v>3</v>
      </c>
      <c r="J47" s="279" t="b">
        <f ca="1">Data_Related_Activity[[#This Row],[meta-parent-ref]] = RIGHT(Data_Related_Activity[[#This Row],[related-activity]],5)</f>
        <v>0</v>
      </c>
    </row>
    <row r="48" spans="3:10">
      <c r="C48" s="238" t="s">
        <v>1914</v>
      </c>
      <c r="D48" s="340">
        <f ca="1">MAX(VLOOKUP(Data_Related_Activity[[#This Row],[meta-parent-ref]],Data_Main[],2,FALSE),IFERROR(VLOOKUP(RIGHT(Data_Related_Activity[[#This Row],[related-activity]],5),Data_Main[],2,FALSE),0))</f>
        <v>41639</v>
      </c>
      <c r="E48" s="215" t="s">
        <v>132</v>
      </c>
      <c r="F48" s="215" t="s">
        <v>1118</v>
      </c>
      <c r="G48" s="79" t="str">
        <f ca="1">INDEX(INDIRECT(VLOOKUP(Data_Related_Activity[[#This Row],[meta-published-this-file]],Name_Table_In_File,3,FALSE)),MATCH(Data_Related_Activity[[#This Row],[related-activity@ref]],INDIRECT(VLOOKUP(Data_Related_Activity[[#This Row],[meta-published-this-file]],Name_Table_In_File,2,FALSE)),0))</f>
        <v>WaterAid Uganda</v>
      </c>
      <c r="H48" s="83" t="s">
        <v>1966</v>
      </c>
      <c r="I48" s="95">
        <f>VLOOKUP(E48,Table_related[],2,FALSE)</f>
        <v>1</v>
      </c>
      <c r="J48" s="279" t="b">
        <f ca="1">Data_Related_Activity[[#This Row],[meta-parent-ref]] = RIGHT(Data_Related_Activity[[#This Row],[related-activity]],5)</f>
        <v>0</v>
      </c>
    </row>
    <row r="49" spans="3:10">
      <c r="C49" s="354" t="s">
        <v>1914</v>
      </c>
      <c r="D49" s="340">
        <f ca="1">MAX(VLOOKUP(Data_Related_Activity[[#This Row],[meta-parent-ref]],Data_Main[],2,FALSE),IFERROR(VLOOKUP(RIGHT(Data_Related_Activity[[#This Row],[related-activity]],5),Data_Main[],2,FALSE),0))</f>
        <v>41639</v>
      </c>
      <c r="E49" s="89" t="s">
        <v>136</v>
      </c>
      <c r="F49" s="89" t="s">
        <v>1117</v>
      </c>
      <c r="G49"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49" s="353" t="s">
        <v>1967</v>
      </c>
      <c r="I49" s="95">
        <f>VLOOKUP(E49,Table_related[],2,FALSE)</f>
        <v>3</v>
      </c>
      <c r="J49" s="279" t="b">
        <f ca="1">Data_Related_Activity[[#This Row],[meta-parent-ref]] = RIGHT(Data_Related_Activity[[#This Row],[related-activity]],5)</f>
        <v>0</v>
      </c>
    </row>
    <row r="50" spans="3:10">
      <c r="C50" s="354" t="s">
        <v>1914</v>
      </c>
      <c r="D50" s="340">
        <f ca="1">MAX(VLOOKUP(Data_Related_Activity[[#This Row],[meta-parent-ref]],Data_Main[],2,FALSE),IFERROR(VLOOKUP(RIGHT(Data_Related_Activity[[#This Row],[related-activity]],5),Data_Main[],2,FALSE),0))</f>
        <v>41639</v>
      </c>
      <c r="E50" s="89" t="s">
        <v>136</v>
      </c>
      <c r="F50" s="89" t="s">
        <v>1117</v>
      </c>
      <c r="G50"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50" s="353" t="s">
        <v>1968</v>
      </c>
      <c r="I50" s="95">
        <f>VLOOKUP(E50,Table_related[],2,FALSE)</f>
        <v>3</v>
      </c>
      <c r="J50" s="279" t="b">
        <f ca="1">Data_Related_Activity[[#This Row],[meta-parent-ref]] = RIGHT(Data_Related_Activity[[#This Row],[related-activity]],5)</f>
        <v>0</v>
      </c>
    </row>
    <row r="51" spans="3:10">
      <c r="C51" s="354" t="s">
        <v>1914</v>
      </c>
      <c r="D51" s="340">
        <f ca="1">MAX(VLOOKUP(Data_Related_Activity[[#This Row],[meta-parent-ref]],Data_Main[],2,FALSE),IFERROR(VLOOKUP(RIGHT(Data_Related_Activity[[#This Row],[related-activity]],5),Data_Main[],2,FALSE),0))</f>
        <v>41639</v>
      </c>
      <c r="E51" s="89" t="s">
        <v>136</v>
      </c>
      <c r="F51" s="89" t="s">
        <v>1117</v>
      </c>
      <c r="G51"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51" s="353" t="s">
        <v>1969</v>
      </c>
      <c r="I51" s="95">
        <f>VLOOKUP(E51,Table_related[],2,FALSE)</f>
        <v>3</v>
      </c>
      <c r="J51" s="279" t="b">
        <f ca="1">Data_Related_Activity[[#This Row],[meta-parent-ref]] = RIGHT(Data_Related_Activity[[#This Row],[related-activity]],5)</f>
        <v>0</v>
      </c>
    </row>
    <row r="52" spans="3:10">
      <c r="C52" s="354" t="s">
        <v>1914</v>
      </c>
      <c r="D52" s="340">
        <f ca="1">MAX(VLOOKUP(Data_Related_Activity[[#This Row],[meta-parent-ref]],Data_Main[],2,FALSE),IFERROR(VLOOKUP(RIGHT(Data_Related_Activity[[#This Row],[related-activity]],5),Data_Main[],2,FALSE),0))</f>
        <v>41639</v>
      </c>
      <c r="E52" s="89" t="s">
        <v>136</v>
      </c>
      <c r="F52" s="89" t="s">
        <v>1117</v>
      </c>
      <c r="G52"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52" s="353" t="s">
        <v>1970</v>
      </c>
      <c r="I52" s="95">
        <f>VLOOKUP(E52,Table_related[],2,FALSE)</f>
        <v>3</v>
      </c>
      <c r="J52" s="279" t="b">
        <f ca="1">Data_Related_Activity[[#This Row],[meta-parent-ref]] = RIGHT(Data_Related_Activity[[#This Row],[related-activity]],5)</f>
        <v>0</v>
      </c>
    </row>
    <row r="53" spans="3:10">
      <c r="C53" s="354" t="s">
        <v>1914</v>
      </c>
      <c r="D53" s="340">
        <f ca="1">MAX(VLOOKUP(Data_Related_Activity[[#This Row],[meta-parent-ref]],Data_Main[],2,FALSE),IFERROR(VLOOKUP(RIGHT(Data_Related_Activity[[#This Row],[related-activity]],5),Data_Main[],2,FALSE),0))</f>
        <v>41639</v>
      </c>
      <c r="E53" s="89" t="s">
        <v>136</v>
      </c>
      <c r="F53" s="89" t="s">
        <v>1117</v>
      </c>
      <c r="G53"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53" s="353" t="s">
        <v>1971</v>
      </c>
      <c r="I53" s="95">
        <f>VLOOKUP(E53,Table_related[],2,FALSE)</f>
        <v>3</v>
      </c>
      <c r="J53" s="279" t="b">
        <f ca="1">Data_Related_Activity[[#This Row],[meta-parent-ref]] = RIGHT(Data_Related_Activity[[#This Row],[related-activity]],5)</f>
        <v>0</v>
      </c>
    </row>
    <row r="54" spans="3:10">
      <c r="C54" s="354" t="s">
        <v>1914</v>
      </c>
      <c r="D54" s="340">
        <f ca="1">MAX(VLOOKUP(Data_Related_Activity[[#This Row],[meta-parent-ref]],Data_Main[],2,FALSE),IFERROR(VLOOKUP(RIGHT(Data_Related_Activity[[#This Row],[related-activity]],5),Data_Main[],2,FALSE),0))</f>
        <v>41639</v>
      </c>
      <c r="E54" s="89" t="s">
        <v>136</v>
      </c>
      <c r="F54" s="89" t="s">
        <v>1117</v>
      </c>
      <c r="G54"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54" s="353" t="s">
        <v>1972</v>
      </c>
      <c r="I54" s="95">
        <f>VLOOKUP(E54,Table_related[],2,FALSE)</f>
        <v>3</v>
      </c>
      <c r="J54" s="279" t="b">
        <f ca="1">Data_Related_Activity[[#This Row],[meta-parent-ref]] = RIGHT(Data_Related_Activity[[#This Row],[related-activity]],5)</f>
        <v>0</v>
      </c>
    </row>
    <row r="55" spans="3:10">
      <c r="C55" s="354" t="s">
        <v>1914</v>
      </c>
      <c r="D55" s="340">
        <f ca="1">MAX(VLOOKUP(Data_Related_Activity[[#This Row],[meta-parent-ref]],Data_Main[],2,FALSE),IFERROR(VLOOKUP(RIGHT(Data_Related_Activity[[#This Row],[related-activity]],5),Data_Main[],2,FALSE),0))</f>
        <v>41639</v>
      </c>
      <c r="E55" s="89" t="s">
        <v>136</v>
      </c>
      <c r="F55" s="89" t="s">
        <v>1117</v>
      </c>
      <c r="G55"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55" s="353" t="s">
        <v>1973</v>
      </c>
      <c r="I55" s="95">
        <f>VLOOKUP(E55,Table_related[],2,FALSE)</f>
        <v>3</v>
      </c>
      <c r="J55" s="279" t="b">
        <f ca="1">Data_Related_Activity[[#This Row],[meta-parent-ref]] = RIGHT(Data_Related_Activity[[#This Row],[related-activity]],5)</f>
        <v>0</v>
      </c>
    </row>
    <row r="56" spans="3:10">
      <c r="C56" s="354" t="s">
        <v>1914</v>
      </c>
      <c r="D56" s="340">
        <f ca="1">MAX(VLOOKUP(Data_Related_Activity[[#This Row],[meta-parent-ref]],Data_Main[],2,FALSE),IFERROR(VLOOKUP(RIGHT(Data_Related_Activity[[#This Row],[related-activity]],5),Data_Main[],2,FALSE),0))</f>
        <v>41639</v>
      </c>
      <c r="E56" s="89" t="s">
        <v>136</v>
      </c>
      <c r="F56" s="89" t="s">
        <v>1117</v>
      </c>
      <c r="G56"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56" s="353" t="s">
        <v>1974</v>
      </c>
      <c r="I56" s="95">
        <f>VLOOKUP(E56,Table_related[],2,FALSE)</f>
        <v>3</v>
      </c>
      <c r="J56" s="279" t="b">
        <f ca="1">Data_Related_Activity[[#This Row],[meta-parent-ref]] = RIGHT(Data_Related_Activity[[#This Row],[related-activity]],5)</f>
        <v>0</v>
      </c>
    </row>
    <row r="57" spans="3:10">
      <c r="C57" s="238" t="s">
        <v>1915</v>
      </c>
      <c r="D57" s="340">
        <f ca="1">MAX(VLOOKUP(Data_Related_Activity[[#This Row],[meta-parent-ref]],Data_Main[],2,FALSE),IFERROR(VLOOKUP(RIGHT(Data_Related_Activity[[#This Row],[related-activity]],5),Data_Main[],2,FALSE),0))</f>
        <v>41639</v>
      </c>
      <c r="E57" s="215" t="s">
        <v>132</v>
      </c>
      <c r="F57" s="215" t="s">
        <v>1118</v>
      </c>
      <c r="G57" s="79" t="str">
        <f ca="1">INDEX(INDIRECT(VLOOKUP(Data_Related_Activity[[#This Row],[meta-published-this-file]],Name_Table_In_File,3,FALSE)),MATCH(Data_Related_Activity[[#This Row],[related-activity@ref]],INDIRECT(VLOOKUP(Data_Related_Activity[[#This Row],[meta-published-this-file]],Name_Table_In_File,2,FALSE)),0))</f>
        <v>WaterAid Uganda</v>
      </c>
      <c r="H57" s="83" t="s">
        <v>1966</v>
      </c>
      <c r="I57" s="95">
        <f>VLOOKUP(E57,Table_related[],2,FALSE)</f>
        <v>1</v>
      </c>
      <c r="J57" s="279" t="b">
        <f ca="1">Data_Related_Activity[[#This Row],[meta-parent-ref]] = RIGHT(Data_Related_Activity[[#This Row],[related-activity]],5)</f>
        <v>0</v>
      </c>
    </row>
    <row r="58" spans="3:10">
      <c r="C58" s="354" t="s">
        <v>1915</v>
      </c>
      <c r="D58" s="340">
        <f ca="1">MAX(VLOOKUP(Data_Related_Activity[[#This Row],[meta-parent-ref]],Data_Main[],2,FALSE),IFERROR(VLOOKUP(RIGHT(Data_Related_Activity[[#This Row],[related-activity]],5),Data_Main[],2,FALSE),0))</f>
        <v>41639</v>
      </c>
      <c r="E58" s="89" t="s">
        <v>136</v>
      </c>
      <c r="F58" s="89" t="s">
        <v>1117</v>
      </c>
      <c r="G58"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58" s="353" t="s">
        <v>1967</v>
      </c>
      <c r="I58" s="95">
        <f>VLOOKUP(E58,Table_related[],2,FALSE)</f>
        <v>3</v>
      </c>
      <c r="J58" s="279" t="b">
        <f ca="1">Data_Related_Activity[[#This Row],[meta-parent-ref]] = RIGHT(Data_Related_Activity[[#This Row],[related-activity]],5)</f>
        <v>0</v>
      </c>
    </row>
    <row r="59" spans="3:10">
      <c r="C59" s="354" t="s">
        <v>1915</v>
      </c>
      <c r="D59" s="340">
        <f ca="1">MAX(VLOOKUP(Data_Related_Activity[[#This Row],[meta-parent-ref]],Data_Main[],2,FALSE),IFERROR(VLOOKUP(RIGHT(Data_Related_Activity[[#This Row],[related-activity]],5),Data_Main[],2,FALSE),0))</f>
        <v>41639</v>
      </c>
      <c r="E59" s="89" t="s">
        <v>136</v>
      </c>
      <c r="F59" s="89" t="s">
        <v>1117</v>
      </c>
      <c r="G59"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59" s="353" t="s">
        <v>1968</v>
      </c>
      <c r="I59" s="95">
        <f>VLOOKUP(E59,Table_related[],2,FALSE)</f>
        <v>3</v>
      </c>
      <c r="J59" s="279" t="b">
        <f ca="1">Data_Related_Activity[[#This Row],[meta-parent-ref]] = RIGHT(Data_Related_Activity[[#This Row],[related-activity]],5)</f>
        <v>0</v>
      </c>
    </row>
    <row r="60" spans="3:10">
      <c r="C60" s="354" t="s">
        <v>1915</v>
      </c>
      <c r="D60" s="340">
        <f ca="1">MAX(VLOOKUP(Data_Related_Activity[[#This Row],[meta-parent-ref]],Data_Main[],2,FALSE),IFERROR(VLOOKUP(RIGHT(Data_Related_Activity[[#This Row],[related-activity]],5),Data_Main[],2,FALSE),0))</f>
        <v>41639</v>
      </c>
      <c r="E60" s="89" t="s">
        <v>136</v>
      </c>
      <c r="F60" s="89" t="s">
        <v>1117</v>
      </c>
      <c r="G60"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60" s="353" t="s">
        <v>1969</v>
      </c>
      <c r="I60" s="95">
        <f>VLOOKUP(E60,Table_related[],2,FALSE)</f>
        <v>3</v>
      </c>
      <c r="J60" s="279" t="b">
        <f ca="1">Data_Related_Activity[[#This Row],[meta-parent-ref]] = RIGHT(Data_Related_Activity[[#This Row],[related-activity]],5)</f>
        <v>0</v>
      </c>
    </row>
    <row r="61" spans="3:10">
      <c r="C61" s="354" t="s">
        <v>1915</v>
      </c>
      <c r="D61" s="340">
        <f ca="1">MAX(VLOOKUP(Data_Related_Activity[[#This Row],[meta-parent-ref]],Data_Main[],2,FALSE),IFERROR(VLOOKUP(RIGHT(Data_Related_Activity[[#This Row],[related-activity]],5),Data_Main[],2,FALSE),0))</f>
        <v>41639</v>
      </c>
      <c r="E61" s="89" t="s">
        <v>136</v>
      </c>
      <c r="F61" s="89" t="s">
        <v>1117</v>
      </c>
      <c r="G61"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61" s="353" t="s">
        <v>1970</v>
      </c>
      <c r="I61" s="95">
        <f>VLOOKUP(E61,Table_related[],2,FALSE)</f>
        <v>3</v>
      </c>
      <c r="J61" s="279" t="b">
        <f ca="1">Data_Related_Activity[[#This Row],[meta-parent-ref]] = RIGHT(Data_Related_Activity[[#This Row],[related-activity]],5)</f>
        <v>0</v>
      </c>
    </row>
    <row r="62" spans="3:10">
      <c r="C62" s="354" t="s">
        <v>1915</v>
      </c>
      <c r="D62" s="340">
        <f ca="1">MAX(VLOOKUP(Data_Related_Activity[[#This Row],[meta-parent-ref]],Data_Main[],2,FALSE),IFERROR(VLOOKUP(RIGHT(Data_Related_Activity[[#This Row],[related-activity]],5),Data_Main[],2,FALSE),0))</f>
        <v>41639</v>
      </c>
      <c r="E62" s="89" t="s">
        <v>136</v>
      </c>
      <c r="F62" s="89" t="s">
        <v>1117</v>
      </c>
      <c r="G62"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62" s="353" t="s">
        <v>1971</v>
      </c>
      <c r="I62" s="95">
        <f>VLOOKUP(E62,Table_related[],2,FALSE)</f>
        <v>3</v>
      </c>
      <c r="J62" s="279" t="b">
        <f ca="1">Data_Related_Activity[[#This Row],[meta-parent-ref]] = RIGHT(Data_Related_Activity[[#This Row],[related-activity]],5)</f>
        <v>0</v>
      </c>
    </row>
    <row r="63" spans="3:10">
      <c r="C63" s="354" t="s">
        <v>1915</v>
      </c>
      <c r="D63" s="340">
        <f ca="1">MAX(VLOOKUP(Data_Related_Activity[[#This Row],[meta-parent-ref]],Data_Main[],2,FALSE),IFERROR(VLOOKUP(RIGHT(Data_Related_Activity[[#This Row],[related-activity]],5),Data_Main[],2,FALSE),0))</f>
        <v>41639</v>
      </c>
      <c r="E63" s="89" t="s">
        <v>136</v>
      </c>
      <c r="F63" s="89" t="s">
        <v>1117</v>
      </c>
      <c r="G63"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63" s="353" t="s">
        <v>1972</v>
      </c>
      <c r="I63" s="95">
        <f>VLOOKUP(E63,Table_related[],2,FALSE)</f>
        <v>3</v>
      </c>
      <c r="J63" s="279" t="b">
        <f ca="1">Data_Related_Activity[[#This Row],[meta-parent-ref]] = RIGHT(Data_Related_Activity[[#This Row],[related-activity]],5)</f>
        <v>0</v>
      </c>
    </row>
    <row r="64" spans="3:10">
      <c r="C64" s="354" t="s">
        <v>1915</v>
      </c>
      <c r="D64" s="340">
        <f ca="1">MAX(VLOOKUP(Data_Related_Activity[[#This Row],[meta-parent-ref]],Data_Main[],2,FALSE),IFERROR(VLOOKUP(RIGHT(Data_Related_Activity[[#This Row],[related-activity]],5),Data_Main[],2,FALSE),0))</f>
        <v>41639</v>
      </c>
      <c r="E64" s="89" t="s">
        <v>136</v>
      </c>
      <c r="F64" s="89" t="s">
        <v>1117</v>
      </c>
      <c r="G64"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64" s="353" t="s">
        <v>1973</v>
      </c>
      <c r="I64" s="95">
        <f>VLOOKUP(E64,Table_related[],2,FALSE)</f>
        <v>3</v>
      </c>
      <c r="J64" s="279" t="b">
        <f ca="1">Data_Related_Activity[[#This Row],[meta-parent-ref]] = RIGHT(Data_Related_Activity[[#This Row],[related-activity]],5)</f>
        <v>0</v>
      </c>
    </row>
    <row r="65" spans="1:10">
      <c r="C65" s="354" t="s">
        <v>1915</v>
      </c>
      <c r="D65" s="340">
        <f ca="1">MAX(VLOOKUP(Data_Related_Activity[[#This Row],[meta-parent-ref]],Data_Main[],2,FALSE),IFERROR(VLOOKUP(RIGHT(Data_Related_Activity[[#This Row],[related-activity]],5),Data_Main[],2,FALSE),0))</f>
        <v>41639</v>
      </c>
      <c r="E65" s="89" t="s">
        <v>136</v>
      </c>
      <c r="F65" s="89" t="s">
        <v>1117</v>
      </c>
      <c r="G65"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65" s="353" t="s">
        <v>1974</v>
      </c>
      <c r="I65" s="95">
        <f>VLOOKUP(E65,Table_related[],2,FALSE)</f>
        <v>3</v>
      </c>
      <c r="J65" s="279" t="b">
        <f ca="1">Data_Related_Activity[[#This Row],[meta-parent-ref]] = RIGHT(Data_Related_Activity[[#This Row],[related-activity]],5)</f>
        <v>0</v>
      </c>
    </row>
    <row r="66" spans="1:10">
      <c r="C66" s="238" t="s">
        <v>1916</v>
      </c>
      <c r="D66" s="340">
        <f ca="1">MAX(VLOOKUP(Data_Related_Activity[[#This Row],[meta-parent-ref]],Data_Main[],2,FALSE),IFERROR(VLOOKUP(RIGHT(Data_Related_Activity[[#This Row],[related-activity]],5),Data_Main[],2,FALSE),0))</f>
        <v>41639</v>
      </c>
      <c r="E66" s="215" t="s">
        <v>132</v>
      </c>
      <c r="F66" s="215" t="s">
        <v>1118</v>
      </c>
      <c r="G66" s="79" t="str">
        <f ca="1">INDEX(INDIRECT(VLOOKUP(Data_Related_Activity[[#This Row],[meta-published-this-file]],Name_Table_In_File,3,FALSE)),MATCH(Data_Related_Activity[[#This Row],[related-activity@ref]],INDIRECT(VLOOKUP(Data_Related_Activity[[#This Row],[meta-published-this-file]],Name_Table_In_File,2,FALSE)),0))</f>
        <v>WaterAid Uganda</v>
      </c>
      <c r="H66" s="83" t="s">
        <v>1966</v>
      </c>
      <c r="I66" s="95">
        <f>VLOOKUP(E66,Table_related[],2,FALSE)</f>
        <v>1</v>
      </c>
      <c r="J66" s="279" t="b">
        <f ca="1">Data_Related_Activity[[#This Row],[meta-parent-ref]] = RIGHT(Data_Related_Activity[[#This Row],[related-activity]],5)</f>
        <v>0</v>
      </c>
    </row>
    <row r="67" spans="1:10">
      <c r="C67" s="354" t="s">
        <v>1916</v>
      </c>
      <c r="D67" s="340">
        <f ca="1">MAX(VLOOKUP(Data_Related_Activity[[#This Row],[meta-parent-ref]],Data_Main[],2,FALSE),IFERROR(VLOOKUP(RIGHT(Data_Related_Activity[[#This Row],[related-activity]],5),Data_Main[],2,FALSE),0))</f>
        <v>41639</v>
      </c>
      <c r="E67" s="89" t="s">
        <v>136</v>
      </c>
      <c r="F67" s="89" t="s">
        <v>1117</v>
      </c>
      <c r="G67"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67" s="353" t="s">
        <v>1967</v>
      </c>
      <c r="I67" s="95">
        <f>VLOOKUP(E67,Table_related[],2,FALSE)</f>
        <v>3</v>
      </c>
      <c r="J67" s="279" t="b">
        <f ca="1">Data_Related_Activity[[#This Row],[meta-parent-ref]] = RIGHT(Data_Related_Activity[[#This Row],[related-activity]],5)</f>
        <v>0</v>
      </c>
    </row>
    <row r="68" spans="1:10">
      <c r="C68" s="354" t="s">
        <v>1916</v>
      </c>
      <c r="D68" s="340">
        <f ca="1">MAX(VLOOKUP(Data_Related_Activity[[#This Row],[meta-parent-ref]],Data_Main[],2,FALSE),IFERROR(VLOOKUP(RIGHT(Data_Related_Activity[[#This Row],[related-activity]],5),Data_Main[],2,FALSE),0))</f>
        <v>41639</v>
      </c>
      <c r="E68" s="89" t="s">
        <v>136</v>
      </c>
      <c r="F68" s="89" t="s">
        <v>1117</v>
      </c>
      <c r="G68"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68" s="353" t="s">
        <v>1968</v>
      </c>
      <c r="I68" s="95">
        <f>VLOOKUP(E68,Table_related[],2,FALSE)</f>
        <v>3</v>
      </c>
      <c r="J68" s="279" t="b">
        <f ca="1">Data_Related_Activity[[#This Row],[meta-parent-ref]] = RIGHT(Data_Related_Activity[[#This Row],[related-activity]],5)</f>
        <v>0</v>
      </c>
    </row>
    <row r="69" spans="1:10">
      <c r="C69" s="354" t="s">
        <v>1916</v>
      </c>
      <c r="D69" s="340">
        <f ca="1">MAX(VLOOKUP(Data_Related_Activity[[#This Row],[meta-parent-ref]],Data_Main[],2,FALSE),IFERROR(VLOOKUP(RIGHT(Data_Related_Activity[[#This Row],[related-activity]],5),Data_Main[],2,FALSE),0))</f>
        <v>41639</v>
      </c>
      <c r="E69" s="89" t="s">
        <v>136</v>
      </c>
      <c r="F69" s="89" t="s">
        <v>1117</v>
      </c>
      <c r="G69"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69" s="353" t="s">
        <v>1969</v>
      </c>
      <c r="I69" s="95">
        <f>VLOOKUP(E69,Table_related[],2,FALSE)</f>
        <v>3</v>
      </c>
      <c r="J69" s="279" t="b">
        <f ca="1">Data_Related_Activity[[#This Row],[meta-parent-ref]] = RIGHT(Data_Related_Activity[[#This Row],[related-activity]],5)</f>
        <v>0</v>
      </c>
    </row>
    <row r="70" spans="1:10">
      <c r="C70" s="354" t="s">
        <v>1916</v>
      </c>
      <c r="D70" s="340">
        <f ca="1">MAX(VLOOKUP(Data_Related_Activity[[#This Row],[meta-parent-ref]],Data_Main[],2,FALSE),IFERROR(VLOOKUP(RIGHT(Data_Related_Activity[[#This Row],[related-activity]],5),Data_Main[],2,FALSE),0))</f>
        <v>41639</v>
      </c>
      <c r="E70" s="89" t="s">
        <v>136</v>
      </c>
      <c r="F70" s="89" t="s">
        <v>1117</v>
      </c>
      <c r="G70"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70" s="353" t="s">
        <v>1970</v>
      </c>
      <c r="I70" s="95">
        <f>VLOOKUP(E70,Table_related[],2,FALSE)</f>
        <v>3</v>
      </c>
      <c r="J70" s="279" t="b">
        <f ca="1">Data_Related_Activity[[#This Row],[meta-parent-ref]] = RIGHT(Data_Related_Activity[[#This Row],[related-activity]],5)</f>
        <v>0</v>
      </c>
    </row>
    <row r="71" spans="1:10">
      <c r="C71" s="354" t="s">
        <v>1916</v>
      </c>
      <c r="D71" s="340">
        <f ca="1">MAX(VLOOKUP(Data_Related_Activity[[#This Row],[meta-parent-ref]],Data_Main[],2,FALSE),IFERROR(VLOOKUP(RIGHT(Data_Related_Activity[[#This Row],[related-activity]],5),Data_Main[],2,FALSE),0))</f>
        <v>41639</v>
      </c>
      <c r="E71" s="89" t="s">
        <v>136</v>
      </c>
      <c r="F71" s="89" t="s">
        <v>1117</v>
      </c>
      <c r="G71"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71" s="353" t="s">
        <v>1971</v>
      </c>
      <c r="I71" s="95">
        <f>VLOOKUP(E71,Table_related[],2,FALSE)</f>
        <v>3</v>
      </c>
      <c r="J71" s="279" t="b">
        <f ca="1">Data_Related_Activity[[#This Row],[meta-parent-ref]] = RIGHT(Data_Related_Activity[[#This Row],[related-activity]],5)</f>
        <v>0</v>
      </c>
    </row>
    <row r="72" spans="1:10">
      <c r="C72" s="354" t="s">
        <v>1916</v>
      </c>
      <c r="D72" s="340">
        <f ca="1">MAX(VLOOKUP(Data_Related_Activity[[#This Row],[meta-parent-ref]],Data_Main[],2,FALSE),IFERROR(VLOOKUP(RIGHT(Data_Related_Activity[[#This Row],[related-activity]],5),Data_Main[],2,FALSE),0))</f>
        <v>41639</v>
      </c>
      <c r="E72" s="89" t="s">
        <v>136</v>
      </c>
      <c r="F72" s="89" t="s">
        <v>1117</v>
      </c>
      <c r="G72"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72" s="353" t="s">
        <v>1972</v>
      </c>
      <c r="I72" s="95">
        <f>VLOOKUP(E72,Table_related[],2,FALSE)</f>
        <v>3</v>
      </c>
      <c r="J72" s="279" t="b">
        <f ca="1">Data_Related_Activity[[#This Row],[meta-parent-ref]] = RIGHT(Data_Related_Activity[[#This Row],[related-activity]],5)</f>
        <v>0</v>
      </c>
    </row>
    <row r="73" spans="1:10">
      <c r="C73" s="354" t="s">
        <v>1916</v>
      </c>
      <c r="D73" s="340">
        <f ca="1">MAX(VLOOKUP(Data_Related_Activity[[#This Row],[meta-parent-ref]],Data_Main[],2,FALSE),IFERROR(VLOOKUP(RIGHT(Data_Related_Activity[[#This Row],[related-activity]],5),Data_Main[],2,FALSE),0))</f>
        <v>41639</v>
      </c>
      <c r="E73" s="89" t="s">
        <v>136</v>
      </c>
      <c r="F73" s="89" t="s">
        <v>1117</v>
      </c>
      <c r="G73"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73" s="353" t="s">
        <v>1973</v>
      </c>
      <c r="I73" s="95">
        <f>VLOOKUP(E73,Table_related[],2,FALSE)</f>
        <v>3</v>
      </c>
      <c r="J73" s="279" t="b">
        <f ca="1">Data_Related_Activity[[#This Row],[meta-parent-ref]] = RIGHT(Data_Related_Activity[[#This Row],[related-activity]],5)</f>
        <v>0</v>
      </c>
    </row>
    <row r="74" spans="1:10">
      <c r="C74" s="354" t="s">
        <v>1916</v>
      </c>
      <c r="D74" s="340">
        <f ca="1">MAX(VLOOKUP(Data_Related_Activity[[#This Row],[meta-parent-ref]],Data_Main[],2,FALSE),IFERROR(VLOOKUP(RIGHT(Data_Related_Activity[[#This Row],[related-activity]],5),Data_Main[],2,FALSE),0))</f>
        <v>41639</v>
      </c>
      <c r="E74" s="89" t="s">
        <v>136</v>
      </c>
      <c r="F74" s="89" t="s">
        <v>1117</v>
      </c>
      <c r="G74"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74" s="353" t="s">
        <v>1974</v>
      </c>
      <c r="I74" s="95">
        <f>VLOOKUP(E74,Table_related[],2,FALSE)</f>
        <v>3</v>
      </c>
      <c r="J74" s="279" t="b">
        <f ca="1">Data_Related_Activity[[#This Row],[meta-parent-ref]] = RIGHT(Data_Related_Activity[[#This Row],[related-activity]],5)</f>
        <v>0</v>
      </c>
    </row>
    <row r="75" spans="1:10">
      <c r="C75" s="238" t="s">
        <v>1917</v>
      </c>
      <c r="D75" s="340">
        <f ca="1">MAX(VLOOKUP(Data_Related_Activity[[#This Row],[meta-parent-ref]],Data_Main[],2,FALSE),IFERROR(VLOOKUP(RIGHT(Data_Related_Activity[[#This Row],[related-activity]],5),Data_Main[],2,FALSE),0))</f>
        <v>41639</v>
      </c>
      <c r="E75" s="215" t="s">
        <v>132</v>
      </c>
      <c r="F75" s="215" t="s">
        <v>1118</v>
      </c>
      <c r="G75" s="79" t="str">
        <f ca="1">INDEX(INDIRECT(VLOOKUP(Data_Related_Activity[[#This Row],[meta-published-this-file]],Name_Table_In_File,3,FALSE)),MATCH(Data_Related_Activity[[#This Row],[related-activity@ref]],INDIRECT(VLOOKUP(Data_Related_Activity[[#This Row],[meta-published-this-file]],Name_Table_In_File,2,FALSE)),0))</f>
        <v>WaterAid Uganda</v>
      </c>
      <c r="H75" s="83" t="s">
        <v>1966</v>
      </c>
      <c r="I75" s="95">
        <f>VLOOKUP(E75,Table_related[],2,FALSE)</f>
        <v>1</v>
      </c>
      <c r="J75" s="279" t="b">
        <f ca="1">Data_Related_Activity[[#This Row],[meta-parent-ref]] = RIGHT(Data_Related_Activity[[#This Row],[related-activity]],5)</f>
        <v>0</v>
      </c>
    </row>
    <row r="76" spans="1:10">
      <c r="C76" s="354" t="s">
        <v>1917</v>
      </c>
      <c r="D76" s="340">
        <f ca="1">MAX(VLOOKUP(Data_Related_Activity[[#This Row],[meta-parent-ref]],Data_Main[],2,FALSE),IFERROR(VLOOKUP(RIGHT(Data_Related_Activity[[#This Row],[related-activity]],5),Data_Main[],2,FALSE),0))</f>
        <v>41639</v>
      </c>
      <c r="E76" s="89" t="s">
        <v>136</v>
      </c>
      <c r="F76" s="89" t="s">
        <v>1117</v>
      </c>
      <c r="G76"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76" s="353" t="s">
        <v>1967</v>
      </c>
      <c r="I76" s="95">
        <f>VLOOKUP(E76,Table_related[],2,FALSE)</f>
        <v>3</v>
      </c>
      <c r="J76" s="279" t="b">
        <f ca="1">Data_Related_Activity[[#This Row],[meta-parent-ref]] = RIGHT(Data_Related_Activity[[#This Row],[related-activity]],5)</f>
        <v>0</v>
      </c>
    </row>
    <row r="77" spans="1:10">
      <c r="C77" s="354" t="s">
        <v>1917</v>
      </c>
      <c r="D77" s="340">
        <f ca="1">MAX(VLOOKUP(Data_Related_Activity[[#This Row],[meta-parent-ref]],Data_Main[],2,FALSE),IFERROR(VLOOKUP(RIGHT(Data_Related_Activity[[#This Row],[related-activity]],5),Data_Main[],2,FALSE),0))</f>
        <v>41639</v>
      </c>
      <c r="E77" s="89" t="s">
        <v>136</v>
      </c>
      <c r="F77" s="89" t="s">
        <v>1117</v>
      </c>
      <c r="G77"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77" s="353" t="s">
        <v>1968</v>
      </c>
      <c r="I77" s="95">
        <f>VLOOKUP(E77,Table_related[],2,FALSE)</f>
        <v>3</v>
      </c>
      <c r="J77" s="279" t="b">
        <f ca="1">Data_Related_Activity[[#This Row],[meta-parent-ref]] = RIGHT(Data_Related_Activity[[#This Row],[related-activity]],5)</f>
        <v>0</v>
      </c>
    </row>
    <row r="78" spans="1:10">
      <c r="C78" s="354" t="s">
        <v>1917</v>
      </c>
      <c r="D78" s="340">
        <f ca="1">MAX(VLOOKUP(Data_Related_Activity[[#This Row],[meta-parent-ref]],Data_Main[],2,FALSE),IFERROR(VLOOKUP(RIGHT(Data_Related_Activity[[#This Row],[related-activity]],5),Data_Main[],2,FALSE),0))</f>
        <v>41639</v>
      </c>
      <c r="E78" s="89" t="s">
        <v>136</v>
      </c>
      <c r="F78" s="89" t="s">
        <v>1117</v>
      </c>
      <c r="G78"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78" s="353" t="s">
        <v>1969</v>
      </c>
      <c r="I78" s="95">
        <f>VLOOKUP(E78,Table_related[],2,FALSE)</f>
        <v>3</v>
      </c>
      <c r="J78" s="279" t="b">
        <f ca="1">Data_Related_Activity[[#This Row],[meta-parent-ref]] = RIGHT(Data_Related_Activity[[#This Row],[related-activity]],5)</f>
        <v>0</v>
      </c>
    </row>
    <row r="79" spans="1:10">
      <c r="C79" s="354" t="s">
        <v>1917</v>
      </c>
      <c r="D79" s="340">
        <f ca="1">MAX(VLOOKUP(Data_Related_Activity[[#This Row],[meta-parent-ref]],Data_Main[],2,FALSE),IFERROR(VLOOKUP(RIGHT(Data_Related_Activity[[#This Row],[related-activity]],5),Data_Main[],2,FALSE),0))</f>
        <v>41639</v>
      </c>
      <c r="E79" s="89" t="s">
        <v>136</v>
      </c>
      <c r="F79" s="89" t="s">
        <v>1117</v>
      </c>
      <c r="G79"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79" s="353" t="s">
        <v>1970</v>
      </c>
      <c r="I79" s="95">
        <f>VLOOKUP(E79,Table_related[],2,FALSE)</f>
        <v>3</v>
      </c>
      <c r="J79" s="279" t="b">
        <f ca="1">Data_Related_Activity[[#This Row],[meta-parent-ref]] = RIGHT(Data_Related_Activity[[#This Row],[related-activity]],5)</f>
        <v>0</v>
      </c>
    </row>
    <row r="80" spans="1:10">
      <c r="A80" s="31"/>
      <c r="B80" s="31"/>
      <c r="C80" s="354" t="s">
        <v>1917</v>
      </c>
      <c r="D80" s="340">
        <f ca="1">MAX(VLOOKUP(Data_Related_Activity[[#This Row],[meta-parent-ref]],Data_Main[],2,FALSE),IFERROR(VLOOKUP(RIGHT(Data_Related_Activity[[#This Row],[related-activity]],5),Data_Main[],2,FALSE),0))</f>
        <v>41639</v>
      </c>
      <c r="E80" s="89" t="s">
        <v>136</v>
      </c>
      <c r="F80" s="89" t="s">
        <v>1117</v>
      </c>
      <c r="G80"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80" s="353" t="s">
        <v>1971</v>
      </c>
      <c r="I80" s="95">
        <f>VLOOKUP(E80,Table_related[],2,FALSE)</f>
        <v>3</v>
      </c>
      <c r="J80" s="279" t="b">
        <f ca="1">Data_Related_Activity[[#This Row],[meta-parent-ref]] = RIGHT(Data_Related_Activity[[#This Row],[related-activity]],5)</f>
        <v>0</v>
      </c>
    </row>
    <row r="81" spans="1:10">
      <c r="A81" s="31"/>
      <c r="B81" s="31"/>
      <c r="C81" s="354" t="s">
        <v>1917</v>
      </c>
      <c r="D81" s="340">
        <f ca="1">MAX(VLOOKUP(Data_Related_Activity[[#This Row],[meta-parent-ref]],Data_Main[],2,FALSE),IFERROR(VLOOKUP(RIGHT(Data_Related_Activity[[#This Row],[related-activity]],5),Data_Main[],2,FALSE),0))</f>
        <v>41639</v>
      </c>
      <c r="E81" s="89" t="s">
        <v>136</v>
      </c>
      <c r="F81" s="89" t="s">
        <v>1117</v>
      </c>
      <c r="G81"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81" s="353" t="s">
        <v>1972</v>
      </c>
      <c r="I81" s="95">
        <f>VLOOKUP(E81,Table_related[],2,FALSE)</f>
        <v>3</v>
      </c>
      <c r="J81" s="279" t="b">
        <f ca="1">Data_Related_Activity[[#This Row],[meta-parent-ref]] = RIGHT(Data_Related_Activity[[#This Row],[related-activity]],5)</f>
        <v>0</v>
      </c>
    </row>
    <row r="82" spans="1:10">
      <c r="A82" s="31"/>
      <c r="B82" s="31"/>
      <c r="C82" s="354" t="s">
        <v>1917</v>
      </c>
      <c r="D82" s="340">
        <f ca="1">MAX(VLOOKUP(Data_Related_Activity[[#This Row],[meta-parent-ref]],Data_Main[],2,FALSE),IFERROR(VLOOKUP(RIGHT(Data_Related_Activity[[#This Row],[related-activity]],5),Data_Main[],2,FALSE),0))</f>
        <v>41639</v>
      </c>
      <c r="E82" s="89" t="s">
        <v>136</v>
      </c>
      <c r="F82" s="89" t="s">
        <v>1117</v>
      </c>
      <c r="G82"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82" s="353" t="s">
        <v>1973</v>
      </c>
      <c r="I82" s="95">
        <f>VLOOKUP(E82,Table_related[],2,FALSE)</f>
        <v>3</v>
      </c>
      <c r="J82" s="279" t="b">
        <f ca="1">Data_Related_Activity[[#This Row],[meta-parent-ref]] = RIGHT(Data_Related_Activity[[#This Row],[related-activity]],5)</f>
        <v>0</v>
      </c>
    </row>
    <row r="83" spans="1:10">
      <c r="A83" s="31"/>
      <c r="B83" s="31"/>
      <c r="C83" s="354" t="s">
        <v>1917</v>
      </c>
      <c r="D83" s="340">
        <f ca="1">MAX(VLOOKUP(Data_Related_Activity[[#This Row],[meta-parent-ref]],Data_Main[],2,FALSE),IFERROR(VLOOKUP(RIGHT(Data_Related_Activity[[#This Row],[related-activity]],5),Data_Main[],2,FALSE),0))</f>
        <v>41639</v>
      </c>
      <c r="E83" s="89" t="s">
        <v>136</v>
      </c>
      <c r="F83" s="89" t="s">
        <v>1117</v>
      </c>
      <c r="G83"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83" s="353" t="s">
        <v>1974</v>
      </c>
      <c r="I83" s="95">
        <f>VLOOKUP(E83,Table_related[],2,FALSE)</f>
        <v>3</v>
      </c>
      <c r="J83" s="279" t="b">
        <f ca="1">Data_Related_Activity[[#This Row],[meta-parent-ref]] = RIGHT(Data_Related_Activity[[#This Row],[related-activity]],5)</f>
        <v>0</v>
      </c>
    </row>
    <row r="84" spans="1:10">
      <c r="A84" s="31"/>
      <c r="B84" s="31"/>
      <c r="C84" s="238" t="s">
        <v>1918</v>
      </c>
      <c r="D84" s="340" t="e">
        <f ca="1">MAX(VLOOKUP(Data_Related_Activity[[#This Row],[meta-parent-ref]],Data_Main[],2,FALSE),IFERROR(VLOOKUP(RIGHT(Data_Related_Activity[[#This Row],[related-activity]],5),Data_Main[],2,FALSE),0))</f>
        <v>#VALUE!</v>
      </c>
      <c r="E84" s="215" t="s">
        <v>132</v>
      </c>
      <c r="F84" s="215" t="s">
        <v>1118</v>
      </c>
      <c r="G84" s="79" t="str">
        <f ca="1">INDEX(INDIRECT(VLOOKUP(Data_Related_Activity[[#This Row],[meta-published-this-file]],Name_Table_In_File,3,FALSE)),MATCH(Data_Related_Activity[[#This Row],[related-activity@ref]],INDIRECT(VLOOKUP(Data_Related_Activity[[#This Row],[meta-published-this-file]],Name_Table_In_File,2,FALSE)),0))</f>
        <v>WaterAid Uganda</v>
      </c>
      <c r="H84" s="83" t="s">
        <v>1966</v>
      </c>
      <c r="I84" s="95">
        <f>VLOOKUP(E84,Table_related[],2,FALSE)</f>
        <v>1</v>
      </c>
      <c r="J84" s="279" t="b">
        <f ca="1">Data_Related_Activity[[#This Row],[meta-parent-ref]] = RIGHT(Data_Related_Activity[[#This Row],[related-activity]],5)</f>
        <v>0</v>
      </c>
    </row>
    <row r="85" spans="1:10">
      <c r="A85" s="31"/>
      <c r="B85" s="31"/>
      <c r="C85" s="354" t="s">
        <v>1918</v>
      </c>
      <c r="D85" s="313" t="e">
        <f ca="1">MAX(VLOOKUP(Data_Related_Activity[[#This Row],[meta-parent-ref]],Data_Main[],2,FALSE),IFERROR(VLOOKUP(RIGHT(Data_Related_Activity[[#This Row],[related-activity]],5),Data_Main[],2,FALSE),0))</f>
        <v>#VALUE!</v>
      </c>
      <c r="E85" s="89" t="s">
        <v>136</v>
      </c>
      <c r="F85" s="89" t="s">
        <v>1117</v>
      </c>
      <c r="G85"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85" s="353" t="s">
        <v>1967</v>
      </c>
      <c r="I85" s="95">
        <f>VLOOKUP(E85,Table_related[],2,FALSE)</f>
        <v>3</v>
      </c>
      <c r="J85" s="279" t="b">
        <f ca="1">Data_Related_Activity[[#This Row],[meta-parent-ref]] = RIGHT(Data_Related_Activity[[#This Row],[related-activity]],5)</f>
        <v>0</v>
      </c>
    </row>
    <row r="86" spans="1:10">
      <c r="A86" s="31"/>
      <c r="B86" s="31"/>
      <c r="C86" s="354" t="s">
        <v>1918</v>
      </c>
      <c r="D86" s="313" t="e">
        <f ca="1">MAX(VLOOKUP(Data_Related_Activity[[#This Row],[meta-parent-ref]],Data_Main[],2,FALSE),IFERROR(VLOOKUP(RIGHT(Data_Related_Activity[[#This Row],[related-activity]],5),Data_Main[],2,FALSE),0))</f>
        <v>#VALUE!</v>
      </c>
      <c r="E86" s="89" t="s">
        <v>136</v>
      </c>
      <c r="F86" s="89" t="s">
        <v>1117</v>
      </c>
      <c r="G86"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86" s="353" t="s">
        <v>1968</v>
      </c>
      <c r="I86" s="95">
        <f>VLOOKUP(E86,Table_related[],2,FALSE)</f>
        <v>3</v>
      </c>
      <c r="J86" s="279" t="b">
        <f ca="1">Data_Related_Activity[[#This Row],[meta-parent-ref]] = RIGHT(Data_Related_Activity[[#This Row],[related-activity]],5)</f>
        <v>0</v>
      </c>
    </row>
    <row r="87" spans="1:10">
      <c r="C87" s="354" t="s">
        <v>1918</v>
      </c>
      <c r="D87" s="313" t="e">
        <f ca="1">MAX(VLOOKUP(Data_Related_Activity[[#This Row],[meta-parent-ref]],Data_Main[],2,FALSE),IFERROR(VLOOKUP(RIGHT(Data_Related_Activity[[#This Row],[related-activity]],5),Data_Main[],2,FALSE),0))</f>
        <v>#VALUE!</v>
      </c>
      <c r="E87" s="89" t="s">
        <v>136</v>
      </c>
      <c r="F87" s="89" t="s">
        <v>1117</v>
      </c>
      <c r="G87"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87" s="353" t="s">
        <v>1969</v>
      </c>
      <c r="I87" s="95">
        <f>VLOOKUP(E87,Table_related[],2,FALSE)</f>
        <v>3</v>
      </c>
      <c r="J87" s="279" t="b">
        <f ca="1">Data_Related_Activity[[#This Row],[meta-parent-ref]] = RIGHT(Data_Related_Activity[[#This Row],[related-activity]],5)</f>
        <v>0</v>
      </c>
    </row>
    <row r="88" spans="1:10">
      <c r="C88" s="354" t="s">
        <v>1918</v>
      </c>
      <c r="D88" s="313" t="e">
        <f ca="1">MAX(VLOOKUP(Data_Related_Activity[[#This Row],[meta-parent-ref]],Data_Main[],2,FALSE),IFERROR(VLOOKUP(RIGHT(Data_Related_Activity[[#This Row],[related-activity]],5),Data_Main[],2,FALSE),0))</f>
        <v>#VALUE!</v>
      </c>
      <c r="E88" s="89" t="s">
        <v>136</v>
      </c>
      <c r="F88" s="89" t="s">
        <v>1117</v>
      </c>
      <c r="G88"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88" s="353" t="s">
        <v>1970</v>
      </c>
      <c r="I88" s="95">
        <f>VLOOKUP(E88,Table_related[],2,FALSE)</f>
        <v>3</v>
      </c>
      <c r="J88" s="279" t="b">
        <f ca="1">Data_Related_Activity[[#This Row],[meta-parent-ref]] = RIGHT(Data_Related_Activity[[#This Row],[related-activity]],5)</f>
        <v>0</v>
      </c>
    </row>
    <row r="89" spans="1:10">
      <c r="C89" s="354" t="s">
        <v>1918</v>
      </c>
      <c r="D89" s="313" t="e">
        <f ca="1">MAX(VLOOKUP(Data_Related_Activity[[#This Row],[meta-parent-ref]],Data_Main[],2,FALSE),IFERROR(VLOOKUP(RIGHT(Data_Related_Activity[[#This Row],[related-activity]],5),Data_Main[],2,FALSE),0))</f>
        <v>#VALUE!</v>
      </c>
      <c r="E89" s="89" t="s">
        <v>136</v>
      </c>
      <c r="F89" s="89" t="s">
        <v>1117</v>
      </c>
      <c r="G89"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89" s="353" t="s">
        <v>1971</v>
      </c>
      <c r="I89" s="95">
        <f>VLOOKUP(E89,Table_related[],2,FALSE)</f>
        <v>3</v>
      </c>
      <c r="J89" s="279" t="b">
        <f ca="1">Data_Related_Activity[[#This Row],[meta-parent-ref]] = RIGHT(Data_Related_Activity[[#This Row],[related-activity]],5)</f>
        <v>0</v>
      </c>
    </row>
    <row r="90" spans="1:10">
      <c r="C90" s="354" t="s">
        <v>1918</v>
      </c>
      <c r="D90" s="313" t="e">
        <f ca="1">MAX(VLOOKUP(Data_Related_Activity[[#This Row],[meta-parent-ref]],Data_Main[],2,FALSE),IFERROR(VLOOKUP(RIGHT(Data_Related_Activity[[#This Row],[related-activity]],5),Data_Main[],2,FALSE),0))</f>
        <v>#VALUE!</v>
      </c>
      <c r="E90" s="89" t="s">
        <v>136</v>
      </c>
      <c r="F90" s="89" t="s">
        <v>1117</v>
      </c>
      <c r="G90"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90" s="353" t="s">
        <v>1972</v>
      </c>
      <c r="I90" s="95">
        <f>VLOOKUP(E90,Table_related[],2,FALSE)</f>
        <v>3</v>
      </c>
      <c r="J90" s="279" t="b">
        <f ca="1">Data_Related_Activity[[#This Row],[meta-parent-ref]] = RIGHT(Data_Related_Activity[[#This Row],[related-activity]],5)</f>
        <v>0</v>
      </c>
    </row>
    <row r="91" spans="1:10">
      <c r="C91" s="354" t="s">
        <v>1918</v>
      </c>
      <c r="D91" s="313" t="e">
        <f ca="1">MAX(VLOOKUP(Data_Related_Activity[[#This Row],[meta-parent-ref]],Data_Main[],2,FALSE),IFERROR(VLOOKUP(RIGHT(Data_Related_Activity[[#This Row],[related-activity]],5),Data_Main[],2,FALSE),0))</f>
        <v>#VALUE!</v>
      </c>
      <c r="E91" s="89" t="s">
        <v>136</v>
      </c>
      <c r="F91" s="89" t="s">
        <v>1117</v>
      </c>
      <c r="G91"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91" s="353" t="s">
        <v>1973</v>
      </c>
      <c r="I91" s="95">
        <f>VLOOKUP(E91,Table_related[],2,FALSE)</f>
        <v>3</v>
      </c>
      <c r="J91" s="279" t="b">
        <f ca="1">Data_Related_Activity[[#This Row],[meta-parent-ref]] = RIGHT(Data_Related_Activity[[#This Row],[related-activity]],5)</f>
        <v>0</v>
      </c>
    </row>
    <row r="92" spans="1:10">
      <c r="C92" s="354" t="s">
        <v>1918</v>
      </c>
      <c r="D92" s="313" t="e">
        <f ca="1">MAX(VLOOKUP(Data_Related_Activity[[#This Row],[meta-parent-ref]],Data_Main[],2,FALSE),IFERROR(VLOOKUP(RIGHT(Data_Related_Activity[[#This Row],[related-activity]],5),Data_Main[],2,FALSE),0))</f>
        <v>#VALUE!</v>
      </c>
      <c r="E92" s="89" t="s">
        <v>136</v>
      </c>
      <c r="F92" s="89" t="s">
        <v>1117</v>
      </c>
      <c r="G92"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92" s="353" t="s">
        <v>1974</v>
      </c>
      <c r="I92" s="95">
        <f>VLOOKUP(E92,Table_related[],2,FALSE)</f>
        <v>3</v>
      </c>
      <c r="J92" s="279" t="b">
        <f ca="1">Data_Related_Activity[[#This Row],[meta-parent-ref]] = RIGHT(Data_Related_Activity[[#This Row],[related-activity]],5)</f>
        <v>0</v>
      </c>
    </row>
  </sheetData>
  <dataConsolidate/>
  <mergeCells count="20">
    <mergeCell ref="D10:G10"/>
    <mergeCell ref="D11:G11"/>
    <mergeCell ref="D12:G12"/>
    <mergeCell ref="A20:B20"/>
    <mergeCell ref="A1:B1"/>
    <mergeCell ref="A17:B17"/>
    <mergeCell ref="A18:B18"/>
    <mergeCell ref="A19:B19"/>
    <mergeCell ref="B8:G8"/>
    <mergeCell ref="C5:G5"/>
    <mergeCell ref="C6:G6"/>
    <mergeCell ref="B4:G4"/>
    <mergeCell ref="G18:I18"/>
    <mergeCell ref="C18:F18"/>
    <mergeCell ref="B2:J2"/>
    <mergeCell ref="B9:C9"/>
    <mergeCell ref="B10:C10"/>
    <mergeCell ref="B11:C11"/>
    <mergeCell ref="B12:C12"/>
    <mergeCell ref="D9:G9"/>
  </mergeCells>
  <dataValidations count="3">
    <dataValidation type="list" allowBlank="1" showInputMessage="1" showErrorMessage="1" sqref="H21:H92">
      <formula1>INDIRECT(VLOOKUP(#REF!,Name_Table_In_File,2,FALSE))</formula1>
    </dataValidation>
    <dataValidation type="list" allowBlank="1" showInputMessage="1" showErrorMessage="1" sqref="E21:E92">
      <formula1>List_Related</formula1>
    </dataValidation>
    <dataValidation type="list" allowBlank="1" showInputMessage="1" showErrorMessage="1" sqref="F21:F92">
      <formula1>List_In_File</formula1>
    </dataValidation>
  </dataValidations>
  <hyperlinks>
    <hyperlink ref="H20" r:id="rId1"/>
    <hyperlink ref="I20" r:id="rId2"/>
  </hyperlinks>
  <pageMargins left="0.17205882352941176" right="0.14926470588235294" top="0.1588235294117647" bottom="0.17058823529411765" header="0.3" footer="0.3"/>
  <pageSetup paperSize="9" scale="58" fitToHeight="0" orientation="portrait"/>
  <legacyDrawing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Codelists"/>
  <dimension ref="A1:BA250"/>
  <sheetViews>
    <sheetView workbookViewId="0"/>
  </sheetViews>
  <sheetFormatPr defaultRowHeight="15"/>
  <cols>
    <col min="2" max="2" width="18.85546875" customWidth="1"/>
    <col min="4" max="4" width="9.140625" style="250"/>
    <col min="5" max="5" width="12.28515625" style="250" customWidth="1"/>
    <col min="6" max="6" width="9.140625" style="250"/>
    <col min="9" max="9" width="41" customWidth="1"/>
    <col min="10" max="10" width="16.42578125" style="36" customWidth="1"/>
    <col min="11" max="11" width="11" style="36" customWidth="1"/>
    <col min="12" max="12" width="29.5703125" style="36" customWidth="1"/>
    <col min="13" max="13" width="9.7109375" style="36" customWidth="1"/>
    <col min="15" max="15" width="18.28515625" customWidth="1"/>
    <col min="16" max="16" width="6.28515625" customWidth="1"/>
    <col min="18" max="18" width="18.140625" customWidth="1"/>
    <col min="19" max="19" width="6.5703125" customWidth="1"/>
    <col min="20" max="20" width="19.42578125" customWidth="1"/>
    <col min="21" max="21" width="19.140625" style="35" customWidth="1"/>
    <col min="22" max="22" width="7.140625" customWidth="1"/>
    <col min="24" max="24" width="16.5703125" customWidth="1"/>
    <col min="25" max="25" width="15.28515625" customWidth="1"/>
    <col min="27" max="27" width="68.28515625" customWidth="1"/>
    <col min="28" max="28" width="7.140625" customWidth="1"/>
    <col min="30" max="30" width="52.7109375" customWidth="1"/>
    <col min="33" max="33" width="12.5703125" customWidth="1"/>
    <col min="36" max="36" width="19.42578125" customWidth="1"/>
    <col min="38" max="38" width="11.28515625" customWidth="1"/>
    <col min="39" max="39" width="5.85546875" customWidth="1"/>
    <col min="41" max="41" width="20" customWidth="1"/>
    <col min="43" max="43" width="8.5703125" customWidth="1"/>
    <col min="45" max="45" width="15.28515625" customWidth="1"/>
    <col min="47" max="47" width="12.85546875" customWidth="1"/>
    <col min="49" max="49" width="12.28515625" customWidth="1"/>
    <col min="50" max="50" width="18.7109375" customWidth="1"/>
    <col min="51" max="51" width="18.7109375" style="36" customWidth="1"/>
    <col min="52" max="52" width="20.28515625" customWidth="1"/>
    <col min="57" max="57" width="13.28515625" customWidth="1"/>
    <col min="58" max="58" width="17.85546875" customWidth="1"/>
    <col min="59" max="59" width="19" customWidth="1"/>
  </cols>
  <sheetData>
    <row r="1" spans="1:53" ht="15.75" thickBot="1">
      <c r="E1" s="403"/>
      <c r="G1" s="36"/>
      <c r="H1" s="36"/>
      <c r="I1" s="36"/>
      <c r="L1"/>
    </row>
    <row r="2" spans="1:53" ht="51.75" thickBot="1">
      <c r="A2" s="40" t="s">
        <v>720</v>
      </c>
      <c r="B2" s="36" t="s">
        <v>0</v>
      </c>
      <c r="C2" s="36" t="s">
        <v>52</v>
      </c>
      <c r="D2" s="39" t="s">
        <v>1889</v>
      </c>
      <c r="E2" s="250" t="s">
        <v>1528</v>
      </c>
      <c r="F2" s="250" t="s">
        <v>52</v>
      </c>
      <c r="G2" s="39" t="s">
        <v>991</v>
      </c>
      <c r="H2" s="21" t="s">
        <v>52</v>
      </c>
      <c r="I2" s="21" t="s">
        <v>1009</v>
      </c>
      <c r="J2" s="21" t="s">
        <v>1010</v>
      </c>
      <c r="K2" s="47" t="s">
        <v>985</v>
      </c>
      <c r="L2" s="36" t="s">
        <v>992</v>
      </c>
      <c r="M2" s="36" t="s">
        <v>986</v>
      </c>
      <c r="N2" s="47" t="s">
        <v>985</v>
      </c>
      <c r="O2" s="36" t="s">
        <v>98</v>
      </c>
      <c r="P2" s="36" t="s">
        <v>52</v>
      </c>
      <c r="Q2" s="39" t="s">
        <v>991</v>
      </c>
      <c r="R2" s="52" t="s">
        <v>27</v>
      </c>
      <c r="S2" s="48" t="s">
        <v>52</v>
      </c>
      <c r="T2" s="35" t="s">
        <v>1011</v>
      </c>
      <c r="U2" s="35" t="s">
        <v>1012</v>
      </c>
      <c r="V2" s="36" t="s">
        <v>52</v>
      </c>
      <c r="W2" s="37" t="s">
        <v>143</v>
      </c>
      <c r="X2" s="36" t="s">
        <v>104</v>
      </c>
      <c r="Y2" s="36" t="s">
        <v>52</v>
      </c>
      <c r="Z2" s="35" t="s">
        <v>985</v>
      </c>
      <c r="AA2" s="36" t="s">
        <v>1066</v>
      </c>
      <c r="AB2" s="36" t="s">
        <v>52</v>
      </c>
      <c r="AC2" s="39" t="s">
        <v>985</v>
      </c>
      <c r="AD2" s="53" t="s">
        <v>1105</v>
      </c>
      <c r="AE2" s="36" t="s">
        <v>52</v>
      </c>
      <c r="AF2" s="32" t="s">
        <v>985</v>
      </c>
      <c r="AG2" s="45" t="s">
        <v>1111</v>
      </c>
      <c r="AH2" s="36" t="s">
        <v>52</v>
      </c>
      <c r="AI2" s="35" t="s">
        <v>991</v>
      </c>
      <c r="AJ2" s="57" t="s">
        <v>1114</v>
      </c>
      <c r="AK2" s="47" t="s">
        <v>991</v>
      </c>
      <c r="AL2" s="45" t="s">
        <v>131</v>
      </c>
      <c r="AM2" s="36" t="s">
        <v>52</v>
      </c>
      <c r="AN2" s="47" t="s">
        <v>991</v>
      </c>
      <c r="AO2" s="45" t="s">
        <v>12</v>
      </c>
      <c r="AP2" s="36" t="s">
        <v>52</v>
      </c>
      <c r="AQ2" s="47" t="s">
        <v>991</v>
      </c>
      <c r="AR2" s="36" t="s">
        <v>52</v>
      </c>
      <c r="AS2" s="69" t="s">
        <v>1164</v>
      </c>
      <c r="AT2" s="74" t="s">
        <v>991</v>
      </c>
      <c r="AU2" s="57" t="s">
        <v>1169</v>
      </c>
      <c r="AV2" s="35" t="s">
        <v>1431</v>
      </c>
      <c r="AW2" s="35" t="s">
        <v>1116</v>
      </c>
      <c r="AX2" s="35" t="s">
        <v>1151</v>
      </c>
      <c r="AY2" s="35" t="s">
        <v>1152</v>
      </c>
      <c r="AZ2" s="91"/>
      <c r="BA2" s="91"/>
    </row>
    <row r="3" spans="1:53" ht="26.25">
      <c r="B3" s="39" t="s">
        <v>1201</v>
      </c>
      <c r="C3" s="39" t="s">
        <v>719</v>
      </c>
      <c r="D3" s="39"/>
      <c r="E3" s="254" t="s">
        <v>1531</v>
      </c>
      <c r="F3" s="254" t="s">
        <v>1530</v>
      </c>
      <c r="G3" s="38"/>
      <c r="H3" s="14" t="s">
        <v>122</v>
      </c>
      <c r="I3" s="14" t="s">
        <v>998</v>
      </c>
      <c r="J3" s="56" t="s">
        <v>993</v>
      </c>
      <c r="K3" s="38"/>
      <c r="L3" s="42" t="s">
        <v>723</v>
      </c>
      <c r="M3" s="41">
        <v>110</v>
      </c>
      <c r="N3" s="36"/>
      <c r="O3" s="28" t="s">
        <v>979</v>
      </c>
      <c r="P3" s="33">
        <v>10</v>
      </c>
      <c r="R3" s="50" t="s">
        <v>987</v>
      </c>
      <c r="S3" s="51">
        <v>1</v>
      </c>
      <c r="U3" s="35" t="s">
        <v>77</v>
      </c>
      <c r="V3" s="58">
        <v>10</v>
      </c>
      <c r="X3" s="38" t="s">
        <v>145</v>
      </c>
      <c r="Y3" s="38" t="s">
        <v>144</v>
      </c>
      <c r="AA3" s="42" t="s">
        <v>1013</v>
      </c>
      <c r="AB3" s="62">
        <v>100</v>
      </c>
      <c r="AD3" s="42" t="s">
        <v>1068</v>
      </c>
      <c r="AE3" s="42" t="s">
        <v>1067</v>
      </c>
      <c r="AG3" s="27" t="s">
        <v>1109</v>
      </c>
      <c r="AH3" s="29">
        <v>3</v>
      </c>
      <c r="AJ3" s="32" t="s">
        <v>76</v>
      </c>
      <c r="AL3" s="27" t="s">
        <v>132</v>
      </c>
      <c r="AM3" s="29">
        <v>1</v>
      </c>
      <c r="AO3" s="27" t="s">
        <v>106</v>
      </c>
      <c r="AP3" s="63" t="s">
        <v>105</v>
      </c>
      <c r="AR3" s="70">
        <v>1</v>
      </c>
      <c r="AS3" s="50" t="s">
        <v>1158</v>
      </c>
      <c r="AU3" s="75" t="s">
        <v>1167</v>
      </c>
      <c r="AW3" s="36" t="s">
        <v>1117</v>
      </c>
      <c r="AX3" s="36" t="s">
        <v>1120</v>
      </c>
      <c r="AY3" s="36" t="s">
        <v>1121</v>
      </c>
    </row>
    <row r="4" spans="1:53" ht="26.25">
      <c r="B4" s="39" t="s">
        <v>1202</v>
      </c>
      <c r="C4" s="39" t="s">
        <v>718</v>
      </c>
      <c r="D4" s="39"/>
      <c r="E4" s="254" t="s">
        <v>1533</v>
      </c>
      <c r="F4" s="254" t="s">
        <v>1532</v>
      </c>
      <c r="G4" s="38"/>
      <c r="H4" s="14"/>
      <c r="I4" s="14"/>
      <c r="J4" s="56"/>
      <c r="K4" s="38"/>
      <c r="L4" s="44" t="s">
        <v>724</v>
      </c>
      <c r="M4" s="43">
        <v>111</v>
      </c>
      <c r="N4" s="36"/>
      <c r="O4" s="28" t="s">
        <v>980</v>
      </c>
      <c r="P4" s="33">
        <v>20</v>
      </c>
      <c r="R4" s="50" t="s">
        <v>124</v>
      </c>
      <c r="S4" s="51">
        <v>2</v>
      </c>
      <c r="U4" s="35" t="s">
        <v>78</v>
      </c>
      <c r="V4" s="59">
        <v>15</v>
      </c>
      <c r="X4" s="38" t="s">
        <v>147</v>
      </c>
      <c r="Y4" s="38" t="s">
        <v>146</v>
      </c>
      <c r="AA4" s="35" t="s">
        <v>91</v>
      </c>
      <c r="AB4" s="43">
        <v>110</v>
      </c>
      <c r="AD4" s="44" t="s">
        <v>924</v>
      </c>
      <c r="AE4" s="44" t="s">
        <v>1069</v>
      </c>
      <c r="AG4" s="28" t="s">
        <v>1110</v>
      </c>
      <c r="AH4" s="29">
        <v>4</v>
      </c>
      <c r="AJ4" s="32" t="s">
        <v>1112</v>
      </c>
      <c r="AL4" s="28" t="s">
        <v>134</v>
      </c>
      <c r="AM4" s="29">
        <v>2</v>
      </c>
      <c r="AO4" s="28" t="s">
        <v>107</v>
      </c>
      <c r="AP4" s="64" t="s">
        <v>1083</v>
      </c>
      <c r="AR4" s="70">
        <v>2</v>
      </c>
      <c r="AS4" s="50" t="s">
        <v>1159</v>
      </c>
      <c r="AU4" s="75" t="s">
        <v>1166</v>
      </c>
      <c r="AW4" s="36" t="s">
        <v>1118</v>
      </c>
      <c r="AX4" s="36" t="s">
        <v>1119</v>
      </c>
      <c r="AY4" s="36" t="s">
        <v>1122</v>
      </c>
    </row>
    <row r="5" spans="1:53" ht="26.25">
      <c r="B5" s="39" t="s">
        <v>1203</v>
      </c>
      <c r="C5" s="39" t="s">
        <v>717</v>
      </c>
      <c r="D5" s="39"/>
      <c r="E5" s="254" t="s">
        <v>1535</v>
      </c>
      <c r="F5" s="254" t="s">
        <v>1534</v>
      </c>
      <c r="G5" s="38"/>
      <c r="H5" s="36" t="s">
        <v>1008</v>
      </c>
      <c r="I5" s="36"/>
      <c r="J5" s="38"/>
      <c r="K5" s="38"/>
      <c r="L5" s="44" t="s">
        <v>725</v>
      </c>
      <c r="M5" s="43">
        <v>11110</v>
      </c>
      <c r="N5" s="36"/>
      <c r="O5" s="28" t="s">
        <v>981</v>
      </c>
      <c r="P5" s="33">
        <v>30</v>
      </c>
      <c r="R5" s="50" t="s">
        <v>988</v>
      </c>
      <c r="S5" s="51">
        <v>3</v>
      </c>
      <c r="U5" s="35" t="s">
        <v>79</v>
      </c>
      <c r="V5" s="60">
        <v>21</v>
      </c>
      <c r="X5" s="38" t="s">
        <v>149</v>
      </c>
      <c r="Y5" s="38" t="s">
        <v>148</v>
      </c>
      <c r="AA5" s="35" t="s">
        <v>1014</v>
      </c>
      <c r="AB5" s="43">
        <v>111</v>
      </c>
      <c r="AD5" s="44" t="s">
        <v>1071</v>
      </c>
      <c r="AE5" s="44" t="s">
        <v>1070</v>
      </c>
      <c r="AG5" s="28" t="s">
        <v>118</v>
      </c>
      <c r="AH5" s="29">
        <v>5</v>
      </c>
      <c r="AJ5" s="32" t="s">
        <v>1113</v>
      </c>
      <c r="AL5" s="28" t="s">
        <v>136</v>
      </c>
      <c r="AM5" s="29">
        <v>3</v>
      </c>
      <c r="AO5" s="28" t="s">
        <v>1124</v>
      </c>
      <c r="AP5" s="64" t="s">
        <v>1123</v>
      </c>
      <c r="AR5" s="70">
        <v>3</v>
      </c>
      <c r="AS5" s="50" t="s">
        <v>1160</v>
      </c>
      <c r="AU5" s="71" t="s">
        <v>1165</v>
      </c>
    </row>
    <row r="6" spans="1:53" ht="15.75" thickBot="1">
      <c r="B6" s="39" t="s">
        <v>1204</v>
      </c>
      <c r="C6" s="39" t="s">
        <v>716</v>
      </c>
      <c r="D6" s="39"/>
      <c r="E6" s="254" t="s">
        <v>1537</v>
      </c>
      <c r="F6" s="254" t="s">
        <v>1536</v>
      </c>
      <c r="G6" s="38"/>
      <c r="H6" s="54" t="s">
        <v>994</v>
      </c>
      <c r="I6" s="54" t="s">
        <v>995</v>
      </c>
      <c r="J6" s="54"/>
      <c r="K6" s="38"/>
      <c r="L6" s="44" t="s">
        <v>726</v>
      </c>
      <c r="M6" s="43">
        <v>11120</v>
      </c>
      <c r="N6" s="36"/>
      <c r="O6" s="28" t="s">
        <v>982</v>
      </c>
      <c r="P6" s="33">
        <v>35</v>
      </c>
      <c r="R6" s="50" t="s">
        <v>989</v>
      </c>
      <c r="S6" s="51">
        <v>4</v>
      </c>
      <c r="U6" s="35" t="s">
        <v>80</v>
      </c>
      <c r="V6" s="59">
        <v>22</v>
      </c>
      <c r="X6" s="38" t="s">
        <v>151</v>
      </c>
      <c r="Y6" s="38" t="s">
        <v>150</v>
      </c>
      <c r="AA6" s="42" t="s">
        <v>1015</v>
      </c>
      <c r="AB6" s="62">
        <v>200</v>
      </c>
      <c r="AD6" s="42" t="s">
        <v>1073</v>
      </c>
      <c r="AE6" s="42" t="s">
        <v>1072</v>
      </c>
      <c r="AJ6" s="32" t="s">
        <v>87</v>
      </c>
      <c r="AL6" s="28" t="s">
        <v>138</v>
      </c>
      <c r="AM6" s="29">
        <v>4</v>
      </c>
      <c r="AO6" s="28" t="s">
        <v>108</v>
      </c>
      <c r="AP6" s="64" t="s">
        <v>1089</v>
      </c>
      <c r="AR6" s="70">
        <v>4</v>
      </c>
      <c r="AS6" s="50" t="s">
        <v>1161</v>
      </c>
      <c r="AU6" s="75" t="s">
        <v>1173</v>
      </c>
    </row>
    <row r="7" spans="1:53" ht="30">
      <c r="B7" s="39" t="s">
        <v>1205</v>
      </c>
      <c r="C7" s="39" t="s">
        <v>715</v>
      </c>
      <c r="D7" s="39"/>
      <c r="E7" s="254" t="s">
        <v>1539</v>
      </c>
      <c r="F7" s="254" t="s">
        <v>1538</v>
      </c>
      <c r="G7" s="36"/>
      <c r="H7" s="55" t="s">
        <v>996</v>
      </c>
      <c r="I7" s="55" t="s">
        <v>997</v>
      </c>
      <c r="J7" s="55"/>
      <c r="K7" s="38"/>
      <c r="L7" s="44" t="s">
        <v>727</v>
      </c>
      <c r="M7" s="43">
        <v>11130</v>
      </c>
      <c r="N7" s="36"/>
      <c r="O7" s="28" t="s">
        <v>983</v>
      </c>
      <c r="P7" s="33">
        <v>40</v>
      </c>
      <c r="R7" s="50" t="s">
        <v>990</v>
      </c>
      <c r="S7" s="51">
        <v>5</v>
      </c>
      <c r="U7" s="35" t="s">
        <v>81</v>
      </c>
      <c r="V7" s="60">
        <v>23</v>
      </c>
      <c r="X7" s="38" t="s">
        <v>153</v>
      </c>
      <c r="Y7" s="38" t="s">
        <v>152</v>
      </c>
      <c r="AA7" s="35" t="s">
        <v>1016</v>
      </c>
      <c r="AB7" s="43">
        <v>210</v>
      </c>
      <c r="AD7" s="44" t="s">
        <v>1075</v>
      </c>
      <c r="AE7" s="44" t="s">
        <v>1074</v>
      </c>
      <c r="AJ7" s="44"/>
      <c r="AO7" s="28" t="s">
        <v>110</v>
      </c>
      <c r="AP7" s="64" t="s">
        <v>109</v>
      </c>
      <c r="AR7" s="47"/>
      <c r="AU7" s="73"/>
    </row>
    <row r="8" spans="1:53" ht="30">
      <c r="B8" s="39" t="s">
        <v>1206</v>
      </c>
      <c r="C8" s="39" t="s">
        <v>714</v>
      </c>
      <c r="D8" s="39"/>
      <c r="E8" s="254" t="s">
        <v>1541</v>
      </c>
      <c r="F8" s="254" t="s">
        <v>1540</v>
      </c>
      <c r="G8" s="38"/>
      <c r="H8" s="54" t="s">
        <v>999</v>
      </c>
      <c r="I8" s="54" t="s">
        <v>1000</v>
      </c>
      <c r="J8" s="54"/>
      <c r="K8" s="38"/>
      <c r="L8" s="44" t="s">
        <v>728</v>
      </c>
      <c r="M8" s="43">
        <v>11182</v>
      </c>
      <c r="N8" s="36"/>
      <c r="O8" s="49" t="s">
        <v>984</v>
      </c>
      <c r="P8" s="33">
        <v>50</v>
      </c>
      <c r="S8" s="46"/>
      <c r="U8" s="35" t="s">
        <v>82</v>
      </c>
      <c r="V8">
        <v>30</v>
      </c>
      <c r="X8" s="38" t="s">
        <v>155</v>
      </c>
      <c r="Y8" s="38" t="s">
        <v>154</v>
      </c>
      <c r="AA8" s="35" t="s">
        <v>1017</v>
      </c>
      <c r="AB8" s="43">
        <v>211</v>
      </c>
      <c r="AD8" s="44" t="s">
        <v>1077</v>
      </c>
      <c r="AE8" s="44" t="s">
        <v>1076</v>
      </c>
      <c r="AO8" s="28" t="s">
        <v>1125</v>
      </c>
      <c r="AP8" s="64" t="s">
        <v>595</v>
      </c>
    </row>
    <row r="9" spans="1:53" ht="30">
      <c r="B9" s="39" t="s">
        <v>1179</v>
      </c>
      <c r="C9" s="39" t="s">
        <v>713</v>
      </c>
      <c r="D9" s="39"/>
      <c r="E9" s="254" t="s">
        <v>1543</v>
      </c>
      <c r="F9" s="254" t="s">
        <v>1542</v>
      </c>
      <c r="G9" s="38"/>
      <c r="H9" s="55" t="s">
        <v>1001</v>
      </c>
      <c r="I9" s="55" t="s">
        <v>1002</v>
      </c>
      <c r="J9" s="55"/>
      <c r="K9" s="38"/>
      <c r="L9" s="44" t="s">
        <v>729</v>
      </c>
      <c r="M9" s="43">
        <v>112</v>
      </c>
      <c r="N9" s="36"/>
      <c r="P9" s="46"/>
      <c r="U9" s="35" t="s">
        <v>83</v>
      </c>
      <c r="V9">
        <v>40</v>
      </c>
      <c r="X9" s="38" t="s">
        <v>157</v>
      </c>
      <c r="Y9" s="38" t="s">
        <v>156</v>
      </c>
      <c r="AA9" s="42" t="s">
        <v>1018</v>
      </c>
      <c r="AB9" s="62">
        <v>300</v>
      </c>
      <c r="AD9" s="44" t="s">
        <v>1079</v>
      </c>
      <c r="AE9" s="44" t="s">
        <v>1078</v>
      </c>
      <c r="AO9" s="28" t="s">
        <v>1126</v>
      </c>
      <c r="AP9" s="64" t="s">
        <v>616</v>
      </c>
    </row>
    <row r="10" spans="1:53" ht="30">
      <c r="B10" s="39" t="s">
        <v>1207</v>
      </c>
      <c r="C10" s="39" t="s">
        <v>712</v>
      </c>
      <c r="D10" s="39"/>
      <c r="E10" s="254" t="s">
        <v>1545</v>
      </c>
      <c r="F10" s="254" t="s">
        <v>1544</v>
      </c>
      <c r="G10" s="38"/>
      <c r="H10" s="54" t="s">
        <v>1003</v>
      </c>
      <c r="I10" s="54" t="s">
        <v>1004</v>
      </c>
      <c r="J10" s="54"/>
      <c r="K10" s="38"/>
      <c r="L10" s="44" t="s">
        <v>730</v>
      </c>
      <c r="M10" s="43">
        <v>11220</v>
      </c>
      <c r="N10" s="36"/>
      <c r="U10" s="35" t="s">
        <v>84</v>
      </c>
      <c r="V10">
        <v>60</v>
      </c>
      <c r="X10" s="38" t="s">
        <v>158</v>
      </c>
      <c r="Y10" s="38" t="s">
        <v>111</v>
      </c>
      <c r="AA10" s="35" t="s">
        <v>1019</v>
      </c>
      <c r="AB10" s="43">
        <v>310</v>
      </c>
      <c r="AD10" s="44" t="s">
        <v>1081</v>
      </c>
      <c r="AE10" s="44" t="s">
        <v>1080</v>
      </c>
      <c r="AO10" s="49" t="s">
        <v>1128</v>
      </c>
      <c r="AP10" s="65" t="s">
        <v>1127</v>
      </c>
    </row>
    <row r="11" spans="1:53" ht="30">
      <c r="B11" s="39" t="s">
        <v>1208</v>
      </c>
      <c r="C11" s="39" t="s">
        <v>711</v>
      </c>
      <c r="D11" s="39"/>
      <c r="E11" s="254" t="s">
        <v>1547</v>
      </c>
      <c r="F11" s="254" t="s">
        <v>1546</v>
      </c>
      <c r="G11" s="38"/>
      <c r="H11" s="55" t="s">
        <v>539</v>
      </c>
      <c r="I11" s="55" t="s">
        <v>1005</v>
      </c>
      <c r="J11" s="55"/>
      <c r="K11" s="38"/>
      <c r="L11" s="44" t="s">
        <v>731</v>
      </c>
      <c r="M11" s="43">
        <v>11230</v>
      </c>
      <c r="N11" s="36"/>
      <c r="U11" s="35" t="s">
        <v>85</v>
      </c>
      <c r="V11">
        <v>70</v>
      </c>
      <c r="X11" s="38" t="s">
        <v>160</v>
      </c>
      <c r="Y11" s="38" t="s">
        <v>159</v>
      </c>
      <c r="AA11" s="35" t="s">
        <v>1020</v>
      </c>
      <c r="AB11" s="43">
        <v>311</v>
      </c>
      <c r="AD11" s="42" t="s">
        <v>1106</v>
      </c>
      <c r="AE11" s="42" t="s">
        <v>105</v>
      </c>
      <c r="AO11" s="49" t="s">
        <v>1130</v>
      </c>
      <c r="AP11" s="65" t="s">
        <v>1129</v>
      </c>
    </row>
    <row r="12" spans="1:53" ht="30">
      <c r="B12" s="39" t="s">
        <v>1209</v>
      </c>
      <c r="C12" s="39" t="s">
        <v>710</v>
      </c>
      <c r="D12" s="39"/>
      <c r="E12" s="254" t="s">
        <v>1549</v>
      </c>
      <c r="F12" s="254" t="s">
        <v>1548</v>
      </c>
      <c r="G12" s="38"/>
      <c r="H12" s="54" t="s">
        <v>1006</v>
      </c>
      <c r="I12" s="54" t="s">
        <v>1007</v>
      </c>
      <c r="J12" s="54"/>
      <c r="K12" s="38"/>
      <c r="L12" s="44" t="s">
        <v>732</v>
      </c>
      <c r="M12" s="43">
        <v>11240</v>
      </c>
      <c r="N12" s="36"/>
      <c r="U12" s="35" t="s">
        <v>86</v>
      </c>
      <c r="V12">
        <v>80</v>
      </c>
      <c r="X12" s="38" t="s">
        <v>162</v>
      </c>
      <c r="Y12" s="38" t="s">
        <v>161</v>
      </c>
      <c r="AA12" s="42" t="s">
        <v>1021</v>
      </c>
      <c r="AB12" s="62">
        <v>400</v>
      </c>
      <c r="AD12" s="44" t="s">
        <v>1082</v>
      </c>
      <c r="AE12" s="44" t="s">
        <v>121</v>
      </c>
      <c r="AO12" s="49" t="s">
        <v>1131</v>
      </c>
      <c r="AP12" s="65" t="s">
        <v>669</v>
      </c>
    </row>
    <row r="13" spans="1:53">
      <c r="B13" s="39" t="s">
        <v>1210</v>
      </c>
      <c r="C13" s="39" t="s">
        <v>709</v>
      </c>
      <c r="D13" s="39"/>
      <c r="E13" s="254" t="s">
        <v>1551</v>
      </c>
      <c r="F13" s="254" t="s">
        <v>1550</v>
      </c>
      <c r="G13" s="38"/>
      <c r="H13" s="36"/>
      <c r="I13" s="36"/>
      <c r="J13" s="38"/>
      <c r="K13" s="38"/>
      <c r="L13" s="44" t="s">
        <v>733</v>
      </c>
      <c r="M13" s="43">
        <v>113</v>
      </c>
      <c r="N13" s="36"/>
      <c r="T13" s="551" t="s">
        <v>1434</v>
      </c>
      <c r="U13" s="85" t="s">
        <v>1433</v>
      </c>
      <c r="V13" s="86">
        <v>52</v>
      </c>
      <c r="X13" s="38" t="s">
        <v>164</v>
      </c>
      <c r="Y13" s="38" t="s">
        <v>163</v>
      </c>
      <c r="AA13" s="35" t="s">
        <v>1022</v>
      </c>
      <c r="AB13" s="43">
        <v>410</v>
      </c>
      <c r="AD13" s="42" t="s">
        <v>1084</v>
      </c>
      <c r="AE13" s="42" t="s">
        <v>1083</v>
      </c>
      <c r="AO13" s="72"/>
      <c r="AP13" s="44"/>
    </row>
    <row r="14" spans="1:53">
      <c r="B14" s="39" t="s">
        <v>1211</v>
      </c>
      <c r="C14" s="39" t="s">
        <v>708</v>
      </c>
      <c r="D14" s="39"/>
      <c r="E14" s="254" t="s">
        <v>1553</v>
      </c>
      <c r="F14" s="254" t="s">
        <v>1552</v>
      </c>
      <c r="G14" s="38"/>
      <c r="H14" s="36"/>
      <c r="J14" s="38"/>
      <c r="K14" s="38"/>
      <c r="L14" s="44" t="s">
        <v>733</v>
      </c>
      <c r="M14" s="43">
        <v>11320</v>
      </c>
      <c r="N14" s="36"/>
      <c r="T14" s="551"/>
      <c r="U14" s="85" t="s">
        <v>1435</v>
      </c>
      <c r="V14" s="86">
        <v>53</v>
      </c>
      <c r="X14" s="38" t="s">
        <v>166</v>
      </c>
      <c r="Y14" s="38" t="s">
        <v>165</v>
      </c>
      <c r="AA14" s="35" t="s">
        <v>1023</v>
      </c>
      <c r="AB14" s="43">
        <v>411</v>
      </c>
      <c r="AD14" s="44" t="s">
        <v>1086</v>
      </c>
      <c r="AE14" s="44" t="s">
        <v>1085</v>
      </c>
    </row>
    <row r="15" spans="1:53">
      <c r="B15" s="39" t="s">
        <v>1212</v>
      </c>
      <c r="C15" s="39" t="s">
        <v>707</v>
      </c>
      <c r="D15" s="39"/>
      <c r="E15" s="254" t="s">
        <v>1555</v>
      </c>
      <c r="F15" s="254" t="s">
        <v>1554</v>
      </c>
      <c r="G15" s="38"/>
      <c r="H15" s="36"/>
      <c r="I15" s="91"/>
      <c r="J15" s="38"/>
      <c r="K15" s="38"/>
      <c r="L15" s="44" t="s">
        <v>734</v>
      </c>
      <c r="M15" s="43">
        <v>11330</v>
      </c>
      <c r="N15" s="36"/>
      <c r="X15" s="38" t="s">
        <v>168</v>
      </c>
      <c r="Y15" s="38" t="s">
        <v>167</v>
      </c>
      <c r="AA15" s="35" t="s">
        <v>1024</v>
      </c>
      <c r="AB15" s="43">
        <v>412</v>
      </c>
      <c r="AD15" s="44" t="s">
        <v>1088</v>
      </c>
      <c r="AE15" s="44" t="s">
        <v>1087</v>
      </c>
      <c r="AO15" s="16"/>
    </row>
    <row r="16" spans="1:53">
      <c r="B16" s="39" t="s">
        <v>1213</v>
      </c>
      <c r="C16" s="39" t="s">
        <v>706</v>
      </c>
      <c r="D16" s="39"/>
      <c r="E16" s="254" t="s">
        <v>1557</v>
      </c>
      <c r="F16" s="254" t="s">
        <v>1556</v>
      </c>
      <c r="G16" s="38"/>
      <c r="H16" s="36"/>
      <c r="I16" s="91"/>
      <c r="J16" s="38"/>
      <c r="K16" s="38"/>
      <c r="L16" s="44" t="s">
        <v>735</v>
      </c>
      <c r="M16" s="43">
        <v>114</v>
      </c>
      <c r="N16" s="36"/>
      <c r="X16" s="38" t="s">
        <v>170</v>
      </c>
      <c r="Y16" s="38" t="s">
        <v>169</v>
      </c>
      <c r="AA16" s="35" t="s">
        <v>1025</v>
      </c>
      <c r="AB16" s="43">
        <v>413</v>
      </c>
      <c r="AD16" s="42" t="s">
        <v>1090</v>
      </c>
      <c r="AE16" s="42" t="s">
        <v>1089</v>
      </c>
    </row>
    <row r="17" spans="2:31">
      <c r="B17" s="39" t="s">
        <v>1214</v>
      </c>
      <c r="C17" s="39" t="s">
        <v>705</v>
      </c>
      <c r="D17" s="39"/>
      <c r="E17" s="254" t="s">
        <v>1559</v>
      </c>
      <c r="F17" s="254" t="s">
        <v>1558</v>
      </c>
      <c r="G17" s="38"/>
      <c r="I17" s="36"/>
      <c r="J17" s="38"/>
      <c r="K17" s="38"/>
      <c r="L17" s="44" t="s">
        <v>736</v>
      </c>
      <c r="M17" s="43">
        <v>11420</v>
      </c>
      <c r="N17" s="36"/>
      <c r="X17" s="38" t="s">
        <v>172</v>
      </c>
      <c r="Y17" s="38" t="s">
        <v>171</v>
      </c>
      <c r="AA17" s="35" t="s">
        <v>1026</v>
      </c>
      <c r="AB17" s="43">
        <v>414</v>
      </c>
      <c r="AD17" s="44" t="s">
        <v>1092</v>
      </c>
      <c r="AE17" s="44" t="s">
        <v>1091</v>
      </c>
    </row>
    <row r="18" spans="2:31" ht="25.5">
      <c r="B18" s="39" t="s">
        <v>1215</v>
      </c>
      <c r="C18" s="39" t="s">
        <v>704</v>
      </c>
      <c r="D18" s="39"/>
      <c r="E18" s="254" t="s">
        <v>1561</v>
      </c>
      <c r="F18" s="254" t="s">
        <v>1560</v>
      </c>
      <c r="G18" s="38"/>
      <c r="I18" s="36"/>
      <c r="J18" s="38"/>
      <c r="K18" s="38"/>
      <c r="L18" s="44" t="s">
        <v>737</v>
      </c>
      <c r="M18" s="43">
        <v>11430</v>
      </c>
      <c r="N18" s="36"/>
      <c r="X18" s="38" t="s">
        <v>174</v>
      </c>
      <c r="Y18" s="38" t="s">
        <v>173</v>
      </c>
      <c r="AA18" s="42" t="s">
        <v>1027</v>
      </c>
      <c r="AB18" s="62">
        <v>450</v>
      </c>
      <c r="AD18" s="44" t="s">
        <v>1094</v>
      </c>
      <c r="AE18" s="44" t="s">
        <v>1093</v>
      </c>
    </row>
    <row r="19" spans="2:31">
      <c r="B19" s="39" t="s">
        <v>1216</v>
      </c>
      <c r="C19" s="39" t="s">
        <v>703</v>
      </c>
      <c r="D19" s="39"/>
      <c r="E19" s="254" t="s">
        <v>1563</v>
      </c>
      <c r="F19" s="254" t="s">
        <v>1562</v>
      </c>
      <c r="G19" s="38"/>
      <c r="I19" s="38"/>
      <c r="J19" s="38"/>
      <c r="K19" s="38"/>
      <c r="L19" s="42" t="s">
        <v>738</v>
      </c>
      <c r="M19" s="41">
        <v>120</v>
      </c>
      <c r="N19" s="36"/>
      <c r="X19" s="38" t="s">
        <v>176</v>
      </c>
      <c r="Y19" s="38" t="s">
        <v>175</v>
      </c>
      <c r="AA19" s="35" t="s">
        <v>1028</v>
      </c>
      <c r="AB19" s="43">
        <v>451</v>
      </c>
      <c r="AD19" s="42" t="s">
        <v>1108</v>
      </c>
      <c r="AE19" s="42" t="s">
        <v>1095</v>
      </c>
    </row>
    <row r="20" spans="2:31">
      <c r="B20" s="39" t="s">
        <v>1217</v>
      </c>
      <c r="C20" s="39" t="s">
        <v>702</v>
      </c>
      <c r="D20" s="39"/>
      <c r="E20" s="254" t="s">
        <v>1565</v>
      </c>
      <c r="F20" s="254" t="s">
        <v>1564</v>
      </c>
      <c r="G20" s="38"/>
      <c r="I20" s="38"/>
      <c r="K20" s="38"/>
      <c r="L20" s="44" t="s">
        <v>739</v>
      </c>
      <c r="M20" s="43">
        <v>121</v>
      </c>
      <c r="N20" s="36"/>
      <c r="X20" s="38" t="s">
        <v>178</v>
      </c>
      <c r="Y20" s="38" t="s">
        <v>177</v>
      </c>
      <c r="AA20" s="35" t="s">
        <v>1029</v>
      </c>
      <c r="AB20" s="43">
        <v>452</v>
      </c>
      <c r="AD20" s="44" t="s">
        <v>1035</v>
      </c>
      <c r="AE20" s="44" t="s">
        <v>1096</v>
      </c>
    </row>
    <row r="21" spans="2:31" ht="25.5">
      <c r="B21" s="39" t="s">
        <v>1180</v>
      </c>
      <c r="C21" s="39" t="s">
        <v>701</v>
      </c>
      <c r="D21" s="39"/>
      <c r="E21" s="254" t="s">
        <v>1567</v>
      </c>
      <c r="F21" s="254" t="s">
        <v>1566</v>
      </c>
      <c r="G21" s="38"/>
      <c r="I21" s="38"/>
      <c r="J21" s="38"/>
      <c r="K21" s="38"/>
      <c r="L21" s="44" t="s">
        <v>740</v>
      </c>
      <c r="M21" s="43">
        <v>12110</v>
      </c>
      <c r="N21" s="36"/>
      <c r="X21" s="38" t="s">
        <v>180</v>
      </c>
      <c r="Y21" s="38" t="s">
        <v>179</v>
      </c>
      <c r="AA21" s="35" t="s">
        <v>1030</v>
      </c>
      <c r="AB21" s="43">
        <v>453</v>
      </c>
      <c r="AD21" s="42" t="s">
        <v>1107</v>
      </c>
      <c r="AE21" s="42" t="s">
        <v>1097</v>
      </c>
    </row>
    <row r="22" spans="2:31">
      <c r="B22" s="39" t="s">
        <v>1218</v>
      </c>
      <c r="C22" s="39" t="s">
        <v>700</v>
      </c>
      <c r="D22" s="39"/>
      <c r="E22" s="254" t="s">
        <v>1569</v>
      </c>
      <c r="F22" s="254" t="s">
        <v>1568</v>
      </c>
      <c r="G22" s="38"/>
      <c r="I22" s="38"/>
      <c r="J22" s="38"/>
      <c r="K22" s="38"/>
      <c r="L22" s="44" t="s">
        <v>741</v>
      </c>
      <c r="M22" s="43">
        <v>12181</v>
      </c>
      <c r="N22" s="36"/>
      <c r="X22" s="38" t="s">
        <v>182</v>
      </c>
      <c r="Y22" s="38" t="s">
        <v>181</v>
      </c>
      <c r="AA22" s="42" t="s">
        <v>1031</v>
      </c>
      <c r="AB22" s="62">
        <v>500</v>
      </c>
      <c r="AD22" s="44" t="s">
        <v>1098</v>
      </c>
      <c r="AE22" s="44" t="s">
        <v>1099</v>
      </c>
    </row>
    <row r="23" spans="2:31">
      <c r="B23" s="39" t="s">
        <v>1219</v>
      </c>
      <c r="C23" s="39" t="s">
        <v>699</v>
      </c>
      <c r="D23" s="39"/>
      <c r="E23" s="254" t="s">
        <v>1571</v>
      </c>
      <c r="F23" s="254" t="s">
        <v>1570</v>
      </c>
      <c r="G23" s="38"/>
      <c r="I23" s="38"/>
      <c r="J23" s="38"/>
      <c r="K23" s="38"/>
      <c r="L23" s="44" t="s">
        <v>742</v>
      </c>
      <c r="M23" s="43">
        <v>12182</v>
      </c>
      <c r="N23" s="36"/>
      <c r="X23" s="38" t="s">
        <v>184</v>
      </c>
      <c r="Y23" s="38" t="s">
        <v>183</v>
      </c>
      <c r="AA23" s="35" t="s">
        <v>1032</v>
      </c>
      <c r="AB23" s="43">
        <v>510</v>
      </c>
      <c r="AD23" s="42" t="s">
        <v>1101</v>
      </c>
      <c r="AE23" s="42" t="s">
        <v>1100</v>
      </c>
    </row>
    <row r="24" spans="2:31">
      <c r="B24" s="39" t="s">
        <v>1220</v>
      </c>
      <c r="C24" s="39" t="s">
        <v>698</v>
      </c>
      <c r="D24" s="39"/>
      <c r="E24" s="254" t="s">
        <v>1573</v>
      </c>
      <c r="F24" s="254" t="s">
        <v>1572</v>
      </c>
      <c r="G24" s="38"/>
      <c r="I24" s="38"/>
      <c r="J24" s="38"/>
      <c r="K24" s="38"/>
      <c r="L24" s="44" t="s">
        <v>743</v>
      </c>
      <c r="M24" s="43">
        <v>12191</v>
      </c>
      <c r="N24" s="36"/>
      <c r="X24" s="38" t="s">
        <v>186</v>
      </c>
      <c r="Y24" s="38" t="s">
        <v>185</v>
      </c>
      <c r="AA24" s="35" t="s">
        <v>1033</v>
      </c>
      <c r="AB24" s="43">
        <v>511</v>
      </c>
      <c r="AD24" s="44" t="s">
        <v>1103</v>
      </c>
      <c r="AE24" s="44" t="s">
        <v>1102</v>
      </c>
    </row>
    <row r="25" spans="2:31" ht="45">
      <c r="B25" s="39" t="s">
        <v>1221</v>
      </c>
      <c r="C25" s="39" t="s">
        <v>697</v>
      </c>
      <c r="D25" s="39"/>
      <c r="E25" s="254" t="s">
        <v>1575</v>
      </c>
      <c r="F25" s="254" t="s">
        <v>1574</v>
      </c>
      <c r="G25" s="38"/>
      <c r="I25" s="38"/>
      <c r="J25" s="38"/>
      <c r="K25" s="38"/>
      <c r="L25" s="44" t="s">
        <v>744</v>
      </c>
      <c r="M25" s="43">
        <v>122</v>
      </c>
      <c r="N25" s="36"/>
      <c r="X25" s="38" t="s">
        <v>188</v>
      </c>
      <c r="Y25" s="38" t="s">
        <v>187</v>
      </c>
      <c r="AA25" s="35" t="s">
        <v>1034</v>
      </c>
      <c r="AB25" s="43">
        <v>512</v>
      </c>
      <c r="AD25" s="44" t="s">
        <v>950</v>
      </c>
      <c r="AE25" s="44" t="s">
        <v>1104</v>
      </c>
    </row>
    <row r="26" spans="2:31">
      <c r="B26" s="39" t="s">
        <v>1222</v>
      </c>
      <c r="C26" s="39" t="s">
        <v>696</v>
      </c>
      <c r="D26" s="39"/>
      <c r="E26" s="254" t="s">
        <v>1577</v>
      </c>
      <c r="F26" s="254" t="s">
        <v>1576</v>
      </c>
      <c r="G26" s="38"/>
      <c r="I26" s="38"/>
      <c r="J26" s="38"/>
      <c r="K26" s="38"/>
      <c r="L26" s="44" t="s">
        <v>745</v>
      </c>
      <c r="M26" s="43">
        <v>12220</v>
      </c>
      <c r="N26" s="36"/>
      <c r="X26" s="38" t="s">
        <v>190</v>
      </c>
      <c r="Y26" s="38" t="s">
        <v>189</v>
      </c>
      <c r="AA26" s="42" t="s">
        <v>1035</v>
      </c>
      <c r="AB26" s="62">
        <v>600</v>
      </c>
    </row>
    <row r="27" spans="2:31">
      <c r="B27" s="39" t="s">
        <v>1223</v>
      </c>
      <c r="C27" s="39" t="s">
        <v>695</v>
      </c>
      <c r="D27" s="39"/>
      <c r="E27" s="254" t="s">
        <v>1579</v>
      </c>
      <c r="F27" s="254" t="s">
        <v>1578</v>
      </c>
      <c r="G27" s="38"/>
      <c r="I27" s="38"/>
      <c r="J27" s="38"/>
      <c r="K27" s="38"/>
      <c r="L27" s="44" t="s">
        <v>746</v>
      </c>
      <c r="M27" s="43">
        <v>12230</v>
      </c>
      <c r="X27" s="38" t="s">
        <v>192</v>
      </c>
      <c r="Y27" s="38" t="s">
        <v>191</v>
      </c>
      <c r="AA27" s="35" t="s">
        <v>1036</v>
      </c>
      <c r="AB27" s="43">
        <v>610</v>
      </c>
    </row>
    <row r="28" spans="2:31">
      <c r="B28" s="39" t="s">
        <v>1224</v>
      </c>
      <c r="C28" s="39" t="s">
        <v>694</v>
      </c>
      <c r="D28" s="39"/>
      <c r="E28" s="254" t="s">
        <v>1581</v>
      </c>
      <c r="F28" s="254" t="s">
        <v>1580</v>
      </c>
      <c r="G28" s="38"/>
      <c r="I28" s="38"/>
      <c r="J28" s="38"/>
      <c r="K28" s="38"/>
      <c r="L28" s="44" t="s">
        <v>747</v>
      </c>
      <c r="M28" s="43">
        <v>12240</v>
      </c>
      <c r="X28" s="38" t="s">
        <v>194</v>
      </c>
      <c r="Y28" s="38" t="s">
        <v>193</v>
      </c>
      <c r="AA28" s="35" t="s">
        <v>1037</v>
      </c>
      <c r="AB28" s="43">
        <v>611</v>
      </c>
    </row>
    <row r="29" spans="2:31" ht="26.25">
      <c r="B29" s="39" t="s">
        <v>1225</v>
      </c>
      <c r="C29" s="39" t="s">
        <v>693</v>
      </c>
      <c r="D29" s="39"/>
      <c r="E29" s="254" t="s">
        <v>1583</v>
      </c>
      <c r="F29" s="254" t="s">
        <v>1582</v>
      </c>
      <c r="G29" s="38"/>
      <c r="I29" s="38"/>
      <c r="J29" s="38"/>
      <c r="K29" s="38"/>
      <c r="L29" s="44" t="s">
        <v>748</v>
      </c>
      <c r="M29" s="43">
        <v>12250</v>
      </c>
      <c r="X29" s="38" t="s">
        <v>196</v>
      </c>
      <c r="Y29" s="38" t="s">
        <v>195</v>
      </c>
      <c r="AA29" s="35" t="s">
        <v>1038</v>
      </c>
      <c r="AB29" s="43">
        <v>612</v>
      </c>
    </row>
    <row r="30" spans="2:31" ht="26.25">
      <c r="B30" s="39" t="s">
        <v>1226</v>
      </c>
      <c r="C30" s="39" t="s">
        <v>692</v>
      </c>
      <c r="D30" s="39"/>
      <c r="E30" s="254" t="s">
        <v>1585</v>
      </c>
      <c r="F30" s="254" t="s">
        <v>1584</v>
      </c>
      <c r="G30" s="38"/>
      <c r="I30" s="38"/>
      <c r="J30" s="38"/>
      <c r="K30" s="38"/>
      <c r="L30" s="44" t="s">
        <v>749</v>
      </c>
      <c r="M30" s="43">
        <v>12261</v>
      </c>
      <c r="X30" s="38" t="s">
        <v>198</v>
      </c>
      <c r="Y30" s="38" t="s">
        <v>197</v>
      </c>
      <c r="AA30" s="35" t="s">
        <v>1039</v>
      </c>
      <c r="AB30" s="43">
        <v>613</v>
      </c>
    </row>
    <row r="31" spans="2:31" ht="26.25">
      <c r="B31" s="39" t="s">
        <v>1227</v>
      </c>
      <c r="C31" s="39" t="s">
        <v>691</v>
      </c>
      <c r="D31" s="39"/>
      <c r="E31" s="254" t="s">
        <v>1587</v>
      </c>
      <c r="F31" s="254" t="s">
        <v>1586</v>
      </c>
      <c r="G31" s="38"/>
      <c r="I31" s="38"/>
      <c r="J31" s="38"/>
      <c r="K31" s="38"/>
      <c r="L31" s="44" t="s">
        <v>750</v>
      </c>
      <c r="M31" s="43">
        <v>12262</v>
      </c>
      <c r="X31" s="38" t="s">
        <v>200</v>
      </c>
      <c r="Y31" s="38" t="s">
        <v>199</v>
      </c>
      <c r="AA31" s="35" t="s">
        <v>1040</v>
      </c>
      <c r="AB31" s="43">
        <v>614</v>
      </c>
    </row>
    <row r="32" spans="2:31" ht="26.25">
      <c r="B32" s="39" t="s">
        <v>1228</v>
      </c>
      <c r="C32" s="39" t="s">
        <v>690</v>
      </c>
      <c r="D32" s="39"/>
      <c r="E32" s="254" t="s">
        <v>1589</v>
      </c>
      <c r="F32" s="254" t="s">
        <v>1588</v>
      </c>
      <c r="G32" s="38"/>
      <c r="I32" s="38"/>
      <c r="J32" s="38"/>
      <c r="K32" s="38"/>
      <c r="L32" s="44" t="s">
        <v>751</v>
      </c>
      <c r="M32" s="43">
        <v>12263</v>
      </c>
      <c r="X32" s="38" t="s">
        <v>202</v>
      </c>
      <c r="Y32" s="38" t="s">
        <v>201</v>
      </c>
      <c r="AA32" s="35" t="s">
        <v>1041</v>
      </c>
      <c r="AB32" s="43">
        <v>615</v>
      </c>
    </row>
    <row r="33" spans="2:28">
      <c r="B33" s="39" t="s">
        <v>1229</v>
      </c>
      <c r="C33" s="39" t="s">
        <v>689</v>
      </c>
      <c r="D33" s="39"/>
      <c r="E33" s="254" t="s">
        <v>1591</v>
      </c>
      <c r="F33" s="254" t="s">
        <v>1590</v>
      </c>
      <c r="G33" s="38"/>
      <c r="I33" s="38"/>
      <c r="J33" s="38"/>
      <c r="K33" s="38"/>
      <c r="L33" s="44" t="s">
        <v>752</v>
      </c>
      <c r="M33" s="43">
        <v>12281</v>
      </c>
      <c r="X33" s="38" t="s">
        <v>204</v>
      </c>
      <c r="Y33" s="38" t="s">
        <v>203</v>
      </c>
      <c r="AA33" s="35" t="s">
        <v>1042</v>
      </c>
      <c r="AB33" s="43">
        <v>616</v>
      </c>
    </row>
    <row r="34" spans="2:28" ht="38.25">
      <c r="B34" s="39" t="s">
        <v>1230</v>
      </c>
      <c r="C34" s="39" t="s">
        <v>688</v>
      </c>
      <c r="D34" s="39"/>
      <c r="E34" s="254" t="s">
        <v>1593</v>
      </c>
      <c r="F34" s="254" t="s">
        <v>1592</v>
      </c>
      <c r="G34" s="38"/>
      <c r="I34" s="38"/>
      <c r="J34" s="38"/>
      <c r="K34" s="38"/>
      <c r="L34" s="42" t="s">
        <v>753</v>
      </c>
      <c r="M34" s="41">
        <v>130</v>
      </c>
      <c r="X34" s="38" t="s">
        <v>206</v>
      </c>
      <c r="Y34" s="38" t="s">
        <v>205</v>
      </c>
      <c r="AA34" s="35" t="s">
        <v>1043</v>
      </c>
      <c r="AB34" s="43">
        <v>617</v>
      </c>
    </row>
    <row r="35" spans="2:28" ht="26.25">
      <c r="B35" s="39" t="s">
        <v>1231</v>
      </c>
      <c r="C35" s="39" t="s">
        <v>687</v>
      </c>
      <c r="D35" s="39"/>
      <c r="E35" s="254" t="s">
        <v>1595</v>
      </c>
      <c r="F35" s="254" t="s">
        <v>1594</v>
      </c>
      <c r="G35" s="38"/>
      <c r="I35" s="38"/>
      <c r="J35" s="38"/>
      <c r="K35" s="38"/>
      <c r="L35" s="44" t="s">
        <v>754</v>
      </c>
      <c r="M35" s="43">
        <v>13010</v>
      </c>
      <c r="X35" s="38" t="s">
        <v>208</v>
      </c>
      <c r="Y35" s="38" t="s">
        <v>207</v>
      </c>
      <c r="AA35" s="35" t="s">
        <v>1044</v>
      </c>
      <c r="AB35" s="43">
        <v>618</v>
      </c>
    </row>
    <row r="36" spans="2:28" ht="26.25">
      <c r="B36" s="39" t="s">
        <v>1232</v>
      </c>
      <c r="C36" s="39" t="s">
        <v>686</v>
      </c>
      <c r="D36" s="39"/>
      <c r="E36" s="254" t="s">
        <v>1597</v>
      </c>
      <c r="F36" s="254" t="s">
        <v>1596</v>
      </c>
      <c r="G36" s="38"/>
      <c r="I36" s="38"/>
      <c r="J36" s="38"/>
      <c r="K36" s="38"/>
      <c r="L36" s="44" t="s">
        <v>755</v>
      </c>
      <c r="M36" s="43">
        <v>13020</v>
      </c>
      <c r="X36" s="38" t="s">
        <v>210</v>
      </c>
      <c r="Y36" s="38" t="s">
        <v>209</v>
      </c>
      <c r="AA36" s="35" t="s">
        <v>1045</v>
      </c>
      <c r="AB36" s="43">
        <v>620</v>
      </c>
    </row>
    <row r="37" spans="2:28">
      <c r="B37" s="39" t="s">
        <v>1233</v>
      </c>
      <c r="C37" s="39" t="s">
        <v>685</v>
      </c>
      <c r="D37" s="39"/>
      <c r="E37" s="254" t="s">
        <v>1599</v>
      </c>
      <c r="F37" s="254" t="s">
        <v>1598</v>
      </c>
      <c r="G37" s="38"/>
      <c r="I37" s="38"/>
      <c r="J37" s="38"/>
      <c r="K37" s="38"/>
      <c r="L37" s="44" t="s">
        <v>756</v>
      </c>
      <c r="M37" s="43">
        <v>13030</v>
      </c>
      <c r="X37" s="38" t="s">
        <v>212</v>
      </c>
      <c r="Y37" s="38" t="s">
        <v>211</v>
      </c>
      <c r="AA37" s="35" t="s">
        <v>1046</v>
      </c>
      <c r="AB37" s="43">
        <v>621</v>
      </c>
    </row>
    <row r="38" spans="2:28">
      <c r="B38" s="39" t="s">
        <v>1181</v>
      </c>
      <c r="C38" s="39" t="s">
        <v>684</v>
      </c>
      <c r="D38" s="39"/>
      <c r="E38" s="254" t="s">
        <v>1601</v>
      </c>
      <c r="F38" s="254" t="s">
        <v>1600</v>
      </c>
      <c r="G38" s="38"/>
      <c r="I38" s="38"/>
      <c r="J38" s="38"/>
      <c r="K38" s="38"/>
      <c r="L38" s="44" t="s">
        <v>757</v>
      </c>
      <c r="M38" s="43">
        <v>13040</v>
      </c>
      <c r="X38" s="38" t="s">
        <v>214</v>
      </c>
      <c r="Y38" s="38" t="s">
        <v>213</v>
      </c>
      <c r="AA38" s="35" t="s">
        <v>1047</v>
      </c>
      <c r="AB38" s="43">
        <v>622</v>
      </c>
    </row>
    <row r="39" spans="2:28" ht="25.5">
      <c r="B39" s="39" t="s">
        <v>1234</v>
      </c>
      <c r="C39" s="39" t="s">
        <v>683</v>
      </c>
      <c r="D39" s="39"/>
      <c r="E39" s="254" t="s">
        <v>1602</v>
      </c>
      <c r="F39" s="254" t="s">
        <v>64</v>
      </c>
      <c r="G39" s="38"/>
      <c r="I39" s="38"/>
      <c r="J39" s="38"/>
      <c r="K39" s="38"/>
      <c r="L39" s="44" t="s">
        <v>758</v>
      </c>
      <c r="M39" s="43">
        <v>13081</v>
      </c>
      <c r="X39" s="38" t="s">
        <v>216</v>
      </c>
      <c r="Y39" s="38" t="s">
        <v>215</v>
      </c>
      <c r="AA39" s="35" t="s">
        <v>1048</v>
      </c>
      <c r="AB39" s="43">
        <v>623</v>
      </c>
    </row>
    <row r="40" spans="2:28" ht="26.25">
      <c r="B40" s="39" t="s">
        <v>1235</v>
      </c>
      <c r="C40" s="39" t="s">
        <v>682</v>
      </c>
      <c r="D40" s="39"/>
      <c r="E40" s="254" t="s">
        <v>1604</v>
      </c>
      <c r="F40" s="254" t="s">
        <v>1603</v>
      </c>
      <c r="G40" s="38"/>
      <c r="I40" s="38"/>
      <c r="J40" s="38"/>
      <c r="K40" s="38"/>
      <c r="L40" s="42" t="s">
        <v>759</v>
      </c>
      <c r="M40" s="41">
        <v>140</v>
      </c>
      <c r="X40" s="38" t="s">
        <v>218</v>
      </c>
      <c r="Y40" s="38" t="s">
        <v>217</v>
      </c>
      <c r="AA40" s="35" t="s">
        <v>1049</v>
      </c>
      <c r="AB40" s="43">
        <v>624</v>
      </c>
    </row>
    <row r="41" spans="2:28" ht="25.5">
      <c r="B41" s="39" t="s">
        <v>1236</v>
      </c>
      <c r="C41" s="39" t="s">
        <v>681</v>
      </c>
      <c r="D41" s="39"/>
      <c r="E41" s="254" t="s">
        <v>1606</v>
      </c>
      <c r="F41" s="254" t="s">
        <v>1605</v>
      </c>
      <c r="G41" s="38"/>
      <c r="I41" s="38"/>
      <c r="J41" s="38"/>
      <c r="K41" s="38"/>
      <c r="L41" s="44" t="s">
        <v>760</v>
      </c>
      <c r="M41" s="43">
        <v>14010</v>
      </c>
      <c r="X41" s="38" t="s">
        <v>220</v>
      </c>
      <c r="Y41" s="38" t="s">
        <v>219</v>
      </c>
      <c r="AA41" s="35" t="s">
        <v>1050</v>
      </c>
      <c r="AB41" s="43">
        <v>625</v>
      </c>
    </row>
    <row r="42" spans="2:28">
      <c r="B42" s="39" t="s">
        <v>1237</v>
      </c>
      <c r="C42" s="39" t="s">
        <v>680</v>
      </c>
      <c r="D42" s="39"/>
      <c r="E42" s="254" t="s">
        <v>1608</v>
      </c>
      <c r="F42" s="254" t="s">
        <v>1607</v>
      </c>
      <c r="G42" s="38"/>
      <c r="I42" s="38"/>
      <c r="J42" s="38"/>
      <c r="K42" s="38"/>
      <c r="L42" s="44" t="s">
        <v>761</v>
      </c>
      <c r="M42" s="43">
        <v>14015</v>
      </c>
      <c r="X42" s="38" t="s">
        <v>222</v>
      </c>
      <c r="Y42" s="38" t="s">
        <v>221</v>
      </c>
      <c r="AA42" s="35" t="s">
        <v>1051</v>
      </c>
      <c r="AB42" s="43">
        <v>626</v>
      </c>
    </row>
    <row r="43" spans="2:28" ht="25.5">
      <c r="B43" s="39" t="s">
        <v>1238</v>
      </c>
      <c r="C43" s="39" t="s">
        <v>679</v>
      </c>
      <c r="D43" s="39"/>
      <c r="E43" s="254" t="s">
        <v>1610</v>
      </c>
      <c r="F43" s="254" t="s">
        <v>1609</v>
      </c>
      <c r="G43" s="38"/>
      <c r="I43" s="38"/>
      <c r="J43" s="38"/>
      <c r="K43" s="38"/>
      <c r="L43" s="44" t="s">
        <v>762</v>
      </c>
      <c r="M43" s="43">
        <v>14020</v>
      </c>
      <c r="X43" s="38" t="s">
        <v>224</v>
      </c>
      <c r="Y43" s="38" t="s">
        <v>223</v>
      </c>
      <c r="AA43" s="35" t="s">
        <v>1052</v>
      </c>
      <c r="AB43" s="43">
        <v>627</v>
      </c>
    </row>
    <row r="44" spans="2:28" ht="25.5">
      <c r="B44" s="39" t="s">
        <v>1239</v>
      </c>
      <c r="C44" s="39" t="s">
        <v>678</v>
      </c>
      <c r="D44" s="39"/>
      <c r="E44" s="254" t="s">
        <v>1612</v>
      </c>
      <c r="F44" s="254" t="s">
        <v>1611</v>
      </c>
      <c r="G44" s="38"/>
      <c r="I44" s="38"/>
      <c r="J44" s="38"/>
      <c r="K44" s="38"/>
      <c r="L44" s="44" t="s">
        <v>763</v>
      </c>
      <c r="M44" s="43">
        <v>14030</v>
      </c>
      <c r="X44" s="38" t="s">
        <v>226</v>
      </c>
      <c r="Y44" s="38" t="s">
        <v>225</v>
      </c>
      <c r="AA44" s="35" t="s">
        <v>1053</v>
      </c>
      <c r="AB44" s="43">
        <v>630</v>
      </c>
    </row>
    <row r="45" spans="2:28" ht="26.25">
      <c r="B45" s="39" t="s">
        <v>1240</v>
      </c>
      <c r="C45" s="39" t="s">
        <v>677</v>
      </c>
      <c r="D45" s="39"/>
      <c r="E45" s="254" t="s">
        <v>1614</v>
      </c>
      <c r="F45" s="254" t="s">
        <v>1613</v>
      </c>
      <c r="G45" s="38"/>
      <c r="I45" s="38"/>
      <c r="J45" s="38"/>
      <c r="K45" s="38"/>
      <c r="L45" s="44" t="s">
        <v>764</v>
      </c>
      <c r="M45" s="43">
        <v>14040</v>
      </c>
      <c r="X45" s="38" t="s">
        <v>228</v>
      </c>
      <c r="Y45" s="38" t="s">
        <v>227</v>
      </c>
      <c r="AA45" s="35" t="s">
        <v>1054</v>
      </c>
      <c r="AB45" s="43">
        <v>631</v>
      </c>
    </row>
    <row r="46" spans="2:28">
      <c r="B46" s="39" t="s">
        <v>1241</v>
      </c>
      <c r="C46" s="39" t="s">
        <v>676</v>
      </c>
      <c r="D46" s="39"/>
      <c r="E46" s="254" t="s">
        <v>1616</v>
      </c>
      <c r="F46" s="254" t="s">
        <v>1615</v>
      </c>
      <c r="G46" s="38"/>
      <c r="I46" s="38"/>
      <c r="J46" s="38"/>
      <c r="K46" s="38"/>
      <c r="L46" s="44" t="s">
        <v>765</v>
      </c>
      <c r="M46" s="43">
        <v>14050</v>
      </c>
      <c r="X46" s="38" t="s">
        <v>230</v>
      </c>
      <c r="Y46" s="38" t="s">
        <v>229</v>
      </c>
      <c r="AA46" s="35" t="s">
        <v>1055</v>
      </c>
      <c r="AB46" s="43">
        <v>632</v>
      </c>
    </row>
    <row r="47" spans="2:28" ht="25.5">
      <c r="B47" s="39" t="s">
        <v>1242</v>
      </c>
      <c r="C47" s="39" t="s">
        <v>675</v>
      </c>
      <c r="D47" s="39"/>
      <c r="E47" s="254" t="s">
        <v>1618</v>
      </c>
      <c r="F47" s="254" t="s">
        <v>1617</v>
      </c>
      <c r="G47" s="38"/>
      <c r="I47" s="38"/>
      <c r="J47" s="38"/>
      <c r="K47" s="38"/>
      <c r="L47" s="44" t="s">
        <v>766</v>
      </c>
      <c r="M47" s="43">
        <v>14081</v>
      </c>
      <c r="X47" s="38" t="s">
        <v>232</v>
      </c>
      <c r="Y47" s="38" t="s">
        <v>231</v>
      </c>
      <c r="AA47" s="42" t="s">
        <v>1056</v>
      </c>
      <c r="AB47" s="62">
        <v>700</v>
      </c>
    </row>
    <row r="48" spans="2:28">
      <c r="B48" s="39" t="s">
        <v>1243</v>
      </c>
      <c r="C48" s="39" t="s">
        <v>674</v>
      </c>
      <c r="D48" s="39"/>
      <c r="E48" s="254" t="s">
        <v>1620</v>
      </c>
      <c r="F48" s="254" t="s">
        <v>1619</v>
      </c>
      <c r="G48" s="38"/>
      <c r="I48" s="38"/>
      <c r="J48" s="38"/>
      <c r="K48" s="38"/>
      <c r="L48" s="42" t="s">
        <v>767</v>
      </c>
      <c r="M48" s="41">
        <v>150</v>
      </c>
      <c r="X48" s="38" t="s">
        <v>234</v>
      </c>
      <c r="Y48" s="38" t="s">
        <v>233</v>
      </c>
      <c r="AA48" s="35" t="s">
        <v>1057</v>
      </c>
      <c r="AB48" s="43">
        <v>710</v>
      </c>
    </row>
    <row r="49" spans="2:28" ht="25.5">
      <c r="B49" s="39" t="s">
        <v>1244</v>
      </c>
      <c r="C49" s="39" t="s">
        <v>673</v>
      </c>
      <c r="D49" s="39"/>
      <c r="E49" s="254" t="s">
        <v>1622</v>
      </c>
      <c r="F49" s="254" t="s">
        <v>1621</v>
      </c>
      <c r="G49" s="38"/>
      <c r="I49" s="38"/>
      <c r="J49" s="38"/>
      <c r="K49" s="38"/>
      <c r="L49" s="44" t="s">
        <v>768</v>
      </c>
      <c r="M49" s="43">
        <v>151</v>
      </c>
      <c r="X49" s="38" t="s">
        <v>236</v>
      </c>
      <c r="Y49" s="38" t="s">
        <v>235</v>
      </c>
      <c r="AA49" s="35" t="s">
        <v>1058</v>
      </c>
      <c r="AB49" s="43">
        <v>711</v>
      </c>
    </row>
    <row r="50" spans="2:28" ht="26.25">
      <c r="B50" s="39" t="s">
        <v>1245</v>
      </c>
      <c r="C50" s="39" t="s">
        <v>672</v>
      </c>
      <c r="D50" s="39"/>
      <c r="E50" s="254" t="s">
        <v>1624</v>
      </c>
      <c r="F50" s="254" t="s">
        <v>1623</v>
      </c>
      <c r="G50" s="38"/>
      <c r="I50" s="38"/>
      <c r="J50" s="38"/>
      <c r="K50" s="38"/>
      <c r="L50" s="44" t="s">
        <v>769</v>
      </c>
      <c r="M50" s="43">
        <v>15110</v>
      </c>
      <c r="X50" s="38" t="s">
        <v>238</v>
      </c>
      <c r="Y50" s="38" t="s">
        <v>237</v>
      </c>
      <c r="AA50" s="42" t="s">
        <v>1059</v>
      </c>
      <c r="AB50" s="62">
        <v>800</v>
      </c>
    </row>
    <row r="51" spans="2:28" ht="25.5">
      <c r="B51" s="39" t="s">
        <v>1246</v>
      </c>
      <c r="C51" s="39" t="s">
        <v>671</v>
      </c>
      <c r="D51" s="39"/>
      <c r="E51" s="254" t="s">
        <v>1626</v>
      </c>
      <c r="F51" s="254" t="s">
        <v>1625</v>
      </c>
      <c r="G51" s="38"/>
      <c r="I51" s="38"/>
      <c r="J51" s="38"/>
      <c r="K51" s="38"/>
      <c r="L51" s="44" t="s">
        <v>770</v>
      </c>
      <c r="M51" s="43">
        <v>15120</v>
      </c>
      <c r="X51" s="38" t="s">
        <v>240</v>
      </c>
      <c r="Y51" s="38" t="s">
        <v>239</v>
      </c>
      <c r="AA51" s="35" t="s">
        <v>1060</v>
      </c>
      <c r="AB51" s="43">
        <v>810</v>
      </c>
    </row>
    <row r="52" spans="2:28" ht="26.25">
      <c r="B52" s="39" t="s">
        <v>1247</v>
      </c>
      <c r="C52" s="39" t="s">
        <v>670</v>
      </c>
      <c r="D52" s="39"/>
      <c r="E52" s="254" t="s">
        <v>1628</v>
      </c>
      <c r="F52" s="254" t="s">
        <v>1627</v>
      </c>
      <c r="G52" s="38"/>
      <c r="I52" s="38"/>
      <c r="J52" s="38"/>
      <c r="K52" s="38"/>
      <c r="L52" s="44" t="s">
        <v>771</v>
      </c>
      <c r="M52" s="43">
        <v>15130</v>
      </c>
      <c r="X52" s="38" t="s">
        <v>242</v>
      </c>
      <c r="Y52" s="38" t="s">
        <v>241</v>
      </c>
      <c r="AA52" s="35" t="s">
        <v>1061</v>
      </c>
      <c r="AB52" s="43">
        <v>811</v>
      </c>
    </row>
    <row r="53" spans="2:28">
      <c r="B53" s="39" t="s">
        <v>1248</v>
      </c>
      <c r="C53" s="39" t="s">
        <v>669</v>
      </c>
      <c r="D53" s="39"/>
      <c r="E53" s="254" t="s">
        <v>1630</v>
      </c>
      <c r="F53" s="254" t="s">
        <v>1629</v>
      </c>
      <c r="G53" s="38"/>
      <c r="I53" s="38"/>
      <c r="J53" s="38"/>
      <c r="K53" s="38"/>
      <c r="L53" s="44" t="s">
        <v>772</v>
      </c>
      <c r="M53" s="43">
        <v>15140</v>
      </c>
      <c r="X53" s="38" t="s">
        <v>243</v>
      </c>
      <c r="Y53" s="38" t="s">
        <v>112</v>
      </c>
      <c r="AA53" s="42" t="s">
        <v>1062</v>
      </c>
      <c r="AB53" s="62">
        <v>900</v>
      </c>
    </row>
    <row r="54" spans="2:28" ht="39">
      <c r="B54" s="39" t="s">
        <v>1249</v>
      </c>
      <c r="C54" s="39" t="s">
        <v>668</v>
      </c>
      <c r="D54" s="39"/>
      <c r="E54" s="254" t="s">
        <v>377</v>
      </c>
      <c r="F54" s="254" t="s">
        <v>1631</v>
      </c>
      <c r="G54" s="38"/>
      <c r="I54" s="38"/>
      <c r="J54" s="38"/>
      <c r="K54" s="38"/>
      <c r="L54" s="44" t="s">
        <v>773</v>
      </c>
      <c r="M54" s="43">
        <v>15150</v>
      </c>
      <c r="X54" s="38" t="s">
        <v>245</v>
      </c>
      <c r="Y54" s="38" t="s">
        <v>244</v>
      </c>
      <c r="AA54" s="35" t="s">
        <v>1063</v>
      </c>
      <c r="AB54" s="43">
        <v>910</v>
      </c>
    </row>
    <row r="55" spans="2:28">
      <c r="B55" s="39" t="s">
        <v>1250</v>
      </c>
      <c r="C55" s="39" t="s">
        <v>667</v>
      </c>
      <c r="D55" s="39"/>
      <c r="E55" s="254" t="s">
        <v>1633</v>
      </c>
      <c r="F55" s="254" t="s">
        <v>1632</v>
      </c>
      <c r="G55" s="38"/>
      <c r="I55" s="38"/>
      <c r="J55" s="38"/>
      <c r="K55" s="38"/>
      <c r="L55" s="44" t="s">
        <v>774</v>
      </c>
      <c r="M55" s="43">
        <v>15161</v>
      </c>
      <c r="X55" s="38" t="s">
        <v>247</v>
      </c>
      <c r="Y55" s="38" t="s">
        <v>246</v>
      </c>
      <c r="AA55" s="35" t="s">
        <v>1064</v>
      </c>
      <c r="AB55" s="43">
        <v>911</v>
      </c>
    </row>
    <row r="56" spans="2:28">
      <c r="B56" s="39" t="s">
        <v>1251</v>
      </c>
      <c r="C56" s="39" t="s">
        <v>666</v>
      </c>
      <c r="D56" s="39"/>
      <c r="E56" s="254" t="s">
        <v>1635</v>
      </c>
      <c r="F56" s="254" t="s">
        <v>1634</v>
      </c>
      <c r="G56" s="38"/>
      <c r="I56" s="38"/>
      <c r="J56" s="38"/>
      <c r="K56" s="38"/>
      <c r="L56" s="44" t="s">
        <v>775</v>
      </c>
      <c r="M56" s="43">
        <v>15162</v>
      </c>
      <c r="X56" s="38" t="s">
        <v>249</v>
      </c>
      <c r="Y56" s="38" t="s">
        <v>248</v>
      </c>
      <c r="AA56" s="35" t="s">
        <v>1065</v>
      </c>
      <c r="AB56" s="43">
        <v>912</v>
      </c>
    </row>
    <row r="57" spans="2:28">
      <c r="B57" s="39" t="s">
        <v>1252</v>
      </c>
      <c r="C57" s="39" t="s">
        <v>665</v>
      </c>
      <c r="D57" s="39"/>
      <c r="E57" s="254" t="s">
        <v>1637</v>
      </c>
      <c r="F57" s="254" t="s">
        <v>1636</v>
      </c>
      <c r="G57" s="38"/>
      <c r="I57" s="38"/>
      <c r="J57" s="38"/>
      <c r="K57" s="38"/>
      <c r="L57" s="44" t="s">
        <v>776</v>
      </c>
      <c r="M57" s="43">
        <v>15163</v>
      </c>
      <c r="X57" s="38" t="s">
        <v>251</v>
      </c>
      <c r="Y57" s="38" t="s">
        <v>250</v>
      </c>
    </row>
    <row r="58" spans="2:28" ht="25.5">
      <c r="B58" s="39" t="s">
        <v>1253</v>
      </c>
      <c r="C58" s="39" t="s">
        <v>664</v>
      </c>
      <c r="D58" s="39"/>
      <c r="E58" s="254" t="s">
        <v>1639</v>
      </c>
      <c r="F58" s="254" t="s">
        <v>1638</v>
      </c>
      <c r="G58" s="38"/>
      <c r="I58" s="38"/>
      <c r="J58" s="38"/>
      <c r="K58" s="38"/>
      <c r="L58" s="44" t="s">
        <v>777</v>
      </c>
      <c r="M58" s="43">
        <v>15164</v>
      </c>
      <c r="X58" s="38" t="s">
        <v>253</v>
      </c>
      <c r="Y58" s="38" t="s">
        <v>252</v>
      </c>
    </row>
    <row r="59" spans="2:28" ht="25.5">
      <c r="B59" s="39" t="s">
        <v>1254</v>
      </c>
      <c r="C59" s="39" t="s">
        <v>663</v>
      </c>
      <c r="D59" s="39"/>
      <c r="E59" s="254" t="s">
        <v>1641</v>
      </c>
      <c r="F59" s="254" t="s">
        <v>1640</v>
      </c>
      <c r="G59" s="38"/>
      <c r="I59" s="38"/>
      <c r="J59" s="38"/>
      <c r="K59" s="38"/>
      <c r="L59" s="44" t="s">
        <v>778</v>
      </c>
      <c r="M59" s="43">
        <v>152</v>
      </c>
      <c r="X59" s="38" t="s">
        <v>255</v>
      </c>
      <c r="Y59" s="38" t="s">
        <v>254</v>
      </c>
    </row>
    <row r="60" spans="2:28" ht="25.5">
      <c r="B60" s="39" t="s">
        <v>1255</v>
      </c>
      <c r="C60" s="39" t="s">
        <v>662</v>
      </c>
      <c r="D60" s="39"/>
      <c r="E60" s="254" t="s">
        <v>1643</v>
      </c>
      <c r="F60" s="254" t="s">
        <v>1642</v>
      </c>
      <c r="G60" s="38"/>
      <c r="I60" s="38"/>
      <c r="J60" s="38"/>
      <c r="K60" s="38"/>
      <c r="L60" s="44" t="s">
        <v>779</v>
      </c>
      <c r="M60" s="43">
        <v>15210</v>
      </c>
      <c r="X60" s="38" t="s">
        <v>257</v>
      </c>
      <c r="Y60" s="38" t="s">
        <v>256</v>
      </c>
    </row>
    <row r="61" spans="2:28" ht="25.5">
      <c r="B61" s="39" t="s">
        <v>1256</v>
      </c>
      <c r="C61" s="39" t="s">
        <v>661</v>
      </c>
      <c r="D61" s="39"/>
      <c r="E61" s="254" t="s">
        <v>1645</v>
      </c>
      <c r="F61" s="254" t="s">
        <v>1644</v>
      </c>
      <c r="G61" s="38"/>
      <c r="I61" s="38"/>
      <c r="J61" s="38"/>
      <c r="K61" s="38"/>
      <c r="L61" s="44" t="s">
        <v>780</v>
      </c>
      <c r="M61" s="43">
        <v>15220</v>
      </c>
      <c r="X61" s="38" t="s">
        <v>259</v>
      </c>
      <c r="Y61" s="38" t="s">
        <v>258</v>
      </c>
    </row>
    <row r="62" spans="2:28">
      <c r="B62" s="39" t="s">
        <v>1257</v>
      </c>
      <c r="C62" s="39" t="s">
        <v>660</v>
      </c>
      <c r="D62" s="39"/>
      <c r="E62" s="254" t="s">
        <v>1647</v>
      </c>
      <c r="F62" s="254" t="s">
        <v>1646</v>
      </c>
      <c r="G62" s="38"/>
      <c r="I62" s="38"/>
      <c r="J62" s="38"/>
      <c r="K62" s="38"/>
      <c r="L62" s="44" t="s">
        <v>781</v>
      </c>
      <c r="M62" s="43">
        <v>15230</v>
      </c>
      <c r="X62" s="38" t="s">
        <v>261</v>
      </c>
      <c r="Y62" s="38" t="s">
        <v>260</v>
      </c>
    </row>
    <row r="63" spans="2:28">
      <c r="B63" s="39" t="s">
        <v>1258</v>
      </c>
      <c r="C63" s="39" t="s">
        <v>659</v>
      </c>
      <c r="D63" s="39"/>
      <c r="E63" s="254" t="s">
        <v>1649</v>
      </c>
      <c r="F63" s="254" t="s">
        <v>1648</v>
      </c>
      <c r="G63" s="38"/>
      <c r="I63" s="38"/>
      <c r="J63" s="38"/>
      <c r="K63" s="38"/>
      <c r="L63" s="44" t="s">
        <v>782</v>
      </c>
      <c r="M63" s="43">
        <v>15240</v>
      </c>
      <c r="X63" s="38" t="s">
        <v>263</v>
      </c>
      <c r="Y63" s="38" t="s">
        <v>262</v>
      </c>
    </row>
    <row r="64" spans="2:28">
      <c r="B64" s="39" t="s">
        <v>1259</v>
      </c>
      <c r="C64" s="39" t="s">
        <v>658</v>
      </c>
      <c r="D64" s="39"/>
      <c r="E64" s="254" t="s">
        <v>1651</v>
      </c>
      <c r="F64" s="254" t="s">
        <v>1650</v>
      </c>
      <c r="G64" s="38"/>
      <c r="I64" s="38"/>
      <c r="J64" s="38"/>
      <c r="K64" s="38"/>
      <c r="L64" s="44" t="s">
        <v>783</v>
      </c>
      <c r="M64" s="43">
        <v>15250</v>
      </c>
      <c r="X64" s="38" t="s">
        <v>265</v>
      </c>
      <c r="Y64" s="38" t="s">
        <v>264</v>
      </c>
    </row>
    <row r="65" spans="2:25" ht="25.5">
      <c r="B65" s="39" t="s">
        <v>1260</v>
      </c>
      <c r="C65" s="39" t="s">
        <v>657</v>
      </c>
      <c r="D65" s="39"/>
      <c r="E65" s="254" t="s">
        <v>1653</v>
      </c>
      <c r="F65" s="254" t="s">
        <v>1652</v>
      </c>
      <c r="G65" s="38"/>
      <c r="I65" s="38"/>
      <c r="J65" s="38"/>
      <c r="K65" s="38"/>
      <c r="L65" s="44" t="s">
        <v>784</v>
      </c>
      <c r="M65" s="43">
        <v>15261</v>
      </c>
      <c r="X65" s="38" t="s">
        <v>267</v>
      </c>
      <c r="Y65" s="38" t="s">
        <v>266</v>
      </c>
    </row>
    <row r="66" spans="2:25" ht="25.5">
      <c r="B66" s="39" t="s">
        <v>1261</v>
      </c>
      <c r="C66" s="39" t="s">
        <v>656</v>
      </c>
      <c r="D66" s="39"/>
      <c r="E66" s="254" t="s">
        <v>1655</v>
      </c>
      <c r="F66" s="254" t="s">
        <v>1654</v>
      </c>
      <c r="G66" s="38"/>
      <c r="I66" s="38"/>
      <c r="J66" s="38"/>
      <c r="K66" s="38"/>
      <c r="L66" s="42" t="s">
        <v>785</v>
      </c>
      <c r="M66" s="41">
        <v>160</v>
      </c>
      <c r="X66" s="38" t="s">
        <v>269</v>
      </c>
      <c r="Y66" s="38" t="s">
        <v>268</v>
      </c>
    </row>
    <row r="67" spans="2:25">
      <c r="B67" s="39" t="s">
        <v>1262</v>
      </c>
      <c r="C67" s="39" t="s">
        <v>655</v>
      </c>
      <c r="D67" s="39"/>
      <c r="E67" s="254" t="s">
        <v>1657</v>
      </c>
      <c r="F67" s="254" t="s">
        <v>1656</v>
      </c>
      <c r="G67" s="38"/>
      <c r="I67" s="38"/>
      <c r="J67" s="38"/>
      <c r="K67" s="38"/>
      <c r="L67" s="44" t="s">
        <v>786</v>
      </c>
      <c r="M67" s="43">
        <v>16010</v>
      </c>
      <c r="X67" s="38" t="s">
        <v>271</v>
      </c>
      <c r="Y67" s="38" t="s">
        <v>270</v>
      </c>
    </row>
    <row r="68" spans="2:25" ht="25.5">
      <c r="B68" s="39" t="s">
        <v>1263</v>
      </c>
      <c r="C68" s="39" t="s">
        <v>654</v>
      </c>
      <c r="D68" s="39"/>
      <c r="E68" s="254" t="s">
        <v>1659</v>
      </c>
      <c r="F68" s="254" t="s">
        <v>1658</v>
      </c>
      <c r="G68" s="38"/>
      <c r="I68" s="38"/>
      <c r="J68" s="38"/>
      <c r="K68" s="38"/>
      <c r="L68" s="44" t="s">
        <v>787</v>
      </c>
      <c r="M68" s="43">
        <v>16020</v>
      </c>
      <c r="X68" s="38" t="s">
        <v>273</v>
      </c>
      <c r="Y68" s="38" t="s">
        <v>272</v>
      </c>
    </row>
    <row r="69" spans="2:25" ht="25.5">
      <c r="B69" s="39" t="s">
        <v>1264</v>
      </c>
      <c r="C69" s="39" t="s">
        <v>653</v>
      </c>
      <c r="D69" s="39"/>
      <c r="E69" s="254" t="s">
        <v>1661</v>
      </c>
      <c r="F69" s="254" t="s">
        <v>1660</v>
      </c>
      <c r="G69" s="38"/>
      <c r="I69" s="38"/>
      <c r="J69" s="38"/>
      <c r="K69" s="38"/>
      <c r="L69" s="44" t="s">
        <v>788</v>
      </c>
      <c r="M69" s="43">
        <v>16030</v>
      </c>
      <c r="X69" s="38" t="s">
        <v>275</v>
      </c>
      <c r="Y69" s="38" t="s">
        <v>274</v>
      </c>
    </row>
    <row r="70" spans="2:25">
      <c r="B70" s="39" t="s">
        <v>1265</v>
      </c>
      <c r="C70" s="39" t="s">
        <v>652</v>
      </c>
      <c r="D70" s="39"/>
      <c r="E70" s="254" t="s">
        <v>1663</v>
      </c>
      <c r="F70" s="254" t="s">
        <v>1662</v>
      </c>
      <c r="G70" s="38"/>
      <c r="I70" s="38"/>
      <c r="J70" s="38"/>
      <c r="K70" s="38"/>
      <c r="L70" s="44" t="s">
        <v>789</v>
      </c>
      <c r="M70" s="43">
        <v>16040</v>
      </c>
      <c r="X70" s="38" t="s">
        <v>277</v>
      </c>
      <c r="Y70" s="38" t="s">
        <v>276</v>
      </c>
    </row>
    <row r="71" spans="2:25" ht="25.5">
      <c r="B71" s="39" t="s">
        <v>1266</v>
      </c>
      <c r="C71" s="39" t="s">
        <v>651</v>
      </c>
      <c r="D71" s="39"/>
      <c r="E71" s="254" t="s">
        <v>1665</v>
      </c>
      <c r="F71" s="254" t="s">
        <v>1664</v>
      </c>
      <c r="G71" s="38"/>
      <c r="I71" s="38"/>
      <c r="J71" s="38"/>
      <c r="K71" s="38"/>
      <c r="L71" s="44" t="s">
        <v>790</v>
      </c>
      <c r="M71" s="43">
        <v>16050</v>
      </c>
      <c r="X71" s="38" t="s">
        <v>279</v>
      </c>
      <c r="Y71" s="38" t="s">
        <v>278</v>
      </c>
    </row>
    <row r="72" spans="2:25">
      <c r="B72" s="39" t="s">
        <v>1267</v>
      </c>
      <c r="C72" s="39" t="s">
        <v>650</v>
      </c>
      <c r="D72" s="39"/>
      <c r="E72" s="254" t="s">
        <v>1667</v>
      </c>
      <c r="F72" s="254" t="s">
        <v>1666</v>
      </c>
      <c r="G72" s="38"/>
      <c r="I72" s="38"/>
      <c r="J72" s="38"/>
      <c r="K72" s="38"/>
      <c r="L72" s="44" t="s">
        <v>791</v>
      </c>
      <c r="M72" s="43">
        <v>16061</v>
      </c>
      <c r="X72" s="38" t="s">
        <v>281</v>
      </c>
      <c r="Y72" s="38" t="s">
        <v>280</v>
      </c>
    </row>
    <row r="73" spans="2:25">
      <c r="B73" s="39" t="s">
        <v>1182</v>
      </c>
      <c r="C73" s="39" t="s">
        <v>649</v>
      </c>
      <c r="D73" s="39"/>
      <c r="E73" s="254" t="s">
        <v>1669</v>
      </c>
      <c r="F73" s="254" t="s">
        <v>1668</v>
      </c>
      <c r="G73" s="38"/>
      <c r="I73" s="38"/>
      <c r="J73" s="38"/>
      <c r="K73" s="38"/>
      <c r="L73" s="44" t="s">
        <v>792</v>
      </c>
      <c r="M73" s="43">
        <v>16062</v>
      </c>
      <c r="X73" s="38" t="s">
        <v>283</v>
      </c>
      <c r="Y73" s="38" t="s">
        <v>282</v>
      </c>
    </row>
    <row r="74" spans="2:25" ht="26.25">
      <c r="B74" s="39" t="s">
        <v>1268</v>
      </c>
      <c r="C74" s="39" t="s">
        <v>648</v>
      </c>
      <c r="D74" s="39"/>
      <c r="E74" s="254" t="s">
        <v>1671</v>
      </c>
      <c r="F74" s="254" t="s">
        <v>1670</v>
      </c>
      <c r="G74" s="38"/>
      <c r="I74" s="38"/>
      <c r="J74" s="38"/>
      <c r="K74" s="38"/>
      <c r="L74" s="44" t="s">
        <v>793</v>
      </c>
      <c r="M74" s="43">
        <v>16063</v>
      </c>
      <c r="X74" s="38" t="s">
        <v>285</v>
      </c>
      <c r="Y74" s="38" t="s">
        <v>284</v>
      </c>
    </row>
    <row r="75" spans="2:25">
      <c r="B75" s="39" t="s">
        <v>1269</v>
      </c>
      <c r="C75" s="39" t="s">
        <v>647</v>
      </c>
      <c r="D75" s="39"/>
      <c r="E75" s="254" t="s">
        <v>1673</v>
      </c>
      <c r="F75" s="254" t="s">
        <v>1672</v>
      </c>
      <c r="G75" s="38"/>
      <c r="I75" s="38"/>
      <c r="J75" s="38"/>
      <c r="K75" s="38"/>
      <c r="L75" s="44" t="s">
        <v>794</v>
      </c>
      <c r="M75" s="43">
        <v>16064</v>
      </c>
      <c r="X75" s="38" t="s">
        <v>287</v>
      </c>
      <c r="Y75" s="38" t="s">
        <v>286</v>
      </c>
    </row>
    <row r="76" spans="2:25">
      <c r="B76" s="39" t="s">
        <v>1270</v>
      </c>
      <c r="C76" s="39" t="s">
        <v>646</v>
      </c>
      <c r="D76" s="39"/>
      <c r="E76" s="254" t="s">
        <v>1675</v>
      </c>
      <c r="F76" s="254" t="s">
        <v>1674</v>
      </c>
      <c r="G76" s="38"/>
      <c r="I76" s="38"/>
      <c r="J76" s="38"/>
      <c r="K76" s="38"/>
      <c r="L76" s="42" t="s">
        <v>795</v>
      </c>
      <c r="M76" s="41">
        <v>210</v>
      </c>
      <c r="X76" s="38" t="s">
        <v>289</v>
      </c>
      <c r="Y76" s="38" t="s">
        <v>288</v>
      </c>
    </row>
    <row r="77" spans="2:25" ht="25.5">
      <c r="B77" s="39" t="s">
        <v>1271</v>
      </c>
      <c r="C77" s="39" t="s">
        <v>645</v>
      </c>
      <c r="D77" s="39"/>
      <c r="E77" s="254" t="s">
        <v>1677</v>
      </c>
      <c r="F77" s="254" t="s">
        <v>1676</v>
      </c>
      <c r="G77" s="38"/>
      <c r="I77" s="38"/>
      <c r="J77" s="38"/>
      <c r="K77" s="38"/>
      <c r="L77" s="44" t="s">
        <v>796</v>
      </c>
      <c r="M77" s="43">
        <v>21010</v>
      </c>
      <c r="X77" s="38" t="s">
        <v>291</v>
      </c>
      <c r="Y77" s="38" t="s">
        <v>290</v>
      </c>
    </row>
    <row r="78" spans="2:25">
      <c r="B78" s="39" t="s">
        <v>1272</v>
      </c>
      <c r="C78" s="39" t="s">
        <v>644</v>
      </c>
      <c r="D78" s="39"/>
      <c r="E78" s="254" t="s">
        <v>1679</v>
      </c>
      <c r="F78" s="254" t="s">
        <v>1678</v>
      </c>
      <c r="G78" s="38"/>
      <c r="I78" s="38"/>
      <c r="J78" s="38"/>
      <c r="K78" s="38"/>
      <c r="L78" s="44" t="s">
        <v>797</v>
      </c>
      <c r="M78" s="43">
        <v>21020</v>
      </c>
      <c r="X78" s="38" t="s">
        <v>293</v>
      </c>
      <c r="Y78" s="38" t="s">
        <v>292</v>
      </c>
    </row>
    <row r="79" spans="2:25">
      <c r="B79" s="39" t="s">
        <v>1273</v>
      </c>
      <c r="C79" s="39" t="s">
        <v>643</v>
      </c>
      <c r="D79" s="39"/>
      <c r="E79" s="254" t="s">
        <v>1681</v>
      </c>
      <c r="F79" s="254" t="s">
        <v>1680</v>
      </c>
      <c r="G79" s="38"/>
      <c r="I79" s="38"/>
      <c r="J79" s="38"/>
      <c r="K79" s="38"/>
      <c r="L79" s="44" t="s">
        <v>798</v>
      </c>
      <c r="M79" s="43">
        <v>21030</v>
      </c>
      <c r="X79" s="38" t="s">
        <v>295</v>
      </c>
      <c r="Y79" s="38" t="s">
        <v>294</v>
      </c>
    </row>
    <row r="80" spans="2:25">
      <c r="B80" s="39" t="s">
        <v>1274</v>
      </c>
      <c r="C80" s="39" t="s">
        <v>642</v>
      </c>
      <c r="D80" s="39"/>
      <c r="E80" s="254" t="s">
        <v>1683</v>
      </c>
      <c r="F80" s="254" t="s">
        <v>1682</v>
      </c>
      <c r="G80" s="38"/>
      <c r="I80" s="38"/>
      <c r="J80" s="38"/>
      <c r="K80" s="38"/>
      <c r="L80" s="44" t="s">
        <v>799</v>
      </c>
      <c r="M80" s="43">
        <v>21040</v>
      </c>
      <c r="X80" s="38" t="s">
        <v>297</v>
      </c>
      <c r="Y80" s="38" t="s">
        <v>296</v>
      </c>
    </row>
    <row r="81" spans="2:25" ht="26.25">
      <c r="B81" s="39" t="s">
        <v>1275</v>
      </c>
      <c r="C81" s="39" t="s">
        <v>641</v>
      </c>
      <c r="D81" s="39"/>
      <c r="E81" s="254" t="s">
        <v>1685</v>
      </c>
      <c r="F81" s="254" t="s">
        <v>1684</v>
      </c>
      <c r="G81" s="38"/>
      <c r="I81" s="38"/>
      <c r="J81" s="38"/>
      <c r="K81" s="38"/>
      <c r="L81" s="44" t="s">
        <v>800</v>
      </c>
      <c r="M81" s="43">
        <v>21050</v>
      </c>
      <c r="X81" s="38" t="s">
        <v>299</v>
      </c>
      <c r="Y81" s="38" t="s">
        <v>298</v>
      </c>
    </row>
    <row r="82" spans="2:25" ht="26.25">
      <c r="B82" s="39" t="s">
        <v>1276</v>
      </c>
      <c r="C82" s="39" t="s">
        <v>640</v>
      </c>
      <c r="D82" s="39"/>
      <c r="E82" s="254" t="s">
        <v>1687</v>
      </c>
      <c r="F82" s="254" t="s">
        <v>1686</v>
      </c>
      <c r="G82" s="38"/>
      <c r="I82" s="38"/>
      <c r="J82" s="38"/>
      <c r="K82" s="38"/>
      <c r="L82" s="44" t="s">
        <v>801</v>
      </c>
      <c r="M82" s="43">
        <v>21061</v>
      </c>
      <c r="X82" s="38" t="s">
        <v>301</v>
      </c>
      <c r="Y82" s="38" t="s">
        <v>300</v>
      </c>
    </row>
    <row r="83" spans="2:25" ht="25.5">
      <c r="B83" s="39" t="s">
        <v>1277</v>
      </c>
      <c r="C83" s="39" t="s">
        <v>639</v>
      </c>
      <c r="D83" s="39"/>
      <c r="E83" s="254" t="s">
        <v>1689</v>
      </c>
      <c r="F83" s="254" t="s">
        <v>1688</v>
      </c>
      <c r="G83" s="38"/>
      <c r="I83" s="38"/>
      <c r="J83" s="38"/>
      <c r="K83" s="38"/>
      <c r="L83" s="44" t="s">
        <v>802</v>
      </c>
      <c r="M83" s="43">
        <v>21081</v>
      </c>
      <c r="X83" s="38" t="s">
        <v>303</v>
      </c>
      <c r="Y83" s="38" t="s">
        <v>302</v>
      </c>
    </row>
    <row r="84" spans="2:25">
      <c r="B84" s="39" t="s">
        <v>1278</v>
      </c>
      <c r="C84" s="39" t="s">
        <v>638</v>
      </c>
      <c r="D84" s="39"/>
      <c r="E84" s="254" t="s">
        <v>1691</v>
      </c>
      <c r="F84" s="254" t="s">
        <v>1690</v>
      </c>
      <c r="G84" s="38"/>
      <c r="I84" s="38"/>
      <c r="J84" s="38"/>
      <c r="K84" s="38"/>
      <c r="L84" s="42" t="s">
        <v>803</v>
      </c>
      <c r="M84" s="41">
        <v>220</v>
      </c>
      <c r="X84" s="38" t="s">
        <v>305</v>
      </c>
      <c r="Y84" s="38" t="s">
        <v>304</v>
      </c>
    </row>
    <row r="85" spans="2:25" ht="25.5">
      <c r="B85" s="39" t="s">
        <v>1279</v>
      </c>
      <c r="C85" s="39" t="s">
        <v>637</v>
      </c>
      <c r="D85" s="39"/>
      <c r="E85" s="254" t="s">
        <v>1693</v>
      </c>
      <c r="F85" s="254" t="s">
        <v>1692</v>
      </c>
      <c r="G85" s="38"/>
      <c r="I85" s="38"/>
      <c r="J85" s="38"/>
      <c r="K85" s="38"/>
      <c r="L85" s="44" t="s">
        <v>804</v>
      </c>
      <c r="M85" s="43">
        <v>22010</v>
      </c>
      <c r="X85" s="38" t="s">
        <v>307</v>
      </c>
      <c r="Y85" s="38" t="s">
        <v>306</v>
      </c>
    </row>
    <row r="86" spans="2:25">
      <c r="B86" s="39" t="s">
        <v>1177</v>
      </c>
      <c r="C86" s="39" t="s">
        <v>123</v>
      </c>
      <c r="D86" s="39"/>
      <c r="E86" s="254" t="s">
        <v>1695</v>
      </c>
      <c r="F86" s="254" t="s">
        <v>1694</v>
      </c>
      <c r="G86" s="38"/>
      <c r="I86" s="38"/>
      <c r="J86" s="38"/>
      <c r="K86" s="38"/>
      <c r="L86" s="44" t="s">
        <v>805</v>
      </c>
      <c r="M86" s="43">
        <v>22020</v>
      </c>
      <c r="X86" s="38" t="s">
        <v>309</v>
      </c>
      <c r="Y86" s="38" t="s">
        <v>308</v>
      </c>
    </row>
    <row r="87" spans="2:25">
      <c r="B87" s="39" t="s">
        <v>1280</v>
      </c>
      <c r="C87" s="39" t="s">
        <v>636</v>
      </c>
      <c r="D87" s="39"/>
      <c r="E87" s="254" t="s">
        <v>1697</v>
      </c>
      <c r="F87" s="254" t="s">
        <v>1696</v>
      </c>
      <c r="G87" s="38"/>
      <c r="I87" s="38"/>
      <c r="J87" s="38"/>
      <c r="K87" s="38"/>
      <c r="L87" s="44" t="s">
        <v>806</v>
      </c>
      <c r="M87" s="43">
        <v>22030</v>
      </c>
      <c r="X87" s="38" t="s">
        <v>311</v>
      </c>
      <c r="Y87" s="38" t="s">
        <v>310</v>
      </c>
    </row>
    <row r="88" spans="2:25" ht="25.5">
      <c r="B88" s="39" t="s">
        <v>1281</v>
      </c>
      <c r="C88" s="39" t="s">
        <v>635</v>
      </c>
      <c r="D88" s="39"/>
      <c r="E88" s="254" t="s">
        <v>1699</v>
      </c>
      <c r="F88" s="254" t="s">
        <v>1698</v>
      </c>
      <c r="G88" s="38"/>
      <c r="I88" s="38"/>
      <c r="J88" s="38"/>
      <c r="K88" s="38"/>
      <c r="L88" s="44" t="s">
        <v>807</v>
      </c>
      <c r="M88" s="43">
        <v>22040</v>
      </c>
      <c r="X88" s="38" t="s">
        <v>313</v>
      </c>
      <c r="Y88" s="38" t="s">
        <v>312</v>
      </c>
    </row>
    <row r="89" spans="2:25">
      <c r="B89" s="39" t="s">
        <v>1282</v>
      </c>
      <c r="C89" s="39" t="s">
        <v>634</v>
      </c>
      <c r="D89" s="39"/>
      <c r="E89" s="254" t="s">
        <v>1701</v>
      </c>
      <c r="F89" s="254" t="s">
        <v>1700</v>
      </c>
      <c r="G89" s="38"/>
      <c r="I89" s="38"/>
      <c r="J89" s="38"/>
      <c r="K89" s="38"/>
      <c r="L89" s="42" t="s">
        <v>808</v>
      </c>
      <c r="M89" s="41">
        <v>230</v>
      </c>
      <c r="X89" s="38" t="s">
        <v>315</v>
      </c>
      <c r="Y89" s="38" t="s">
        <v>314</v>
      </c>
    </row>
    <row r="90" spans="2:25" ht="25.5">
      <c r="B90" s="39" t="s">
        <v>1283</v>
      </c>
      <c r="C90" s="39" t="s">
        <v>633</v>
      </c>
      <c r="D90" s="39"/>
      <c r="E90" s="254" t="s">
        <v>1703</v>
      </c>
      <c r="F90" s="254" t="s">
        <v>1702</v>
      </c>
      <c r="G90" s="38"/>
      <c r="I90" s="38"/>
      <c r="J90" s="38"/>
      <c r="K90" s="38"/>
      <c r="L90" s="44" t="s">
        <v>809</v>
      </c>
      <c r="M90" s="43">
        <v>23010</v>
      </c>
      <c r="X90" s="38" t="s">
        <v>317</v>
      </c>
      <c r="Y90" s="38" t="s">
        <v>316</v>
      </c>
    </row>
    <row r="91" spans="2:25" ht="25.5">
      <c r="B91" s="39" t="s">
        <v>1284</v>
      </c>
      <c r="C91" s="39" t="s">
        <v>632</v>
      </c>
      <c r="D91" s="39"/>
      <c r="E91" s="254" t="s">
        <v>1705</v>
      </c>
      <c r="F91" s="254" t="s">
        <v>1704</v>
      </c>
      <c r="G91" s="38"/>
      <c r="I91" s="38"/>
      <c r="J91" s="38"/>
      <c r="K91" s="38"/>
      <c r="L91" s="44" t="s">
        <v>810</v>
      </c>
      <c r="M91" s="43">
        <v>23020</v>
      </c>
      <c r="X91" s="38" t="s">
        <v>319</v>
      </c>
      <c r="Y91" s="38" t="s">
        <v>318</v>
      </c>
    </row>
    <row r="92" spans="2:25" ht="25.5">
      <c r="B92" s="39" t="s">
        <v>1285</v>
      </c>
      <c r="C92" s="39" t="s">
        <v>631</v>
      </c>
      <c r="D92" s="39"/>
      <c r="E92" s="254" t="s">
        <v>1707</v>
      </c>
      <c r="F92" s="254" t="s">
        <v>1706</v>
      </c>
      <c r="G92" s="38"/>
      <c r="I92" s="38"/>
      <c r="J92" s="38"/>
      <c r="K92" s="38"/>
      <c r="L92" s="44" t="s">
        <v>811</v>
      </c>
      <c r="M92" s="43">
        <v>23030</v>
      </c>
      <c r="X92" s="38" t="s">
        <v>321</v>
      </c>
      <c r="Y92" s="38" t="s">
        <v>320</v>
      </c>
    </row>
    <row r="93" spans="2:25" ht="25.5">
      <c r="B93" s="39" t="s">
        <v>1286</v>
      </c>
      <c r="C93" s="39" t="s">
        <v>630</v>
      </c>
      <c r="D93" s="39"/>
      <c r="E93" s="254" t="s">
        <v>1709</v>
      </c>
      <c r="F93" s="254" t="s">
        <v>1708</v>
      </c>
      <c r="G93" s="38"/>
      <c r="I93" s="38"/>
      <c r="J93" s="38"/>
      <c r="K93" s="38"/>
      <c r="L93" s="44" t="s">
        <v>812</v>
      </c>
      <c r="M93" s="43">
        <v>23040</v>
      </c>
      <c r="X93" s="38" t="s">
        <v>323</v>
      </c>
      <c r="Y93" s="38" t="s">
        <v>322</v>
      </c>
    </row>
    <row r="94" spans="2:25">
      <c r="B94" s="39" t="s">
        <v>1287</v>
      </c>
      <c r="C94" s="39" t="s">
        <v>629</v>
      </c>
      <c r="D94" s="39"/>
      <c r="E94" s="254" t="s">
        <v>1711</v>
      </c>
      <c r="F94" s="254" t="s">
        <v>1710</v>
      </c>
      <c r="G94" s="38"/>
      <c r="I94" s="38"/>
      <c r="J94" s="38"/>
      <c r="K94" s="38"/>
      <c r="L94" s="44" t="s">
        <v>813</v>
      </c>
      <c r="M94" s="43">
        <v>23050</v>
      </c>
      <c r="X94" s="38" t="s">
        <v>325</v>
      </c>
      <c r="Y94" s="38" t="s">
        <v>324</v>
      </c>
    </row>
    <row r="95" spans="2:25">
      <c r="B95" s="39" t="s">
        <v>1288</v>
      </c>
      <c r="C95" s="39" t="s">
        <v>628</v>
      </c>
      <c r="D95" s="39"/>
      <c r="E95" s="254" t="s">
        <v>1713</v>
      </c>
      <c r="F95" s="254" t="s">
        <v>1712</v>
      </c>
      <c r="G95" s="38"/>
      <c r="I95" s="38"/>
      <c r="J95" s="38"/>
      <c r="K95" s="38"/>
      <c r="L95" s="44" t="s">
        <v>814</v>
      </c>
      <c r="M95" s="43">
        <v>23061</v>
      </c>
      <c r="X95" s="38" t="s">
        <v>327</v>
      </c>
      <c r="Y95" s="38" t="s">
        <v>326</v>
      </c>
    </row>
    <row r="96" spans="2:25">
      <c r="B96" s="39" t="s">
        <v>1289</v>
      </c>
      <c r="C96" s="39" t="s">
        <v>627</v>
      </c>
      <c r="D96" s="39"/>
      <c r="E96" s="254" t="s">
        <v>1715</v>
      </c>
      <c r="F96" s="254" t="s">
        <v>1714</v>
      </c>
      <c r="G96" s="38"/>
      <c r="I96" s="38"/>
      <c r="J96" s="38"/>
      <c r="K96" s="38"/>
      <c r="L96" s="44" t="s">
        <v>815</v>
      </c>
      <c r="M96" s="43">
        <v>23062</v>
      </c>
      <c r="X96" s="38" t="s">
        <v>329</v>
      </c>
      <c r="Y96" s="38" t="s">
        <v>328</v>
      </c>
    </row>
    <row r="97" spans="2:25">
      <c r="B97" s="39" t="s">
        <v>1290</v>
      </c>
      <c r="C97" s="39" t="s">
        <v>626</v>
      </c>
      <c r="D97" s="39"/>
      <c r="E97" s="254" t="s">
        <v>1717</v>
      </c>
      <c r="F97" s="254" t="s">
        <v>1716</v>
      </c>
      <c r="G97" s="38"/>
      <c r="I97" s="38"/>
      <c r="J97" s="38"/>
      <c r="K97" s="38"/>
      <c r="L97" s="44" t="s">
        <v>816</v>
      </c>
      <c r="M97" s="43">
        <v>23063</v>
      </c>
      <c r="X97" s="38" t="s">
        <v>331</v>
      </c>
      <c r="Y97" s="38" t="s">
        <v>330</v>
      </c>
    </row>
    <row r="98" spans="2:25">
      <c r="B98" s="39" t="s">
        <v>1291</v>
      </c>
      <c r="C98" s="39" t="s">
        <v>625</v>
      </c>
      <c r="D98" s="39"/>
      <c r="E98" s="254" t="s">
        <v>1719</v>
      </c>
      <c r="F98" s="254" t="s">
        <v>1718</v>
      </c>
      <c r="G98" s="38"/>
      <c r="I98" s="38"/>
      <c r="J98" s="38"/>
      <c r="K98" s="38"/>
      <c r="L98" s="44" t="s">
        <v>817</v>
      </c>
      <c r="M98" s="43">
        <v>23064</v>
      </c>
      <c r="X98" s="38" t="s">
        <v>333</v>
      </c>
      <c r="Y98" s="38" t="s">
        <v>332</v>
      </c>
    </row>
    <row r="99" spans="2:25" ht="26.25">
      <c r="B99" s="39" t="s">
        <v>1292</v>
      </c>
      <c r="C99" s="39" t="s">
        <v>624</v>
      </c>
      <c r="D99" s="39"/>
      <c r="E99" s="254" t="s">
        <v>1721</v>
      </c>
      <c r="F99" s="254" t="s">
        <v>1720</v>
      </c>
      <c r="G99" s="38"/>
      <c r="I99" s="38"/>
      <c r="J99" s="38"/>
      <c r="K99" s="38"/>
      <c r="L99" s="44" t="s">
        <v>818</v>
      </c>
      <c r="M99" s="43">
        <v>23065</v>
      </c>
      <c r="X99" s="38" t="s">
        <v>335</v>
      </c>
      <c r="Y99" s="38" t="s">
        <v>334</v>
      </c>
    </row>
    <row r="100" spans="2:25" ht="26.25">
      <c r="B100" s="39" t="s">
        <v>1293</v>
      </c>
      <c r="C100" s="39" t="s">
        <v>623</v>
      </c>
      <c r="D100" s="39"/>
      <c r="E100" s="254" t="s">
        <v>1723</v>
      </c>
      <c r="F100" s="254" t="s">
        <v>1722</v>
      </c>
      <c r="G100" s="38"/>
      <c r="I100" s="38"/>
      <c r="J100" s="38"/>
      <c r="K100" s="38"/>
      <c r="L100" s="44" t="s">
        <v>819</v>
      </c>
      <c r="M100" s="43">
        <v>23066</v>
      </c>
      <c r="X100" s="38" t="s">
        <v>337</v>
      </c>
      <c r="Y100" s="38" t="s">
        <v>336</v>
      </c>
    </row>
    <row r="101" spans="2:25">
      <c r="B101" s="39" t="s">
        <v>1294</v>
      </c>
      <c r="C101" s="39" t="s">
        <v>622</v>
      </c>
      <c r="D101" s="39"/>
      <c r="E101" s="254" t="s">
        <v>1725</v>
      </c>
      <c r="F101" s="254" t="s">
        <v>1724</v>
      </c>
      <c r="G101" s="38"/>
      <c r="I101" s="38"/>
      <c r="J101" s="38"/>
      <c r="K101" s="38"/>
      <c r="L101" s="44" t="s">
        <v>820</v>
      </c>
      <c r="M101" s="43">
        <v>23067</v>
      </c>
      <c r="X101" s="38" t="s">
        <v>339</v>
      </c>
      <c r="Y101" s="38" t="s">
        <v>338</v>
      </c>
    </row>
    <row r="102" spans="2:25">
      <c r="B102" s="39" t="s">
        <v>1295</v>
      </c>
      <c r="C102" s="39" t="s">
        <v>621</v>
      </c>
      <c r="D102" s="39"/>
      <c r="E102" s="254" t="s">
        <v>1727</v>
      </c>
      <c r="F102" s="254" t="s">
        <v>1726</v>
      </c>
      <c r="G102" s="38"/>
      <c r="I102" s="38"/>
      <c r="J102" s="38"/>
      <c r="K102" s="38"/>
      <c r="L102" s="44" t="s">
        <v>821</v>
      </c>
      <c r="M102" s="43">
        <v>23068</v>
      </c>
      <c r="X102" s="38" t="s">
        <v>341</v>
      </c>
      <c r="Y102" s="38" t="s">
        <v>340</v>
      </c>
    </row>
    <row r="103" spans="2:25">
      <c r="B103" s="39" t="s">
        <v>1296</v>
      </c>
      <c r="C103" s="39" t="s">
        <v>620</v>
      </c>
      <c r="D103" s="39"/>
      <c r="E103" s="254" t="s">
        <v>1729</v>
      </c>
      <c r="F103" s="254" t="s">
        <v>1728</v>
      </c>
      <c r="G103" s="38"/>
      <c r="I103" s="38"/>
      <c r="J103" s="38"/>
      <c r="K103" s="38"/>
      <c r="L103" s="44" t="s">
        <v>822</v>
      </c>
      <c r="M103" s="43">
        <v>23069</v>
      </c>
      <c r="X103" s="38" t="s">
        <v>343</v>
      </c>
      <c r="Y103" s="38" t="s">
        <v>342</v>
      </c>
    </row>
    <row r="104" spans="2:25" ht="26.25">
      <c r="B104" s="39" t="s">
        <v>1297</v>
      </c>
      <c r="C104" s="39" t="s">
        <v>619</v>
      </c>
      <c r="D104" s="39"/>
      <c r="E104" s="254" t="s">
        <v>1731</v>
      </c>
      <c r="F104" s="254" t="s">
        <v>1730</v>
      </c>
      <c r="G104" s="38"/>
      <c r="I104" s="38"/>
      <c r="J104" s="38"/>
      <c r="K104" s="38"/>
      <c r="L104" s="44" t="s">
        <v>823</v>
      </c>
      <c r="M104" s="43">
        <v>23070</v>
      </c>
      <c r="X104" s="38" t="s">
        <v>345</v>
      </c>
      <c r="Y104" s="38" t="s">
        <v>344</v>
      </c>
    </row>
    <row r="105" spans="2:25">
      <c r="B105" s="39" t="s">
        <v>1183</v>
      </c>
      <c r="C105" s="39" t="s">
        <v>618</v>
      </c>
      <c r="D105" s="39"/>
      <c r="E105" s="254" t="s">
        <v>1733</v>
      </c>
      <c r="F105" s="254" t="s">
        <v>1732</v>
      </c>
      <c r="G105" s="38"/>
      <c r="I105" s="38"/>
      <c r="J105" s="38"/>
      <c r="K105" s="38"/>
      <c r="L105" s="44" t="s">
        <v>824</v>
      </c>
      <c r="M105" s="43">
        <v>23081</v>
      </c>
      <c r="X105" s="38" t="s">
        <v>347</v>
      </c>
      <c r="Y105" s="38" t="s">
        <v>346</v>
      </c>
    </row>
    <row r="106" spans="2:25">
      <c r="B106" s="39" t="s">
        <v>1298</v>
      </c>
      <c r="C106" s="39" t="s">
        <v>617</v>
      </c>
      <c r="D106" s="39"/>
      <c r="E106" s="254" t="s">
        <v>1735</v>
      </c>
      <c r="F106" s="254" t="s">
        <v>1734</v>
      </c>
      <c r="G106" s="38"/>
      <c r="I106" s="38"/>
      <c r="J106" s="38"/>
      <c r="K106" s="38"/>
      <c r="L106" s="44" t="s">
        <v>825</v>
      </c>
      <c r="M106" s="43">
        <v>23082</v>
      </c>
      <c r="X106" s="38" t="s">
        <v>349</v>
      </c>
      <c r="Y106" s="38" t="s">
        <v>348</v>
      </c>
    </row>
    <row r="107" spans="2:25" ht="26.25">
      <c r="B107" s="39" t="s">
        <v>1299</v>
      </c>
      <c r="C107" s="39" t="s">
        <v>616</v>
      </c>
      <c r="D107" s="39"/>
      <c r="E107" s="254" t="s">
        <v>1737</v>
      </c>
      <c r="F107" s="254" t="s">
        <v>1736</v>
      </c>
      <c r="G107" s="38"/>
      <c r="I107" s="38"/>
      <c r="J107" s="38"/>
      <c r="K107" s="38"/>
      <c r="L107" s="42" t="s">
        <v>826</v>
      </c>
      <c r="M107" s="41">
        <v>240</v>
      </c>
      <c r="X107" s="38" t="s">
        <v>351</v>
      </c>
      <c r="Y107" s="38" t="s">
        <v>350</v>
      </c>
    </row>
    <row r="108" spans="2:25" ht="25.5">
      <c r="B108" s="39" t="s">
        <v>1300</v>
      </c>
      <c r="C108" s="39" t="s">
        <v>615</v>
      </c>
      <c r="D108" s="39"/>
      <c r="E108" s="254" t="s">
        <v>1739</v>
      </c>
      <c r="F108" s="254" t="s">
        <v>1738</v>
      </c>
      <c r="G108" s="38"/>
      <c r="I108" s="38"/>
      <c r="J108" s="38"/>
      <c r="K108" s="38"/>
      <c r="L108" s="44" t="s">
        <v>827</v>
      </c>
      <c r="M108" s="43">
        <v>24010</v>
      </c>
      <c r="X108" s="38" t="s">
        <v>353</v>
      </c>
      <c r="Y108" s="38" t="s">
        <v>352</v>
      </c>
    </row>
    <row r="109" spans="2:25">
      <c r="B109" s="39" t="s">
        <v>1301</v>
      </c>
      <c r="C109" s="39" t="s">
        <v>614</v>
      </c>
      <c r="D109" s="39"/>
      <c r="E109" s="254" t="s">
        <v>1741</v>
      </c>
      <c r="F109" s="254" t="s">
        <v>1740</v>
      </c>
      <c r="G109" s="38"/>
      <c r="I109" s="38"/>
      <c r="J109" s="38"/>
      <c r="K109" s="38"/>
      <c r="L109" s="44" t="s">
        <v>828</v>
      </c>
      <c r="M109" s="43">
        <v>24020</v>
      </c>
      <c r="X109" s="38" t="s">
        <v>355</v>
      </c>
      <c r="Y109" s="38" t="s">
        <v>354</v>
      </c>
    </row>
    <row r="110" spans="2:25" ht="25.5">
      <c r="B110" s="39" t="s">
        <v>1302</v>
      </c>
      <c r="C110" s="39" t="s">
        <v>613</v>
      </c>
      <c r="D110" s="39"/>
      <c r="E110" s="254" t="s">
        <v>1342</v>
      </c>
      <c r="F110" s="254" t="s">
        <v>1742</v>
      </c>
      <c r="G110" s="38"/>
      <c r="I110" s="38"/>
      <c r="J110" s="38"/>
      <c r="K110" s="38"/>
      <c r="L110" s="44" t="s">
        <v>829</v>
      </c>
      <c r="M110" s="43">
        <v>24030</v>
      </c>
      <c r="X110" s="38" t="s">
        <v>357</v>
      </c>
      <c r="Y110" s="38" t="s">
        <v>356</v>
      </c>
    </row>
    <row r="111" spans="2:25" ht="25.5">
      <c r="B111" s="39" t="s">
        <v>1303</v>
      </c>
      <c r="C111" s="39" t="s">
        <v>612</v>
      </c>
      <c r="D111" s="39"/>
      <c r="E111" s="254" t="s">
        <v>1744</v>
      </c>
      <c r="F111" s="254" t="s">
        <v>1743</v>
      </c>
      <c r="G111" s="38"/>
      <c r="I111" s="38"/>
      <c r="J111" s="38"/>
      <c r="K111" s="38"/>
      <c r="L111" s="44" t="s">
        <v>830</v>
      </c>
      <c r="M111" s="43">
        <v>24040</v>
      </c>
      <c r="X111" s="38" t="s">
        <v>359</v>
      </c>
      <c r="Y111" s="38" t="s">
        <v>358</v>
      </c>
    </row>
    <row r="112" spans="2:25" ht="26.25">
      <c r="B112" s="39" t="s">
        <v>1304</v>
      </c>
      <c r="C112" s="39" t="s">
        <v>611</v>
      </c>
      <c r="D112" s="39"/>
      <c r="E112" s="254" t="s">
        <v>1746</v>
      </c>
      <c r="F112" s="254" t="s">
        <v>1745</v>
      </c>
      <c r="G112" s="38"/>
      <c r="I112" s="38"/>
      <c r="J112" s="38"/>
      <c r="K112" s="38"/>
      <c r="L112" s="44" t="s">
        <v>831</v>
      </c>
      <c r="M112" s="43">
        <v>24081</v>
      </c>
      <c r="X112" s="38" t="s">
        <v>361</v>
      </c>
      <c r="Y112" s="38" t="s">
        <v>360</v>
      </c>
    </row>
    <row r="113" spans="2:25">
      <c r="B113" s="39" t="s">
        <v>1305</v>
      </c>
      <c r="C113" s="39" t="s">
        <v>610</v>
      </c>
      <c r="D113" s="39"/>
      <c r="E113" s="254" t="s">
        <v>1748</v>
      </c>
      <c r="F113" s="254" t="s">
        <v>1747</v>
      </c>
      <c r="G113" s="38"/>
      <c r="I113" s="38"/>
      <c r="J113" s="38"/>
      <c r="K113" s="38"/>
      <c r="L113" s="42" t="s">
        <v>832</v>
      </c>
      <c r="M113" s="41">
        <v>250</v>
      </c>
      <c r="X113" s="38" t="s">
        <v>363</v>
      </c>
      <c r="Y113" s="38" t="s">
        <v>362</v>
      </c>
    </row>
    <row r="114" spans="2:25" ht="25.5">
      <c r="B114" s="39" t="s">
        <v>1306</v>
      </c>
      <c r="C114" s="39" t="s">
        <v>609</v>
      </c>
      <c r="D114" s="39"/>
      <c r="E114" s="254" t="s">
        <v>1750</v>
      </c>
      <c r="F114" s="254" t="s">
        <v>1749</v>
      </c>
      <c r="G114" s="38"/>
      <c r="I114" s="38"/>
      <c r="J114" s="38"/>
      <c r="K114" s="38"/>
      <c r="L114" s="44" t="s">
        <v>833</v>
      </c>
      <c r="M114" s="43">
        <v>25010</v>
      </c>
      <c r="X114" s="38" t="s">
        <v>365</v>
      </c>
      <c r="Y114" s="38" t="s">
        <v>364</v>
      </c>
    </row>
    <row r="115" spans="2:25">
      <c r="B115" s="39" t="s">
        <v>1307</v>
      </c>
      <c r="C115" s="39" t="s">
        <v>608</v>
      </c>
      <c r="D115" s="39"/>
      <c r="E115" s="254" t="s">
        <v>1752</v>
      </c>
      <c r="F115" s="254" t="s">
        <v>1751</v>
      </c>
      <c r="G115" s="38"/>
      <c r="I115" s="38"/>
      <c r="J115" s="38"/>
      <c r="K115" s="38"/>
      <c r="L115" s="44" t="s">
        <v>834</v>
      </c>
      <c r="M115" s="43">
        <v>25020</v>
      </c>
      <c r="X115" s="38" t="s">
        <v>367</v>
      </c>
      <c r="Y115" s="38" t="s">
        <v>366</v>
      </c>
    </row>
    <row r="116" spans="2:25">
      <c r="B116" s="39" t="s">
        <v>1308</v>
      </c>
      <c r="C116" s="39" t="s">
        <v>607</v>
      </c>
      <c r="D116" s="39"/>
      <c r="E116" s="254" t="s">
        <v>1754</v>
      </c>
      <c r="F116" s="254" t="s">
        <v>1753</v>
      </c>
      <c r="G116" s="38"/>
      <c r="I116" s="38"/>
      <c r="J116" s="38"/>
      <c r="K116" s="38"/>
      <c r="L116" s="42" t="s">
        <v>835</v>
      </c>
      <c r="M116" s="41">
        <v>311</v>
      </c>
      <c r="X116" s="38" t="s">
        <v>369</v>
      </c>
      <c r="Y116" s="38" t="s">
        <v>368</v>
      </c>
    </row>
    <row r="117" spans="2:25" ht="25.5">
      <c r="B117" s="39" t="s">
        <v>1309</v>
      </c>
      <c r="C117" s="39" t="s">
        <v>606</v>
      </c>
      <c r="D117" s="39"/>
      <c r="E117" s="254" t="s">
        <v>1756</v>
      </c>
      <c r="F117" s="254" t="s">
        <v>1755</v>
      </c>
      <c r="G117" s="38"/>
      <c r="I117" s="38"/>
      <c r="J117" s="38"/>
      <c r="K117" s="38"/>
      <c r="L117" s="44" t="s">
        <v>836</v>
      </c>
      <c r="M117" s="43">
        <v>31110</v>
      </c>
      <c r="X117" s="38" t="s">
        <v>371</v>
      </c>
      <c r="Y117" s="38" t="s">
        <v>370</v>
      </c>
    </row>
    <row r="118" spans="2:25">
      <c r="B118" s="39" t="s">
        <v>1184</v>
      </c>
      <c r="C118" s="39" t="s">
        <v>605</v>
      </c>
      <c r="D118" s="39"/>
      <c r="E118" s="254" t="s">
        <v>1758</v>
      </c>
      <c r="F118" s="254" t="s">
        <v>1757</v>
      </c>
      <c r="G118" s="38"/>
      <c r="I118" s="38"/>
      <c r="J118" s="38"/>
      <c r="K118" s="38"/>
      <c r="L118" s="44" t="s">
        <v>837</v>
      </c>
      <c r="M118" s="43">
        <v>31120</v>
      </c>
      <c r="X118" s="38" t="s">
        <v>373</v>
      </c>
      <c r="Y118" s="38" t="s">
        <v>372</v>
      </c>
    </row>
    <row r="119" spans="2:25">
      <c r="B119" s="39" t="s">
        <v>1310</v>
      </c>
      <c r="C119" s="39" t="s">
        <v>604</v>
      </c>
      <c r="D119" s="39"/>
      <c r="E119" s="254" t="s">
        <v>1760</v>
      </c>
      <c r="F119" s="254" t="s">
        <v>1759</v>
      </c>
      <c r="G119" s="38"/>
      <c r="I119" s="38"/>
      <c r="J119" s="38"/>
      <c r="K119" s="38"/>
      <c r="L119" s="44" t="s">
        <v>838</v>
      </c>
      <c r="M119" s="43">
        <v>31130</v>
      </c>
      <c r="X119" s="38" t="s">
        <v>375</v>
      </c>
      <c r="Y119" s="38" t="s">
        <v>374</v>
      </c>
    </row>
    <row r="120" spans="2:25" ht="26.25">
      <c r="B120" s="39" t="s">
        <v>1311</v>
      </c>
      <c r="C120" s="39" t="s">
        <v>603</v>
      </c>
      <c r="D120" s="39"/>
      <c r="E120" s="254" t="s">
        <v>1762</v>
      </c>
      <c r="F120" s="254" t="s">
        <v>1761</v>
      </c>
      <c r="G120" s="38"/>
      <c r="I120" s="38"/>
      <c r="J120" s="38"/>
      <c r="K120" s="38"/>
      <c r="L120" s="44" t="s">
        <v>839</v>
      </c>
      <c r="M120" s="43">
        <v>31140</v>
      </c>
      <c r="X120" s="38" t="s">
        <v>377</v>
      </c>
      <c r="Y120" s="38" t="s">
        <v>376</v>
      </c>
    </row>
    <row r="121" spans="2:25">
      <c r="B121" s="39" t="s">
        <v>1312</v>
      </c>
      <c r="C121" s="39" t="s">
        <v>602</v>
      </c>
      <c r="D121" s="39"/>
      <c r="E121" s="254" t="s">
        <v>1764</v>
      </c>
      <c r="F121" s="254" t="s">
        <v>1763</v>
      </c>
      <c r="G121" s="38"/>
      <c r="I121" s="38"/>
      <c r="J121" s="38"/>
      <c r="K121" s="38"/>
      <c r="L121" s="44" t="s">
        <v>840</v>
      </c>
      <c r="M121" s="43">
        <v>31150</v>
      </c>
      <c r="X121" s="38" t="s">
        <v>379</v>
      </c>
      <c r="Y121" s="38" t="s">
        <v>378</v>
      </c>
    </row>
    <row r="122" spans="2:25">
      <c r="B122" s="39" t="s">
        <v>1313</v>
      </c>
      <c r="C122" s="39" t="s">
        <v>601</v>
      </c>
      <c r="D122" s="39"/>
      <c r="E122" s="254" t="s">
        <v>1766</v>
      </c>
      <c r="F122" s="254" t="s">
        <v>1765</v>
      </c>
      <c r="G122" s="38"/>
      <c r="I122" s="38"/>
      <c r="J122" s="38"/>
      <c r="K122" s="38"/>
      <c r="L122" s="44" t="s">
        <v>841</v>
      </c>
      <c r="M122" s="43">
        <v>31161</v>
      </c>
      <c r="X122" s="38" t="s">
        <v>381</v>
      </c>
      <c r="Y122" s="38" t="s">
        <v>380</v>
      </c>
    </row>
    <row r="123" spans="2:25">
      <c r="B123" s="39" t="s">
        <v>1314</v>
      </c>
      <c r="C123" s="39" t="s">
        <v>600</v>
      </c>
      <c r="D123" s="39"/>
      <c r="E123" s="254" t="s">
        <v>1768</v>
      </c>
      <c r="F123" s="254" t="s">
        <v>1767</v>
      </c>
      <c r="G123" s="38"/>
      <c r="I123" s="38"/>
      <c r="J123" s="38"/>
      <c r="K123" s="38"/>
      <c r="L123" s="44" t="s">
        <v>842</v>
      </c>
      <c r="M123" s="43">
        <v>31162</v>
      </c>
      <c r="X123" s="38" t="s">
        <v>383</v>
      </c>
      <c r="Y123" s="38" t="s">
        <v>382</v>
      </c>
    </row>
    <row r="124" spans="2:25" ht="26.25">
      <c r="B124" s="39" t="s">
        <v>1315</v>
      </c>
      <c r="C124" s="39" t="s">
        <v>599</v>
      </c>
      <c r="D124" s="39"/>
      <c r="E124" s="254" t="s">
        <v>1770</v>
      </c>
      <c r="F124" s="254" t="s">
        <v>1769</v>
      </c>
      <c r="G124" s="38"/>
      <c r="I124" s="38"/>
      <c r="J124" s="38"/>
      <c r="K124" s="38"/>
      <c r="L124" s="44" t="s">
        <v>843</v>
      </c>
      <c r="M124" s="43">
        <v>31163</v>
      </c>
      <c r="X124" s="38" t="s">
        <v>385</v>
      </c>
      <c r="Y124" s="38" t="s">
        <v>384</v>
      </c>
    </row>
    <row r="125" spans="2:25">
      <c r="B125" s="39" t="s">
        <v>1316</v>
      </c>
      <c r="C125" s="39" t="s">
        <v>598</v>
      </c>
      <c r="D125" s="39"/>
      <c r="E125" s="254" t="s">
        <v>1772</v>
      </c>
      <c r="F125" s="254" t="s">
        <v>1771</v>
      </c>
      <c r="G125" s="38"/>
      <c r="I125" s="38"/>
      <c r="J125" s="38"/>
      <c r="K125" s="38"/>
      <c r="L125" s="44" t="s">
        <v>844</v>
      </c>
      <c r="M125" s="43">
        <v>31164</v>
      </c>
      <c r="X125" s="38" t="s">
        <v>387</v>
      </c>
      <c r="Y125" s="38" t="s">
        <v>386</v>
      </c>
    </row>
    <row r="126" spans="2:25" ht="25.5">
      <c r="B126" s="39" t="s">
        <v>1317</v>
      </c>
      <c r="C126" s="39" t="s">
        <v>597</v>
      </c>
      <c r="D126" s="39"/>
      <c r="E126" s="254" t="s">
        <v>1774</v>
      </c>
      <c r="F126" s="254" t="s">
        <v>1773</v>
      </c>
      <c r="G126" s="38"/>
      <c r="I126" s="38"/>
      <c r="J126" s="38"/>
      <c r="K126" s="38"/>
      <c r="L126" s="44" t="s">
        <v>845</v>
      </c>
      <c r="M126" s="43">
        <v>31165</v>
      </c>
      <c r="X126" s="38" t="s">
        <v>389</v>
      </c>
      <c r="Y126" s="38" t="s">
        <v>388</v>
      </c>
    </row>
    <row r="127" spans="2:25" ht="26.25">
      <c r="B127" s="39" t="s">
        <v>1185</v>
      </c>
      <c r="C127" s="39" t="s">
        <v>596</v>
      </c>
      <c r="D127" s="39"/>
      <c r="E127" s="254" t="s">
        <v>1776</v>
      </c>
      <c r="F127" s="254" t="s">
        <v>1775</v>
      </c>
      <c r="G127" s="38"/>
      <c r="I127" s="38"/>
      <c r="J127" s="38"/>
      <c r="K127" s="38"/>
      <c r="L127" s="44" t="s">
        <v>846</v>
      </c>
      <c r="M127" s="43">
        <v>31166</v>
      </c>
      <c r="X127" s="38" t="s">
        <v>391</v>
      </c>
      <c r="Y127" s="38" t="s">
        <v>390</v>
      </c>
    </row>
    <row r="128" spans="2:25">
      <c r="B128" s="39" t="s">
        <v>1186</v>
      </c>
      <c r="C128" s="39" t="s">
        <v>595</v>
      </c>
      <c r="D128" s="39"/>
      <c r="E128" s="254" t="s">
        <v>1778</v>
      </c>
      <c r="F128" s="254" t="s">
        <v>1777</v>
      </c>
      <c r="G128" s="38"/>
      <c r="I128" s="38"/>
      <c r="J128" s="38"/>
      <c r="K128" s="38"/>
      <c r="L128" s="44" t="s">
        <v>847</v>
      </c>
      <c r="M128" s="43">
        <v>31181</v>
      </c>
      <c r="X128" s="38" t="s">
        <v>393</v>
      </c>
      <c r="Y128" s="38" t="s">
        <v>392</v>
      </c>
    </row>
    <row r="129" spans="2:25" ht="26.25">
      <c r="B129" s="39" t="s">
        <v>1318</v>
      </c>
      <c r="C129" s="39" t="s">
        <v>594</v>
      </c>
      <c r="D129" s="39"/>
      <c r="E129" s="254" t="s">
        <v>1780</v>
      </c>
      <c r="F129" s="254" t="s">
        <v>1779</v>
      </c>
      <c r="G129" s="38"/>
      <c r="I129" s="38"/>
      <c r="J129" s="38"/>
      <c r="K129" s="38"/>
      <c r="L129" s="44" t="s">
        <v>848</v>
      </c>
      <c r="M129" s="43">
        <v>31182</v>
      </c>
      <c r="X129" s="38" t="s">
        <v>395</v>
      </c>
      <c r="Y129" s="38" t="s">
        <v>394</v>
      </c>
    </row>
    <row r="130" spans="2:25">
      <c r="B130" s="39" t="s">
        <v>1319</v>
      </c>
      <c r="C130" s="39" t="s">
        <v>593</v>
      </c>
      <c r="D130" s="39"/>
      <c r="E130" s="254" t="s">
        <v>1782</v>
      </c>
      <c r="F130" s="254" t="s">
        <v>1781</v>
      </c>
      <c r="G130" s="38"/>
      <c r="I130" s="38"/>
      <c r="J130" s="38"/>
      <c r="K130" s="38"/>
      <c r="L130" s="44" t="s">
        <v>849</v>
      </c>
      <c r="M130" s="43">
        <v>31191</v>
      </c>
      <c r="X130" s="38" t="s">
        <v>397</v>
      </c>
      <c r="Y130" s="38" t="s">
        <v>396</v>
      </c>
    </row>
    <row r="131" spans="2:25" ht="25.5">
      <c r="B131" s="39" t="s">
        <v>1320</v>
      </c>
      <c r="C131" s="39" t="s">
        <v>592</v>
      </c>
      <c r="D131" s="39"/>
      <c r="E131" s="254" t="s">
        <v>1784</v>
      </c>
      <c r="F131" s="254" t="s">
        <v>1783</v>
      </c>
      <c r="G131" s="38"/>
      <c r="I131" s="38"/>
      <c r="J131" s="38"/>
      <c r="K131" s="38"/>
      <c r="L131" s="44" t="s">
        <v>850</v>
      </c>
      <c r="M131" s="43">
        <v>31192</v>
      </c>
      <c r="X131" s="38" t="s">
        <v>399</v>
      </c>
      <c r="Y131" s="38" t="s">
        <v>398</v>
      </c>
    </row>
    <row r="132" spans="2:25" ht="26.25">
      <c r="B132" s="39" t="s">
        <v>1321</v>
      </c>
      <c r="C132" s="39" t="s">
        <v>591</v>
      </c>
      <c r="D132" s="39"/>
      <c r="E132" s="254" t="s">
        <v>1786</v>
      </c>
      <c r="F132" s="254" t="s">
        <v>1785</v>
      </c>
      <c r="G132" s="38"/>
      <c r="I132" s="38"/>
      <c r="J132" s="38"/>
      <c r="K132" s="38"/>
      <c r="L132" s="44" t="s">
        <v>851</v>
      </c>
      <c r="M132" s="43">
        <v>31193</v>
      </c>
      <c r="X132" s="38" t="s">
        <v>401</v>
      </c>
      <c r="Y132" s="38" t="s">
        <v>400</v>
      </c>
    </row>
    <row r="133" spans="2:25">
      <c r="B133" s="39" t="s">
        <v>1322</v>
      </c>
      <c r="C133" s="39" t="s">
        <v>590</v>
      </c>
      <c r="D133" s="39"/>
      <c r="E133" s="254" t="s">
        <v>1788</v>
      </c>
      <c r="F133" s="254" t="s">
        <v>1787</v>
      </c>
      <c r="G133" s="38"/>
      <c r="I133" s="38"/>
      <c r="J133" s="38"/>
      <c r="K133" s="38"/>
      <c r="L133" s="44" t="s">
        <v>852</v>
      </c>
      <c r="M133" s="43">
        <v>31194</v>
      </c>
      <c r="X133" s="38" t="s">
        <v>403</v>
      </c>
      <c r="Y133" s="38" t="s">
        <v>402</v>
      </c>
    </row>
    <row r="134" spans="2:25" ht="39">
      <c r="B134" s="39" t="s">
        <v>1323</v>
      </c>
      <c r="C134" s="39" t="s">
        <v>589</v>
      </c>
      <c r="D134" s="39"/>
      <c r="E134" s="254" t="s">
        <v>1790</v>
      </c>
      <c r="F134" s="254" t="s">
        <v>1789</v>
      </c>
      <c r="G134" s="38"/>
      <c r="I134" s="38"/>
      <c r="J134" s="38"/>
      <c r="K134" s="38"/>
      <c r="L134" s="44" t="s">
        <v>853</v>
      </c>
      <c r="M134" s="43">
        <v>31195</v>
      </c>
      <c r="X134" s="38" t="s">
        <v>405</v>
      </c>
      <c r="Y134" s="38" t="s">
        <v>404</v>
      </c>
    </row>
    <row r="135" spans="2:25">
      <c r="B135" s="39" t="s">
        <v>1187</v>
      </c>
      <c r="C135" s="39" t="s">
        <v>588</v>
      </c>
      <c r="D135" s="39"/>
      <c r="E135" s="254" t="s">
        <v>1792</v>
      </c>
      <c r="F135" s="254" t="s">
        <v>1791</v>
      </c>
      <c r="G135" s="38"/>
      <c r="I135" s="38"/>
      <c r="J135" s="38"/>
      <c r="K135" s="38"/>
      <c r="L135" s="42" t="s">
        <v>854</v>
      </c>
      <c r="M135" s="41">
        <v>312</v>
      </c>
      <c r="X135" s="38" t="s">
        <v>407</v>
      </c>
      <c r="Y135" s="38" t="s">
        <v>406</v>
      </c>
    </row>
    <row r="136" spans="2:25" ht="25.5">
      <c r="B136" s="39" t="s">
        <v>1188</v>
      </c>
      <c r="C136" s="39" t="s">
        <v>587</v>
      </c>
      <c r="D136" s="39"/>
      <c r="E136" s="254" t="s">
        <v>1794</v>
      </c>
      <c r="F136" s="254" t="s">
        <v>1793</v>
      </c>
      <c r="G136" s="38"/>
      <c r="I136" s="38"/>
      <c r="J136" s="38"/>
      <c r="K136" s="38"/>
      <c r="L136" s="44" t="s">
        <v>855</v>
      </c>
      <c r="M136" s="43">
        <v>31210</v>
      </c>
      <c r="X136" s="38" t="s">
        <v>409</v>
      </c>
      <c r="Y136" s="38" t="s">
        <v>408</v>
      </c>
    </row>
    <row r="137" spans="2:25">
      <c r="B137" s="39" t="s">
        <v>1324</v>
      </c>
      <c r="C137" s="39" t="s">
        <v>586</v>
      </c>
      <c r="D137" s="39"/>
      <c r="E137" s="254" t="s">
        <v>1796</v>
      </c>
      <c r="F137" s="254" t="s">
        <v>1795</v>
      </c>
      <c r="G137" s="38"/>
      <c r="I137" s="38"/>
      <c r="J137" s="38"/>
      <c r="K137" s="38"/>
      <c r="L137" s="44" t="s">
        <v>856</v>
      </c>
      <c r="M137" s="43">
        <v>31220</v>
      </c>
      <c r="X137" s="38" t="s">
        <v>411</v>
      </c>
      <c r="Y137" s="38" t="s">
        <v>410</v>
      </c>
    </row>
    <row r="138" spans="2:25">
      <c r="B138" s="39" t="s">
        <v>1325</v>
      </c>
      <c r="C138" s="39" t="s">
        <v>585</v>
      </c>
      <c r="D138" s="39"/>
      <c r="E138" s="254" t="s">
        <v>1798</v>
      </c>
      <c r="F138" s="254" t="s">
        <v>1797</v>
      </c>
      <c r="G138" s="38"/>
      <c r="I138" s="38"/>
      <c r="J138" s="38"/>
      <c r="K138" s="38"/>
      <c r="L138" s="44" t="s">
        <v>857</v>
      </c>
      <c r="M138" s="43">
        <v>31261</v>
      </c>
      <c r="X138" s="38" t="s">
        <v>413</v>
      </c>
      <c r="Y138" s="38" t="s">
        <v>412</v>
      </c>
    </row>
    <row r="139" spans="2:25">
      <c r="B139" s="39" t="s">
        <v>1189</v>
      </c>
      <c r="C139" s="39" t="s">
        <v>584</v>
      </c>
      <c r="D139" s="39"/>
      <c r="E139" s="254" t="s">
        <v>1800</v>
      </c>
      <c r="F139" s="254" t="s">
        <v>1799</v>
      </c>
      <c r="G139" s="38"/>
      <c r="I139" s="38"/>
      <c r="J139" s="38"/>
      <c r="K139" s="38"/>
      <c r="L139" s="44" t="s">
        <v>858</v>
      </c>
      <c r="M139" s="43">
        <v>31281</v>
      </c>
      <c r="X139" s="38" t="s">
        <v>415</v>
      </c>
      <c r="Y139" s="38" t="s">
        <v>414</v>
      </c>
    </row>
    <row r="140" spans="2:25">
      <c r="B140" s="39" t="s">
        <v>1326</v>
      </c>
      <c r="C140" s="39" t="s">
        <v>583</v>
      </c>
      <c r="D140" s="39"/>
      <c r="E140" s="254" t="s">
        <v>1802</v>
      </c>
      <c r="F140" s="254" t="s">
        <v>1801</v>
      </c>
      <c r="G140" s="38"/>
      <c r="I140" s="38"/>
      <c r="J140" s="38"/>
      <c r="K140" s="38"/>
      <c r="L140" s="44" t="s">
        <v>859</v>
      </c>
      <c r="M140" s="43">
        <v>31282</v>
      </c>
      <c r="X140" s="38" t="s">
        <v>417</v>
      </c>
      <c r="Y140" s="38" t="s">
        <v>416</v>
      </c>
    </row>
    <row r="141" spans="2:25">
      <c r="B141" s="39" t="s">
        <v>1327</v>
      </c>
      <c r="C141" s="39" t="s">
        <v>582</v>
      </c>
      <c r="D141" s="39"/>
      <c r="E141" s="254" t="s">
        <v>1804</v>
      </c>
      <c r="F141" s="254" t="s">
        <v>1803</v>
      </c>
      <c r="G141" s="38"/>
      <c r="I141" s="38"/>
      <c r="J141" s="38"/>
      <c r="K141" s="38"/>
      <c r="L141" s="44" t="s">
        <v>860</v>
      </c>
      <c r="M141" s="43">
        <v>31291</v>
      </c>
      <c r="X141" s="38" t="s">
        <v>419</v>
      </c>
      <c r="Y141" s="38" t="s">
        <v>418</v>
      </c>
    </row>
    <row r="142" spans="2:25">
      <c r="B142" s="39" t="s">
        <v>1328</v>
      </c>
      <c r="C142" s="39" t="s">
        <v>581</v>
      </c>
      <c r="D142" s="39"/>
      <c r="E142" s="254" t="s">
        <v>1806</v>
      </c>
      <c r="F142" s="254" t="s">
        <v>1805</v>
      </c>
      <c r="G142" s="38"/>
      <c r="I142" s="38"/>
      <c r="J142" s="38"/>
      <c r="K142" s="38"/>
      <c r="L142" s="42" t="s">
        <v>861</v>
      </c>
      <c r="M142" s="41">
        <v>313</v>
      </c>
      <c r="X142" s="38" t="s">
        <v>421</v>
      </c>
      <c r="Y142" s="38" t="s">
        <v>420</v>
      </c>
    </row>
    <row r="143" spans="2:25" ht="25.5">
      <c r="B143" s="39" t="s">
        <v>1329</v>
      </c>
      <c r="C143" s="39" t="s">
        <v>580</v>
      </c>
      <c r="D143" s="39"/>
      <c r="E143" s="254" t="s">
        <v>1808</v>
      </c>
      <c r="F143" s="254" t="s">
        <v>1807</v>
      </c>
      <c r="G143" s="38"/>
      <c r="I143" s="38"/>
      <c r="J143" s="38"/>
      <c r="K143" s="38"/>
      <c r="L143" s="44" t="s">
        <v>862</v>
      </c>
      <c r="M143" s="43">
        <v>31310</v>
      </c>
      <c r="X143" s="38" t="s">
        <v>423</v>
      </c>
      <c r="Y143" s="38" t="s">
        <v>422</v>
      </c>
    </row>
    <row r="144" spans="2:25">
      <c r="B144" s="39" t="s">
        <v>1330</v>
      </c>
      <c r="C144" s="39" t="s">
        <v>579</v>
      </c>
      <c r="D144" s="39"/>
      <c r="E144" s="254" t="s">
        <v>1810</v>
      </c>
      <c r="F144" s="254" t="s">
        <v>1809</v>
      </c>
      <c r="G144" s="38"/>
      <c r="I144" s="38"/>
      <c r="J144" s="38"/>
      <c r="K144" s="38"/>
      <c r="L144" s="44" t="s">
        <v>863</v>
      </c>
      <c r="M144" s="43">
        <v>31320</v>
      </c>
      <c r="X144" s="38" t="s">
        <v>425</v>
      </c>
      <c r="Y144" s="38" t="s">
        <v>424</v>
      </c>
    </row>
    <row r="145" spans="2:25">
      <c r="B145" s="39" t="s">
        <v>1331</v>
      </c>
      <c r="C145" s="39" t="s">
        <v>578</v>
      </c>
      <c r="D145" s="39"/>
      <c r="E145" s="254" t="s">
        <v>1812</v>
      </c>
      <c r="F145" s="254" t="s">
        <v>1811</v>
      </c>
      <c r="G145" s="38"/>
      <c r="I145" s="38"/>
      <c r="J145" s="38"/>
      <c r="K145" s="38"/>
      <c r="L145" s="44" t="s">
        <v>864</v>
      </c>
      <c r="M145" s="43">
        <v>31381</v>
      </c>
      <c r="X145" s="38" t="s">
        <v>427</v>
      </c>
      <c r="Y145" s="38" t="s">
        <v>426</v>
      </c>
    </row>
    <row r="146" spans="2:25" ht="26.25">
      <c r="B146" s="39" t="s">
        <v>1332</v>
      </c>
      <c r="C146" s="39" t="s">
        <v>577</v>
      </c>
      <c r="D146" s="39"/>
      <c r="E146" s="254" t="s">
        <v>1814</v>
      </c>
      <c r="F146" s="254" t="s">
        <v>1813</v>
      </c>
      <c r="G146" s="38"/>
      <c r="I146" s="38"/>
      <c r="J146" s="38"/>
      <c r="K146" s="38"/>
      <c r="L146" s="44" t="s">
        <v>865</v>
      </c>
      <c r="M146" s="43">
        <v>31382</v>
      </c>
      <c r="X146" s="38" t="s">
        <v>429</v>
      </c>
      <c r="Y146" s="38" t="s">
        <v>428</v>
      </c>
    </row>
    <row r="147" spans="2:25" ht="26.25">
      <c r="B147" s="39" t="s">
        <v>1333</v>
      </c>
      <c r="C147" s="39" t="s">
        <v>576</v>
      </c>
      <c r="D147" s="39"/>
      <c r="E147" s="254" t="s">
        <v>1816</v>
      </c>
      <c r="F147" s="254" t="s">
        <v>1815</v>
      </c>
      <c r="G147" s="38"/>
      <c r="I147" s="38"/>
      <c r="J147" s="38"/>
      <c r="K147" s="38"/>
      <c r="L147" s="44" t="s">
        <v>866</v>
      </c>
      <c r="M147" s="43">
        <v>31391</v>
      </c>
      <c r="X147" s="38" t="s">
        <v>431</v>
      </c>
      <c r="Y147" s="38" t="s">
        <v>430</v>
      </c>
    </row>
    <row r="148" spans="2:25">
      <c r="B148" s="39" t="s">
        <v>1334</v>
      </c>
      <c r="C148" s="39" t="s">
        <v>575</v>
      </c>
      <c r="D148" s="39"/>
      <c r="E148" s="254" t="s">
        <v>1818</v>
      </c>
      <c r="F148" s="254" t="s">
        <v>1817</v>
      </c>
      <c r="G148" s="38"/>
      <c r="I148" s="38"/>
      <c r="J148" s="38"/>
      <c r="K148" s="38"/>
      <c r="L148" s="42" t="s">
        <v>867</v>
      </c>
      <c r="M148" s="41">
        <v>321</v>
      </c>
      <c r="X148" s="38" t="s">
        <v>433</v>
      </c>
      <c r="Y148" s="38" t="s">
        <v>432</v>
      </c>
    </row>
    <row r="149" spans="2:25" ht="25.5">
      <c r="B149" s="39" t="s">
        <v>1335</v>
      </c>
      <c r="C149" s="39" t="s">
        <v>574</v>
      </c>
      <c r="D149" s="39"/>
      <c r="E149" s="254" t="s">
        <v>1820</v>
      </c>
      <c r="F149" s="254" t="s">
        <v>1819</v>
      </c>
      <c r="G149" s="38"/>
      <c r="I149" s="38"/>
      <c r="J149" s="38"/>
      <c r="K149" s="38"/>
      <c r="L149" s="44" t="s">
        <v>868</v>
      </c>
      <c r="M149" s="43">
        <v>32110</v>
      </c>
      <c r="X149" s="38" t="s">
        <v>435</v>
      </c>
      <c r="Y149" s="38" t="s">
        <v>434</v>
      </c>
    </row>
    <row r="150" spans="2:25">
      <c r="B150" s="39" t="s">
        <v>1336</v>
      </c>
      <c r="C150" s="39" t="s">
        <v>573</v>
      </c>
      <c r="D150" s="39"/>
      <c r="E150" s="254" t="s">
        <v>1822</v>
      </c>
      <c r="F150" s="254" t="s">
        <v>1821</v>
      </c>
      <c r="G150" s="38"/>
      <c r="I150" s="38"/>
      <c r="J150" s="38"/>
      <c r="K150" s="38"/>
      <c r="L150" s="44" t="s">
        <v>869</v>
      </c>
      <c r="M150" s="43">
        <v>32120</v>
      </c>
      <c r="X150" s="38" t="s">
        <v>437</v>
      </c>
      <c r="Y150" s="38" t="s">
        <v>436</v>
      </c>
    </row>
    <row r="151" spans="2:25" ht="25.5">
      <c r="B151" s="39" t="s">
        <v>1337</v>
      </c>
      <c r="C151" s="39" t="s">
        <v>572</v>
      </c>
      <c r="D151" s="39"/>
      <c r="E151" s="254" t="s">
        <v>1824</v>
      </c>
      <c r="F151" s="254" t="s">
        <v>1823</v>
      </c>
      <c r="G151" s="38"/>
      <c r="I151" s="38"/>
      <c r="J151" s="38"/>
      <c r="K151" s="38"/>
      <c r="L151" s="44" t="s">
        <v>870</v>
      </c>
      <c r="M151" s="43">
        <v>32130</v>
      </c>
      <c r="X151" s="38" t="s">
        <v>438</v>
      </c>
      <c r="Y151" s="38" t="s">
        <v>113</v>
      </c>
    </row>
    <row r="152" spans="2:25" ht="26.25">
      <c r="B152" s="39" t="s">
        <v>1338</v>
      </c>
      <c r="C152" s="39" t="s">
        <v>571</v>
      </c>
      <c r="D152" s="39"/>
      <c r="E152" s="254" t="s">
        <v>1826</v>
      </c>
      <c r="F152" s="254" t="s">
        <v>1825</v>
      </c>
      <c r="G152" s="38"/>
      <c r="I152" s="38"/>
      <c r="J152" s="38"/>
      <c r="K152" s="38"/>
      <c r="L152" s="44" t="s">
        <v>871</v>
      </c>
      <c r="M152" s="43">
        <v>32140</v>
      </c>
      <c r="X152" s="38" t="s">
        <v>440</v>
      </c>
      <c r="Y152" s="38" t="s">
        <v>439</v>
      </c>
    </row>
    <row r="153" spans="2:25" ht="26.25">
      <c r="B153" s="39" t="s">
        <v>1339</v>
      </c>
      <c r="C153" s="39" t="s">
        <v>570</v>
      </c>
      <c r="D153" s="39"/>
      <c r="E153" s="254" t="s">
        <v>1828</v>
      </c>
      <c r="F153" s="254" t="s">
        <v>1827</v>
      </c>
      <c r="G153" s="38"/>
      <c r="I153" s="38"/>
      <c r="J153" s="38"/>
      <c r="K153" s="38"/>
      <c r="L153" s="44" t="s">
        <v>872</v>
      </c>
      <c r="M153" s="43">
        <v>32161</v>
      </c>
      <c r="X153" s="38" t="s">
        <v>442</v>
      </c>
      <c r="Y153" s="38" t="s">
        <v>441</v>
      </c>
    </row>
    <row r="154" spans="2:25" ht="39">
      <c r="B154" s="39" t="s">
        <v>1190</v>
      </c>
      <c r="C154" s="39" t="s">
        <v>569</v>
      </c>
      <c r="D154" s="39"/>
      <c r="E154" s="254" t="s">
        <v>1830</v>
      </c>
      <c r="F154" s="254" t="s">
        <v>1829</v>
      </c>
      <c r="G154" s="38"/>
      <c r="I154" s="38"/>
      <c r="J154" s="38"/>
      <c r="K154" s="38"/>
      <c r="L154" s="44" t="s">
        <v>873</v>
      </c>
      <c r="M154" s="43">
        <v>32162</v>
      </c>
      <c r="X154" s="38" t="s">
        <v>444</v>
      </c>
      <c r="Y154" s="38" t="s">
        <v>443</v>
      </c>
    </row>
    <row r="155" spans="2:25">
      <c r="B155" s="39" t="s">
        <v>1340</v>
      </c>
      <c r="C155" s="39" t="s">
        <v>568</v>
      </c>
      <c r="D155" s="39"/>
      <c r="E155" s="254" t="s">
        <v>1832</v>
      </c>
      <c r="F155" s="254" t="s">
        <v>1831</v>
      </c>
      <c r="G155" s="38"/>
      <c r="I155" s="38"/>
      <c r="J155" s="38"/>
      <c r="K155" s="38"/>
      <c r="L155" s="44" t="s">
        <v>874</v>
      </c>
      <c r="M155" s="43">
        <v>32163</v>
      </c>
      <c r="X155" s="38" t="s">
        <v>446</v>
      </c>
      <c r="Y155" s="38" t="s">
        <v>445</v>
      </c>
    </row>
    <row r="156" spans="2:25">
      <c r="B156" s="39" t="s">
        <v>1341</v>
      </c>
      <c r="C156" s="39" t="s">
        <v>567</v>
      </c>
      <c r="D156" s="39"/>
      <c r="E156" s="254" t="s">
        <v>1834</v>
      </c>
      <c r="F156" s="254" t="s">
        <v>1833</v>
      </c>
      <c r="G156" s="38"/>
      <c r="I156" s="38"/>
      <c r="J156" s="38"/>
      <c r="K156" s="38"/>
      <c r="L156" s="44" t="s">
        <v>875</v>
      </c>
      <c r="M156" s="43">
        <v>32164</v>
      </c>
      <c r="X156" s="38" t="s">
        <v>448</v>
      </c>
      <c r="Y156" s="38" t="s">
        <v>447</v>
      </c>
    </row>
    <row r="157" spans="2:25">
      <c r="B157" s="39" t="s">
        <v>1342</v>
      </c>
      <c r="C157" s="39" t="s">
        <v>566</v>
      </c>
      <c r="D157" s="39"/>
      <c r="E157" s="254" t="s">
        <v>1836</v>
      </c>
      <c r="F157" s="254" t="s">
        <v>1835</v>
      </c>
      <c r="G157" s="38"/>
      <c r="I157" s="38"/>
      <c r="J157" s="38"/>
      <c r="K157" s="38"/>
      <c r="L157" s="44" t="s">
        <v>876</v>
      </c>
      <c r="M157" s="43">
        <v>32165</v>
      </c>
      <c r="X157" s="38" t="s">
        <v>450</v>
      </c>
      <c r="Y157" s="38" t="s">
        <v>449</v>
      </c>
    </row>
    <row r="158" spans="2:25">
      <c r="B158" s="39" t="s">
        <v>1191</v>
      </c>
      <c r="C158" s="39" t="s">
        <v>565</v>
      </c>
      <c r="D158" s="39"/>
      <c r="E158" s="254" t="s">
        <v>1838</v>
      </c>
      <c r="F158" s="254" t="s">
        <v>1837</v>
      </c>
      <c r="G158" s="38"/>
      <c r="I158" s="38"/>
      <c r="J158" s="38"/>
      <c r="K158" s="38"/>
      <c r="L158" s="44" t="s">
        <v>877</v>
      </c>
      <c r="M158" s="43">
        <v>32166</v>
      </c>
      <c r="X158" s="38" t="s">
        <v>452</v>
      </c>
      <c r="Y158" s="38" t="s">
        <v>451</v>
      </c>
    </row>
    <row r="159" spans="2:25">
      <c r="B159" s="39" t="s">
        <v>1343</v>
      </c>
      <c r="C159" s="39" t="s">
        <v>564</v>
      </c>
      <c r="D159" s="39"/>
      <c r="E159" s="254" t="s">
        <v>1840</v>
      </c>
      <c r="F159" s="254" t="s">
        <v>1839</v>
      </c>
      <c r="G159" s="38"/>
      <c r="I159" s="38"/>
      <c r="J159" s="38"/>
      <c r="K159" s="38"/>
      <c r="L159" s="44" t="s">
        <v>878</v>
      </c>
      <c r="M159" s="43">
        <v>32167</v>
      </c>
      <c r="X159" s="38" t="s">
        <v>454</v>
      </c>
      <c r="Y159" s="38" t="s">
        <v>453</v>
      </c>
    </row>
    <row r="160" spans="2:25">
      <c r="B160" s="39" t="s">
        <v>1344</v>
      </c>
      <c r="C160" s="39" t="s">
        <v>563</v>
      </c>
      <c r="D160" s="39"/>
      <c r="E160" s="254" t="s">
        <v>1842</v>
      </c>
      <c r="F160" s="254" t="s">
        <v>1841</v>
      </c>
      <c r="G160" s="38"/>
      <c r="I160" s="38"/>
      <c r="J160" s="38"/>
      <c r="K160" s="38"/>
      <c r="L160" s="44" t="s">
        <v>879</v>
      </c>
      <c r="M160" s="43">
        <v>32168</v>
      </c>
      <c r="X160" s="38" t="s">
        <v>456</v>
      </c>
      <c r="Y160" s="38" t="s">
        <v>455</v>
      </c>
    </row>
    <row r="161" spans="2:25">
      <c r="B161" s="39" t="s">
        <v>1345</v>
      </c>
      <c r="C161" s="39" t="s">
        <v>562</v>
      </c>
      <c r="D161" s="39"/>
      <c r="E161" s="254" t="s">
        <v>1844</v>
      </c>
      <c r="F161" s="254" t="s">
        <v>1843</v>
      </c>
      <c r="G161" s="38"/>
      <c r="I161" s="38"/>
      <c r="J161" s="38"/>
      <c r="K161" s="38"/>
      <c r="L161" s="44" t="s">
        <v>880</v>
      </c>
      <c r="M161" s="43">
        <v>32169</v>
      </c>
      <c r="X161" s="38" t="s">
        <v>458</v>
      </c>
      <c r="Y161" s="38" t="s">
        <v>457</v>
      </c>
    </row>
    <row r="162" spans="2:25" ht="26.25">
      <c r="B162" s="39" t="s">
        <v>1346</v>
      </c>
      <c r="C162" s="39" t="s">
        <v>561</v>
      </c>
      <c r="D162" s="39"/>
      <c r="E162" s="254" t="s">
        <v>1846</v>
      </c>
      <c r="F162" s="254" t="s">
        <v>1845</v>
      </c>
      <c r="G162" s="38"/>
      <c r="I162" s="38"/>
      <c r="J162" s="38"/>
      <c r="K162" s="38"/>
      <c r="L162" s="44" t="s">
        <v>881</v>
      </c>
      <c r="M162" s="43">
        <v>32170</v>
      </c>
      <c r="X162" s="38" t="s">
        <v>460</v>
      </c>
      <c r="Y162" s="38" t="s">
        <v>459</v>
      </c>
    </row>
    <row r="163" spans="2:25" ht="26.25">
      <c r="B163" s="39" t="s">
        <v>1192</v>
      </c>
      <c r="C163" s="39" t="s">
        <v>560</v>
      </c>
      <c r="D163" s="39"/>
      <c r="E163" s="254" t="s">
        <v>1848</v>
      </c>
      <c r="F163" s="254" t="s">
        <v>1847</v>
      </c>
      <c r="G163" s="38"/>
      <c r="I163" s="38"/>
      <c r="J163" s="38"/>
      <c r="K163" s="38"/>
      <c r="L163" s="44" t="s">
        <v>882</v>
      </c>
      <c r="M163" s="43">
        <v>32171</v>
      </c>
      <c r="X163" s="38" t="s">
        <v>462</v>
      </c>
      <c r="Y163" s="38" t="s">
        <v>461</v>
      </c>
    </row>
    <row r="164" spans="2:25">
      <c r="B164" s="39" t="s">
        <v>1193</v>
      </c>
      <c r="C164" s="39" t="s">
        <v>559</v>
      </c>
      <c r="D164" s="39"/>
      <c r="E164" s="254" t="s">
        <v>1850</v>
      </c>
      <c r="F164" s="254" t="s">
        <v>1849</v>
      </c>
      <c r="G164" s="38"/>
      <c r="I164" s="38"/>
      <c r="J164" s="38"/>
      <c r="K164" s="38"/>
      <c r="L164" s="44" t="s">
        <v>883</v>
      </c>
      <c r="M164" s="43">
        <v>32172</v>
      </c>
      <c r="X164" s="38" t="s">
        <v>464</v>
      </c>
      <c r="Y164" s="38" t="s">
        <v>463</v>
      </c>
    </row>
    <row r="165" spans="2:25" ht="25.5">
      <c r="B165" s="39" t="s">
        <v>1347</v>
      </c>
      <c r="C165" s="39" t="s">
        <v>558</v>
      </c>
      <c r="D165" s="39"/>
      <c r="E165" s="254" t="s">
        <v>1852</v>
      </c>
      <c r="F165" s="254" t="s">
        <v>1851</v>
      </c>
      <c r="G165" s="38"/>
      <c r="I165" s="38"/>
      <c r="J165" s="38"/>
      <c r="K165" s="38"/>
      <c r="L165" s="44" t="s">
        <v>884</v>
      </c>
      <c r="M165" s="43">
        <v>32182</v>
      </c>
      <c r="X165" s="38" t="s">
        <v>466</v>
      </c>
      <c r="Y165" s="38" t="s">
        <v>465</v>
      </c>
    </row>
    <row r="166" spans="2:25">
      <c r="B166" s="39" t="s">
        <v>1348</v>
      </c>
      <c r="C166" s="39" t="s">
        <v>557</v>
      </c>
      <c r="D166" s="39"/>
      <c r="E166" s="254" t="s">
        <v>1854</v>
      </c>
      <c r="F166" s="254" t="s">
        <v>1853</v>
      </c>
      <c r="G166" s="38"/>
      <c r="I166" s="38"/>
      <c r="J166" s="38"/>
      <c r="K166" s="38"/>
      <c r="L166" s="42" t="s">
        <v>885</v>
      </c>
      <c r="M166" s="41">
        <v>322</v>
      </c>
      <c r="X166" s="38" t="s">
        <v>468</v>
      </c>
      <c r="Y166" s="38" t="s">
        <v>467</v>
      </c>
    </row>
    <row r="167" spans="2:25" ht="26.25">
      <c r="B167" s="39" t="s">
        <v>1349</v>
      </c>
      <c r="C167" s="39" t="s">
        <v>556</v>
      </c>
      <c r="D167" s="39"/>
      <c r="E167" s="254" t="s">
        <v>1856</v>
      </c>
      <c r="F167" s="254" t="s">
        <v>1855</v>
      </c>
      <c r="G167" s="38"/>
      <c r="I167" s="38"/>
      <c r="J167" s="38"/>
      <c r="K167" s="38"/>
      <c r="L167" s="44" t="s">
        <v>886</v>
      </c>
      <c r="M167" s="43">
        <v>32210</v>
      </c>
      <c r="X167" s="38" t="s">
        <v>470</v>
      </c>
      <c r="Y167" s="38" t="s">
        <v>469</v>
      </c>
    </row>
    <row r="168" spans="2:25" ht="25.5">
      <c r="B168" s="39" t="s">
        <v>1350</v>
      </c>
      <c r="C168" s="39" t="s">
        <v>555</v>
      </c>
      <c r="D168" s="39"/>
      <c r="E168" s="254" t="s">
        <v>1858</v>
      </c>
      <c r="F168" s="254" t="s">
        <v>1857</v>
      </c>
      <c r="G168" s="38"/>
      <c r="I168" s="38"/>
      <c r="J168" s="38"/>
      <c r="K168" s="38"/>
      <c r="L168" s="44" t="s">
        <v>887</v>
      </c>
      <c r="M168" s="43">
        <v>32220</v>
      </c>
      <c r="X168" s="38" t="s">
        <v>472</v>
      </c>
      <c r="Y168" s="38" t="s">
        <v>471</v>
      </c>
    </row>
    <row r="169" spans="2:25">
      <c r="B169" s="39" t="s">
        <v>1351</v>
      </c>
      <c r="C169" s="39" t="s">
        <v>554</v>
      </c>
      <c r="D169" s="39"/>
      <c r="E169" s="254" t="s">
        <v>1860</v>
      </c>
      <c r="F169" s="254" t="s">
        <v>1859</v>
      </c>
      <c r="G169" s="36"/>
      <c r="I169" s="36"/>
      <c r="L169" s="44" t="s">
        <v>888</v>
      </c>
      <c r="M169" s="43">
        <v>32261</v>
      </c>
    </row>
    <row r="170" spans="2:25">
      <c r="B170" s="39" t="s">
        <v>1194</v>
      </c>
      <c r="C170" s="39" t="s">
        <v>553</v>
      </c>
      <c r="D170" s="39"/>
      <c r="E170" s="254" t="s">
        <v>1862</v>
      </c>
      <c r="F170" s="254" t="s">
        <v>1861</v>
      </c>
      <c r="G170" s="36"/>
      <c r="I170" s="36"/>
      <c r="L170" s="44" t="s">
        <v>889</v>
      </c>
      <c r="M170" s="43">
        <v>32262</v>
      </c>
    </row>
    <row r="171" spans="2:25">
      <c r="B171" s="39" t="s">
        <v>1352</v>
      </c>
      <c r="C171" s="39" t="s">
        <v>552</v>
      </c>
      <c r="D171" s="39"/>
      <c r="E171" s="254" t="s">
        <v>1864</v>
      </c>
      <c r="F171" s="254" t="s">
        <v>1863</v>
      </c>
      <c r="G171" s="36"/>
      <c r="I171" s="36"/>
      <c r="L171" s="44" t="s">
        <v>890</v>
      </c>
      <c r="M171" s="43">
        <v>32263</v>
      </c>
    </row>
    <row r="172" spans="2:25" ht="26.25">
      <c r="B172" s="39" t="s">
        <v>1353</v>
      </c>
      <c r="C172" s="39" t="s">
        <v>551</v>
      </c>
      <c r="D172" s="39"/>
      <c r="E172" s="254" t="s">
        <v>1866</v>
      </c>
      <c r="F172" s="254" t="s">
        <v>1865</v>
      </c>
      <c r="G172" s="36"/>
      <c r="I172" s="36"/>
      <c r="L172" s="44" t="s">
        <v>891</v>
      </c>
      <c r="M172" s="43">
        <v>32264</v>
      </c>
    </row>
    <row r="173" spans="2:25">
      <c r="B173" s="39" t="s">
        <v>1354</v>
      </c>
      <c r="C173" s="39" t="s">
        <v>550</v>
      </c>
      <c r="D173" s="39"/>
      <c r="E173" s="254" t="s">
        <v>1868</v>
      </c>
      <c r="F173" s="254" t="s">
        <v>1867</v>
      </c>
      <c r="G173" s="36"/>
      <c r="I173" s="36"/>
      <c r="L173" s="44" t="s">
        <v>892</v>
      </c>
      <c r="M173" s="43">
        <v>32265</v>
      </c>
    </row>
    <row r="174" spans="2:25">
      <c r="B174" s="39" t="s">
        <v>1355</v>
      </c>
      <c r="C174" s="39" t="s">
        <v>549</v>
      </c>
      <c r="D174" s="39"/>
      <c r="E174" s="254" t="s">
        <v>1870</v>
      </c>
      <c r="F174" s="254" t="s">
        <v>1869</v>
      </c>
      <c r="G174" s="36"/>
      <c r="I174" s="36"/>
      <c r="L174" s="44" t="s">
        <v>893</v>
      </c>
      <c r="M174" s="43">
        <v>32266</v>
      </c>
    </row>
    <row r="175" spans="2:25">
      <c r="B175" s="39" t="s">
        <v>1356</v>
      </c>
      <c r="C175" s="39" t="s">
        <v>548</v>
      </c>
      <c r="D175" s="39"/>
      <c r="E175" s="254" t="s">
        <v>1872</v>
      </c>
      <c r="F175" s="254" t="s">
        <v>1871</v>
      </c>
      <c r="G175" s="36"/>
      <c r="I175" s="36"/>
      <c r="L175" s="44" t="s">
        <v>894</v>
      </c>
      <c r="M175" s="43">
        <v>32267</v>
      </c>
    </row>
    <row r="176" spans="2:25">
      <c r="B176" s="39" t="s">
        <v>1357</v>
      </c>
      <c r="C176" s="39" t="s">
        <v>547</v>
      </c>
      <c r="D176" s="39"/>
      <c r="E176" s="254" t="s">
        <v>1874</v>
      </c>
      <c r="F176" s="254" t="s">
        <v>1873</v>
      </c>
      <c r="G176" s="36"/>
      <c r="I176" s="36"/>
      <c r="L176" s="44" t="s">
        <v>895</v>
      </c>
      <c r="M176" s="43">
        <v>32268</v>
      </c>
    </row>
    <row r="177" spans="2:13">
      <c r="B177" s="39" t="s">
        <v>1358</v>
      </c>
      <c r="C177" s="39" t="s">
        <v>546</v>
      </c>
      <c r="D177" s="39"/>
      <c r="E177" s="254" t="s">
        <v>1876</v>
      </c>
      <c r="F177" s="254" t="s">
        <v>1875</v>
      </c>
      <c r="G177" s="36"/>
      <c r="I177" s="36"/>
      <c r="L177" s="42" t="s">
        <v>896</v>
      </c>
      <c r="M177" s="41">
        <v>323</v>
      </c>
    </row>
    <row r="178" spans="2:13" ht="25.5">
      <c r="B178" s="39" t="s">
        <v>1359</v>
      </c>
      <c r="C178" s="39" t="s">
        <v>545</v>
      </c>
      <c r="D178" s="39"/>
      <c r="E178" s="254" t="s">
        <v>1878</v>
      </c>
      <c r="F178" s="254" t="s">
        <v>1877</v>
      </c>
      <c r="G178" s="36"/>
      <c r="I178" s="36"/>
      <c r="L178" s="44" t="s">
        <v>897</v>
      </c>
      <c r="M178" s="43">
        <v>32310</v>
      </c>
    </row>
    <row r="179" spans="2:13" ht="25.5">
      <c r="B179" s="39" t="s">
        <v>1360</v>
      </c>
      <c r="C179" s="39" t="s">
        <v>544</v>
      </c>
      <c r="D179" s="39"/>
      <c r="E179" s="254" t="s">
        <v>1880</v>
      </c>
      <c r="F179" s="254" t="s">
        <v>1879</v>
      </c>
      <c r="G179" s="36"/>
      <c r="I179" s="36"/>
      <c r="L179" s="42" t="s">
        <v>898</v>
      </c>
      <c r="M179" s="41">
        <v>331</v>
      </c>
    </row>
    <row r="180" spans="2:13" ht="25.5">
      <c r="B180" s="39" t="s">
        <v>1361</v>
      </c>
      <c r="C180" s="39" t="s">
        <v>543</v>
      </c>
      <c r="D180" s="39"/>
      <c r="E180" s="254" t="s">
        <v>1882</v>
      </c>
      <c r="F180" s="254" t="s">
        <v>1881</v>
      </c>
      <c r="G180" s="36"/>
      <c r="I180" s="36"/>
      <c r="L180" s="44" t="s">
        <v>899</v>
      </c>
      <c r="M180" s="43">
        <v>33110</v>
      </c>
    </row>
    <row r="181" spans="2:13">
      <c r="B181" s="39" t="s">
        <v>1362</v>
      </c>
      <c r="C181" s="39" t="s">
        <v>542</v>
      </c>
      <c r="D181" s="39"/>
      <c r="E181" s="254" t="s">
        <v>1884</v>
      </c>
      <c r="F181" s="254" t="s">
        <v>1883</v>
      </c>
      <c r="G181" s="36"/>
      <c r="I181" s="36"/>
      <c r="L181" s="44" t="s">
        <v>900</v>
      </c>
      <c r="M181" s="43">
        <v>33120</v>
      </c>
    </row>
    <row r="182" spans="2:13" ht="25.5">
      <c r="B182" s="39" t="s">
        <v>1363</v>
      </c>
      <c r="C182" s="39" t="s">
        <v>541</v>
      </c>
      <c r="D182" s="39"/>
      <c r="E182" s="254" t="s">
        <v>1886</v>
      </c>
      <c r="F182" s="254" t="s">
        <v>1885</v>
      </c>
      <c r="G182" s="36"/>
      <c r="I182" s="36"/>
      <c r="L182" s="44" t="s">
        <v>901</v>
      </c>
      <c r="M182" s="43">
        <v>33130</v>
      </c>
    </row>
    <row r="183" spans="2:13">
      <c r="B183" s="39" t="s">
        <v>1364</v>
      </c>
      <c r="C183" s="39" t="s">
        <v>540</v>
      </c>
      <c r="D183" s="39"/>
      <c r="E183" s="254" t="s">
        <v>1888</v>
      </c>
      <c r="F183" s="254" t="s">
        <v>1887</v>
      </c>
      <c r="G183" s="36"/>
      <c r="I183" s="36"/>
      <c r="L183" s="44" t="s">
        <v>902</v>
      </c>
      <c r="M183" s="43">
        <v>33140</v>
      </c>
    </row>
    <row r="184" spans="2:13">
      <c r="B184" s="39" t="s">
        <v>1365</v>
      </c>
      <c r="C184" s="39" t="s">
        <v>539</v>
      </c>
      <c r="D184" s="39"/>
      <c r="E184" s="39"/>
      <c r="F184" s="39"/>
      <c r="G184" s="36"/>
      <c r="I184" s="36"/>
      <c r="L184" s="44" t="s">
        <v>903</v>
      </c>
      <c r="M184" s="43">
        <v>33150</v>
      </c>
    </row>
    <row r="185" spans="2:13">
      <c r="B185" s="39" t="s">
        <v>1366</v>
      </c>
      <c r="C185" s="39" t="s">
        <v>538</v>
      </c>
      <c r="D185" s="39"/>
      <c r="E185" s="39"/>
      <c r="F185" s="39"/>
      <c r="G185" s="36"/>
      <c r="I185" s="36"/>
      <c r="L185" s="44" t="s">
        <v>904</v>
      </c>
      <c r="M185" s="43">
        <v>33181</v>
      </c>
    </row>
    <row r="186" spans="2:13">
      <c r="B186" s="39" t="s">
        <v>1195</v>
      </c>
      <c r="C186" s="39" t="s">
        <v>537</v>
      </c>
      <c r="D186" s="39"/>
      <c r="E186" s="39"/>
      <c r="F186" s="39"/>
      <c r="G186" s="36"/>
      <c r="I186" s="36"/>
      <c r="L186" s="42" t="s">
        <v>905</v>
      </c>
      <c r="M186" s="41">
        <v>332</v>
      </c>
    </row>
    <row r="187" spans="2:13" ht="25.5">
      <c r="B187" s="39" t="s">
        <v>1367</v>
      </c>
      <c r="C187" s="39" t="s">
        <v>536</v>
      </c>
      <c r="D187" s="39"/>
      <c r="E187" s="39"/>
      <c r="F187" s="39"/>
      <c r="G187" s="36"/>
      <c r="I187" s="36"/>
      <c r="L187" s="44" t="s">
        <v>906</v>
      </c>
      <c r="M187" s="43">
        <v>33210</v>
      </c>
    </row>
    <row r="188" spans="2:13" ht="39">
      <c r="B188" s="39" t="s">
        <v>721</v>
      </c>
      <c r="C188" s="39" t="s">
        <v>535</v>
      </c>
      <c r="D188" s="39"/>
      <c r="E188" s="39"/>
      <c r="F188" s="39"/>
      <c r="G188" s="36"/>
      <c r="I188" s="36"/>
      <c r="L188" s="42" t="s">
        <v>907</v>
      </c>
      <c r="M188" s="41">
        <v>400</v>
      </c>
    </row>
    <row r="189" spans="2:13">
      <c r="B189" s="39" t="s">
        <v>1368</v>
      </c>
      <c r="C189" s="39" t="s">
        <v>534</v>
      </c>
      <c r="D189" s="39"/>
      <c r="E189" s="39"/>
      <c r="F189" s="39"/>
      <c r="G189" s="36"/>
      <c r="I189" s="36"/>
      <c r="L189" s="44" t="s">
        <v>908</v>
      </c>
      <c r="M189" s="43">
        <v>410</v>
      </c>
    </row>
    <row r="190" spans="2:13" ht="25.5">
      <c r="B190" s="39" t="s">
        <v>1369</v>
      </c>
      <c r="C190" s="39" t="s">
        <v>533</v>
      </c>
      <c r="D190" s="39"/>
      <c r="E190" s="39"/>
      <c r="F190" s="39"/>
      <c r="G190" s="36"/>
      <c r="I190" s="36"/>
      <c r="L190" s="44" t="s">
        <v>909</v>
      </c>
      <c r="M190" s="43">
        <v>41010</v>
      </c>
    </row>
    <row r="191" spans="2:13" ht="26.25">
      <c r="B191" s="39" t="s">
        <v>1370</v>
      </c>
      <c r="C191" s="39" t="s">
        <v>532</v>
      </c>
      <c r="D191" s="39"/>
      <c r="E191" s="39"/>
      <c r="F191" s="39"/>
      <c r="G191" s="36"/>
      <c r="I191" s="36"/>
      <c r="L191" s="44" t="s">
        <v>910</v>
      </c>
      <c r="M191" s="43">
        <v>41020</v>
      </c>
    </row>
    <row r="192" spans="2:13" ht="26.25">
      <c r="B192" s="39" t="s">
        <v>1371</v>
      </c>
      <c r="C192" s="39" t="s">
        <v>531</v>
      </c>
      <c r="D192" s="39"/>
      <c r="E192" s="39"/>
      <c r="F192" s="39"/>
      <c r="G192" s="36"/>
      <c r="I192" s="36"/>
      <c r="L192" s="44" t="s">
        <v>911</v>
      </c>
      <c r="M192" s="43">
        <v>41030</v>
      </c>
    </row>
    <row r="193" spans="2:13" ht="26.25">
      <c r="B193" s="39" t="s">
        <v>1372</v>
      </c>
      <c r="C193" s="39" t="s">
        <v>530</v>
      </c>
      <c r="D193" s="39"/>
      <c r="E193" s="39"/>
      <c r="F193" s="39"/>
      <c r="G193" s="36"/>
      <c r="I193" s="36"/>
      <c r="L193" s="44" t="s">
        <v>912</v>
      </c>
      <c r="M193" s="43">
        <v>41040</v>
      </c>
    </row>
    <row r="194" spans="2:13">
      <c r="B194" s="39" t="s">
        <v>1373</v>
      </c>
      <c r="C194" s="39" t="s">
        <v>529</v>
      </c>
      <c r="D194" s="39"/>
      <c r="E194" s="39"/>
      <c r="F194" s="39"/>
      <c r="G194" s="36"/>
      <c r="I194" s="36"/>
      <c r="L194" s="44" t="s">
        <v>913</v>
      </c>
      <c r="M194" s="43">
        <v>41050</v>
      </c>
    </row>
    <row r="195" spans="2:13">
      <c r="B195" s="39" t="s">
        <v>1374</v>
      </c>
      <c r="C195" s="39" t="s">
        <v>528</v>
      </c>
      <c r="D195" s="39"/>
      <c r="E195" s="39"/>
      <c r="F195" s="39"/>
      <c r="G195" s="36"/>
      <c r="I195" s="36"/>
      <c r="L195" s="44" t="s">
        <v>914</v>
      </c>
      <c r="M195" s="43">
        <v>41081</v>
      </c>
    </row>
    <row r="196" spans="2:13" ht="26.25">
      <c r="B196" s="39" t="s">
        <v>1375</v>
      </c>
      <c r="C196" s="39" t="s">
        <v>527</v>
      </c>
      <c r="D196" s="39"/>
      <c r="E196" s="39"/>
      <c r="F196" s="39"/>
      <c r="G196" s="36"/>
      <c r="I196" s="36"/>
      <c r="L196" s="44" t="s">
        <v>915</v>
      </c>
      <c r="M196" s="43">
        <v>41082</v>
      </c>
    </row>
    <row r="197" spans="2:13">
      <c r="B197" s="39" t="s">
        <v>1376</v>
      </c>
      <c r="C197" s="39" t="s">
        <v>526</v>
      </c>
      <c r="D197" s="39"/>
      <c r="E197" s="39"/>
      <c r="F197" s="39"/>
      <c r="G197" s="36"/>
      <c r="I197" s="36"/>
      <c r="L197" s="44" t="s">
        <v>916</v>
      </c>
      <c r="M197" s="43">
        <v>430</v>
      </c>
    </row>
    <row r="198" spans="2:13">
      <c r="B198" s="39" t="s">
        <v>1377</v>
      </c>
      <c r="C198" s="39" t="s">
        <v>525</v>
      </c>
      <c r="D198" s="39"/>
      <c r="E198" s="39"/>
      <c r="F198" s="39"/>
      <c r="G198" s="36"/>
      <c r="H198" s="36"/>
      <c r="I198" s="36"/>
      <c r="L198" s="44" t="s">
        <v>917</v>
      </c>
      <c r="M198" s="43">
        <v>43010</v>
      </c>
    </row>
    <row r="199" spans="2:13" ht="25.5">
      <c r="B199" s="39" t="s">
        <v>1378</v>
      </c>
      <c r="C199" s="39" t="s">
        <v>524</v>
      </c>
      <c r="D199" s="39"/>
      <c r="E199" s="39"/>
      <c r="F199" s="39"/>
      <c r="G199" s="36"/>
      <c r="H199" s="36"/>
      <c r="I199" s="36"/>
      <c r="L199" s="44" t="s">
        <v>918</v>
      </c>
      <c r="M199" s="43">
        <v>43030</v>
      </c>
    </row>
    <row r="200" spans="2:13">
      <c r="B200" s="39" t="s">
        <v>1379</v>
      </c>
      <c r="C200" s="39" t="s">
        <v>523</v>
      </c>
      <c r="D200" s="39"/>
      <c r="E200" s="39"/>
      <c r="F200" s="39"/>
      <c r="G200" s="36"/>
      <c r="H200" s="36"/>
      <c r="I200" s="36"/>
      <c r="L200" s="44" t="s">
        <v>919</v>
      </c>
      <c r="M200" s="43">
        <v>43040</v>
      </c>
    </row>
    <row r="201" spans="2:13" ht="25.5">
      <c r="B201" s="39" t="s">
        <v>1196</v>
      </c>
      <c r="C201" s="39" t="s">
        <v>522</v>
      </c>
      <c r="D201" s="39"/>
      <c r="E201" s="39"/>
      <c r="F201" s="39"/>
      <c r="G201" s="36"/>
      <c r="H201" s="36"/>
      <c r="I201" s="36"/>
      <c r="L201" s="44" t="s">
        <v>920</v>
      </c>
      <c r="M201" s="43">
        <v>43050</v>
      </c>
    </row>
    <row r="202" spans="2:13">
      <c r="B202" s="39" t="s">
        <v>1380</v>
      </c>
      <c r="C202" s="39" t="s">
        <v>521</v>
      </c>
      <c r="D202" s="39"/>
      <c r="E202" s="39"/>
      <c r="F202" s="39"/>
      <c r="G202" s="36"/>
      <c r="H202" s="36"/>
      <c r="I202" s="36"/>
      <c r="L202" s="44" t="s">
        <v>921</v>
      </c>
      <c r="M202" s="43">
        <v>43081</v>
      </c>
    </row>
    <row r="203" spans="2:13" ht="26.25">
      <c r="B203" s="39" t="s">
        <v>1381</v>
      </c>
      <c r="C203" s="39" t="s">
        <v>520</v>
      </c>
      <c r="D203" s="39"/>
      <c r="E203" s="39"/>
      <c r="F203" s="39"/>
      <c r="G203" s="36"/>
      <c r="H203" s="36"/>
      <c r="I203" s="36"/>
      <c r="L203" s="44" t="s">
        <v>922</v>
      </c>
      <c r="M203" s="43">
        <v>43082</v>
      </c>
    </row>
    <row r="204" spans="2:13" ht="25.5">
      <c r="B204" s="39" t="s">
        <v>1382</v>
      </c>
      <c r="C204" s="39" t="s">
        <v>519</v>
      </c>
      <c r="D204" s="39"/>
      <c r="E204" s="39"/>
      <c r="F204" s="39"/>
      <c r="G204" s="36"/>
      <c r="H204" s="36"/>
      <c r="I204" s="36"/>
      <c r="L204" s="42" t="s">
        <v>923</v>
      </c>
      <c r="M204" s="41">
        <v>500</v>
      </c>
    </row>
    <row r="205" spans="2:13">
      <c r="B205" s="39" t="s">
        <v>1383</v>
      </c>
      <c r="C205" s="39" t="s">
        <v>518</v>
      </c>
      <c r="D205" s="39"/>
      <c r="E205" s="39"/>
      <c r="F205" s="39"/>
      <c r="G205" s="36"/>
      <c r="H205" s="36"/>
      <c r="I205" s="36"/>
      <c r="L205" s="44" t="s">
        <v>924</v>
      </c>
      <c r="M205" s="43">
        <v>510</v>
      </c>
    </row>
    <row r="206" spans="2:13">
      <c r="B206" s="39" t="s">
        <v>1384</v>
      </c>
      <c r="C206" s="39" t="s">
        <v>517</v>
      </c>
      <c r="D206" s="39"/>
      <c r="E206" s="39"/>
      <c r="F206" s="39"/>
      <c r="G206" s="36"/>
      <c r="H206" s="36"/>
      <c r="I206" s="36"/>
      <c r="L206" s="44" t="s">
        <v>924</v>
      </c>
      <c r="M206" s="43">
        <v>51010</v>
      </c>
    </row>
    <row r="207" spans="2:13" ht="25.5">
      <c r="B207" s="39" t="s">
        <v>1385</v>
      </c>
      <c r="C207" s="39" t="s">
        <v>516</v>
      </c>
      <c r="D207" s="39"/>
      <c r="E207" s="39"/>
      <c r="F207" s="39"/>
      <c r="G207" s="36"/>
      <c r="H207" s="36"/>
      <c r="I207" s="36"/>
      <c r="L207" s="44" t="s">
        <v>925</v>
      </c>
      <c r="M207" s="43">
        <v>520</v>
      </c>
    </row>
    <row r="208" spans="2:13" ht="25.5">
      <c r="B208" s="39" t="s">
        <v>1386</v>
      </c>
      <c r="C208" s="39" t="s">
        <v>515</v>
      </c>
      <c r="D208" s="39"/>
      <c r="E208" s="39"/>
      <c r="F208" s="39"/>
      <c r="G208" s="36"/>
      <c r="H208" s="36"/>
      <c r="I208" s="36"/>
      <c r="L208" s="44" t="s">
        <v>926</v>
      </c>
      <c r="M208" s="43">
        <v>52010</v>
      </c>
    </row>
    <row r="209" spans="2:13" ht="39">
      <c r="B209" s="39" t="s">
        <v>722</v>
      </c>
      <c r="C209" s="39" t="s">
        <v>514</v>
      </c>
      <c r="D209" s="39"/>
      <c r="E209" s="39"/>
      <c r="F209" s="39"/>
      <c r="G209" s="36"/>
      <c r="H209" s="36"/>
      <c r="I209" s="36"/>
      <c r="L209" s="44" t="s">
        <v>927</v>
      </c>
      <c r="M209" s="43">
        <v>530</v>
      </c>
    </row>
    <row r="210" spans="2:13">
      <c r="B210" s="39" t="s">
        <v>1387</v>
      </c>
      <c r="C210" s="39" t="s">
        <v>513</v>
      </c>
      <c r="D210" s="39"/>
      <c r="E210" s="39"/>
      <c r="F210" s="39"/>
      <c r="G210" s="36"/>
      <c r="H210" s="36"/>
      <c r="I210" s="36"/>
      <c r="L210" s="44" t="s">
        <v>928</v>
      </c>
      <c r="M210" s="43">
        <v>53030</v>
      </c>
    </row>
    <row r="211" spans="2:13">
      <c r="B211" s="39" t="s">
        <v>1388</v>
      </c>
      <c r="C211" s="39" t="s">
        <v>512</v>
      </c>
      <c r="D211" s="39"/>
      <c r="E211" s="39"/>
      <c r="F211" s="39"/>
      <c r="G211" s="36"/>
      <c r="H211" s="36"/>
      <c r="I211" s="36"/>
      <c r="L211" s="44" t="s">
        <v>929</v>
      </c>
      <c r="M211" s="43">
        <v>53040</v>
      </c>
    </row>
    <row r="212" spans="2:13">
      <c r="B212" s="39" t="s">
        <v>1389</v>
      </c>
      <c r="C212" s="39" t="s">
        <v>511</v>
      </c>
      <c r="D212" s="39"/>
      <c r="E212" s="39"/>
      <c r="F212" s="39"/>
      <c r="G212" s="36"/>
      <c r="H212" s="36"/>
      <c r="I212" s="36"/>
      <c r="L212" s="42" t="s">
        <v>930</v>
      </c>
      <c r="M212" s="41">
        <v>600</v>
      </c>
    </row>
    <row r="213" spans="2:13">
      <c r="B213" s="39" t="s">
        <v>1390</v>
      </c>
      <c r="C213" s="39" t="s">
        <v>510</v>
      </c>
      <c r="D213" s="39"/>
      <c r="E213" s="39"/>
      <c r="F213" s="39"/>
      <c r="G213" s="36"/>
      <c r="H213" s="36"/>
      <c r="I213" s="36"/>
      <c r="L213" s="44" t="s">
        <v>930</v>
      </c>
      <c r="M213" s="43">
        <v>60010</v>
      </c>
    </row>
    <row r="214" spans="2:13" ht="26.25">
      <c r="B214" s="39" t="s">
        <v>1391</v>
      </c>
      <c r="C214" s="39" t="s">
        <v>509</v>
      </c>
      <c r="D214" s="39"/>
      <c r="E214" s="39"/>
      <c r="F214" s="39"/>
      <c r="G214" s="36"/>
      <c r="H214" s="36"/>
      <c r="I214" s="36"/>
      <c r="L214" s="44" t="s">
        <v>931</v>
      </c>
      <c r="M214" s="43">
        <v>60020</v>
      </c>
    </row>
    <row r="215" spans="2:13">
      <c r="B215" s="39" t="s">
        <v>1197</v>
      </c>
      <c r="C215" s="39" t="s">
        <v>508</v>
      </c>
      <c r="D215" s="39"/>
      <c r="E215" s="39"/>
      <c r="F215" s="39"/>
      <c r="G215" s="36"/>
      <c r="H215" s="36"/>
      <c r="I215" s="36"/>
      <c r="L215" s="44" t="s">
        <v>932</v>
      </c>
      <c r="M215" s="43">
        <v>60030</v>
      </c>
    </row>
    <row r="216" spans="2:13">
      <c r="B216" s="39" t="s">
        <v>1392</v>
      </c>
      <c r="C216" s="39" t="s">
        <v>507</v>
      </c>
      <c r="D216" s="39"/>
      <c r="E216" s="39"/>
      <c r="F216" s="39"/>
      <c r="G216" s="36"/>
      <c r="H216" s="36"/>
      <c r="I216" s="36"/>
      <c r="L216" s="44" t="s">
        <v>933</v>
      </c>
      <c r="M216" s="43">
        <v>60040</v>
      </c>
    </row>
    <row r="217" spans="2:13">
      <c r="B217" s="39" t="s">
        <v>1393</v>
      </c>
      <c r="C217" s="39" t="s">
        <v>506</v>
      </c>
      <c r="D217" s="39"/>
      <c r="E217" s="39"/>
      <c r="F217" s="39"/>
      <c r="G217" s="36"/>
      <c r="H217" s="36"/>
      <c r="I217" s="36"/>
      <c r="L217" s="44" t="s">
        <v>934</v>
      </c>
      <c r="M217" s="43">
        <v>60061</v>
      </c>
    </row>
    <row r="218" spans="2:13">
      <c r="B218" s="39" t="s">
        <v>1394</v>
      </c>
      <c r="C218" s="39" t="s">
        <v>505</v>
      </c>
      <c r="D218" s="39"/>
      <c r="E218" s="39"/>
      <c r="F218" s="39"/>
      <c r="G218" s="36"/>
      <c r="H218" s="36"/>
      <c r="I218" s="36"/>
      <c r="L218" s="44" t="s">
        <v>935</v>
      </c>
      <c r="M218" s="43">
        <v>60062</v>
      </c>
    </row>
    <row r="219" spans="2:13" ht="26.25">
      <c r="B219" s="39" t="s">
        <v>1395</v>
      </c>
      <c r="C219" s="39" t="s">
        <v>504</v>
      </c>
      <c r="D219" s="39"/>
      <c r="E219" s="39"/>
      <c r="F219" s="39"/>
      <c r="G219" s="36"/>
      <c r="H219" s="36"/>
      <c r="I219" s="36"/>
      <c r="L219" s="44" t="s">
        <v>936</v>
      </c>
      <c r="M219" s="43">
        <v>60063</v>
      </c>
    </row>
    <row r="220" spans="2:13">
      <c r="B220" s="39" t="s">
        <v>1396</v>
      </c>
      <c r="C220" s="39" t="s">
        <v>503</v>
      </c>
      <c r="D220" s="39"/>
      <c r="E220" s="39"/>
      <c r="F220" s="39"/>
      <c r="G220" s="36"/>
      <c r="H220" s="36"/>
      <c r="I220" s="36"/>
      <c r="L220" s="42" t="s">
        <v>937</v>
      </c>
      <c r="M220" s="41">
        <v>700</v>
      </c>
    </row>
    <row r="221" spans="2:13" ht="26.25">
      <c r="B221" s="39" t="s">
        <v>1198</v>
      </c>
      <c r="C221" s="39" t="s">
        <v>502</v>
      </c>
      <c r="D221" s="39"/>
      <c r="E221" s="39"/>
      <c r="F221" s="39"/>
      <c r="G221" s="36"/>
      <c r="H221" s="36"/>
      <c r="I221" s="36"/>
      <c r="L221" s="44" t="s">
        <v>938</v>
      </c>
      <c r="M221" s="43">
        <v>720</v>
      </c>
    </row>
    <row r="222" spans="2:13" ht="25.5">
      <c r="B222" s="39" t="s">
        <v>1397</v>
      </c>
      <c r="C222" s="39" t="s">
        <v>501</v>
      </c>
      <c r="D222" s="39"/>
      <c r="E222" s="39"/>
      <c r="F222" s="39"/>
      <c r="G222" s="36"/>
      <c r="H222" s="36"/>
      <c r="I222" s="36"/>
      <c r="L222" s="44" t="s">
        <v>939</v>
      </c>
      <c r="M222" s="43">
        <v>72010</v>
      </c>
    </row>
    <row r="223" spans="2:13">
      <c r="B223" s="39" t="s">
        <v>1398</v>
      </c>
      <c r="C223" s="39" t="s">
        <v>500</v>
      </c>
      <c r="D223" s="39"/>
      <c r="E223" s="39"/>
      <c r="F223" s="39"/>
      <c r="G223" s="36"/>
      <c r="H223" s="36"/>
      <c r="I223" s="36"/>
      <c r="L223" s="44" t="s">
        <v>940</v>
      </c>
      <c r="M223" s="43">
        <v>72040</v>
      </c>
    </row>
    <row r="224" spans="2:13" ht="25.5">
      <c r="B224" s="39" t="s">
        <v>1399</v>
      </c>
      <c r="C224" s="39" t="s">
        <v>499</v>
      </c>
      <c r="D224" s="39"/>
      <c r="E224" s="39"/>
      <c r="F224" s="39"/>
      <c r="G224" s="36"/>
      <c r="H224" s="36"/>
      <c r="I224" s="36"/>
      <c r="L224" s="44" t="s">
        <v>941</v>
      </c>
      <c r="M224" s="43">
        <v>72050</v>
      </c>
    </row>
    <row r="225" spans="2:13" ht="25.5">
      <c r="B225" s="39" t="s">
        <v>1400</v>
      </c>
      <c r="C225" s="39" t="s">
        <v>498</v>
      </c>
      <c r="D225" s="39"/>
      <c r="E225" s="39"/>
      <c r="F225" s="39"/>
      <c r="G225" s="36"/>
      <c r="H225" s="36"/>
      <c r="I225" s="36"/>
      <c r="L225" s="44" t="s">
        <v>942</v>
      </c>
      <c r="M225" s="43">
        <v>730</v>
      </c>
    </row>
    <row r="226" spans="2:13" ht="25.5">
      <c r="B226" s="39" t="s">
        <v>1401</v>
      </c>
      <c r="C226" s="39" t="s">
        <v>497</v>
      </c>
      <c r="D226" s="39"/>
      <c r="E226" s="39"/>
      <c r="F226" s="39"/>
      <c r="G226" s="36"/>
      <c r="H226" s="36"/>
      <c r="I226" s="36"/>
      <c r="L226" s="44" t="s">
        <v>942</v>
      </c>
      <c r="M226" s="43">
        <v>73010</v>
      </c>
    </row>
    <row r="227" spans="2:13" ht="25.5">
      <c r="B227" s="39" t="s">
        <v>1402</v>
      </c>
      <c r="C227" s="39" t="s">
        <v>496</v>
      </c>
      <c r="D227" s="39"/>
      <c r="E227" s="39"/>
      <c r="F227" s="39"/>
      <c r="G227" s="36"/>
      <c r="H227" s="36"/>
      <c r="I227" s="36"/>
      <c r="L227" s="44" t="s">
        <v>943</v>
      </c>
      <c r="M227" s="43">
        <v>740</v>
      </c>
    </row>
    <row r="228" spans="2:13" ht="25.5">
      <c r="B228" s="39" t="s">
        <v>1403</v>
      </c>
      <c r="C228" s="39" t="s">
        <v>495</v>
      </c>
      <c r="D228" s="39"/>
      <c r="E228" s="39"/>
      <c r="F228" s="39"/>
      <c r="G228" s="36"/>
      <c r="H228" s="36"/>
      <c r="I228" s="36"/>
      <c r="L228" s="44" t="s">
        <v>943</v>
      </c>
      <c r="M228" s="43">
        <v>74010</v>
      </c>
    </row>
    <row r="229" spans="2:13">
      <c r="B229" s="39" t="s">
        <v>1404</v>
      </c>
      <c r="C229" s="39" t="s">
        <v>494</v>
      </c>
      <c r="D229" s="39"/>
      <c r="E229" s="39"/>
      <c r="F229" s="39"/>
      <c r="G229" s="36"/>
      <c r="H229" s="36"/>
      <c r="I229" s="36"/>
      <c r="L229" s="42" t="s">
        <v>944</v>
      </c>
      <c r="M229" s="41">
        <v>910</v>
      </c>
    </row>
    <row r="230" spans="2:13">
      <c r="B230" s="39" t="s">
        <v>1405</v>
      </c>
      <c r="C230" s="39" t="s">
        <v>493</v>
      </c>
      <c r="D230" s="39"/>
      <c r="E230" s="39"/>
      <c r="F230" s="39"/>
      <c r="G230" s="36"/>
      <c r="H230" s="36"/>
      <c r="I230" s="36"/>
      <c r="L230" s="44" t="s">
        <v>945</v>
      </c>
      <c r="M230" s="43">
        <v>91010</v>
      </c>
    </row>
    <row r="231" spans="2:13" ht="26.25">
      <c r="B231" s="39" t="s">
        <v>1406</v>
      </c>
      <c r="C231" s="39" t="s">
        <v>492</v>
      </c>
      <c r="D231" s="39"/>
      <c r="E231" s="39"/>
      <c r="F231" s="39"/>
      <c r="G231" s="36"/>
      <c r="H231" s="36"/>
      <c r="I231" s="36"/>
      <c r="L231" s="42" t="s">
        <v>946</v>
      </c>
      <c r="M231" s="41">
        <v>920</v>
      </c>
    </row>
    <row r="232" spans="2:13">
      <c r="B232" s="39" t="s">
        <v>1407</v>
      </c>
      <c r="C232" s="39" t="s">
        <v>491</v>
      </c>
      <c r="D232" s="39"/>
      <c r="E232" s="39"/>
      <c r="F232" s="39"/>
      <c r="G232" s="36"/>
      <c r="H232" s="36"/>
      <c r="I232" s="36"/>
      <c r="L232" s="44" t="s">
        <v>947</v>
      </c>
      <c r="M232" s="43">
        <v>92010</v>
      </c>
    </row>
    <row r="233" spans="2:13">
      <c r="B233" s="39" t="s">
        <v>1199</v>
      </c>
      <c r="C233" s="39" t="s">
        <v>490</v>
      </c>
      <c r="D233" s="39"/>
      <c r="E233" s="39"/>
      <c r="F233" s="39"/>
      <c r="G233" s="36"/>
      <c r="H233" s="36"/>
      <c r="I233" s="36"/>
      <c r="L233" s="44" t="s">
        <v>948</v>
      </c>
      <c r="M233" s="43">
        <v>92020</v>
      </c>
    </row>
    <row r="234" spans="2:13" ht="25.5">
      <c r="B234" s="39" t="s">
        <v>1408</v>
      </c>
      <c r="C234" s="39" t="s">
        <v>489</v>
      </c>
      <c r="D234" s="39"/>
      <c r="E234" s="39"/>
      <c r="F234" s="39"/>
      <c r="G234" s="36"/>
      <c r="H234" s="36"/>
      <c r="I234" s="36"/>
      <c r="L234" s="44" t="s">
        <v>949</v>
      </c>
      <c r="M234" s="43">
        <v>92030</v>
      </c>
    </row>
    <row r="235" spans="2:13" ht="26.25">
      <c r="B235" s="39" t="s">
        <v>1409</v>
      </c>
      <c r="C235" s="39" t="s">
        <v>488</v>
      </c>
      <c r="D235" s="39"/>
      <c r="E235" s="39"/>
      <c r="F235" s="39"/>
      <c r="G235" s="36"/>
      <c r="H235" s="36"/>
      <c r="I235" s="36"/>
      <c r="L235" s="42" t="s">
        <v>950</v>
      </c>
      <c r="M235" s="41">
        <v>930</v>
      </c>
    </row>
    <row r="236" spans="2:13">
      <c r="B236" s="39" t="s">
        <v>1178</v>
      </c>
      <c r="C236" s="39" t="s">
        <v>487</v>
      </c>
      <c r="D236" s="39"/>
      <c r="E236" s="39"/>
      <c r="F236" s="39"/>
      <c r="G236" s="36"/>
      <c r="H236" s="36"/>
      <c r="I236" s="36"/>
      <c r="L236" s="44" t="s">
        <v>950</v>
      </c>
      <c r="M236" s="43">
        <v>93010</v>
      </c>
    </row>
    <row r="237" spans="2:13">
      <c r="B237" s="39" t="s">
        <v>1410</v>
      </c>
      <c r="C237" s="39" t="s">
        <v>486</v>
      </c>
      <c r="D237" s="39"/>
      <c r="E237" s="39"/>
      <c r="F237" s="39"/>
      <c r="G237" s="36"/>
      <c r="H237" s="36"/>
      <c r="I237" s="36"/>
      <c r="L237" s="42" t="s">
        <v>951</v>
      </c>
      <c r="M237" s="41">
        <v>998</v>
      </c>
    </row>
    <row r="238" spans="2:13" ht="26.25">
      <c r="B238" s="39" t="s">
        <v>1411</v>
      </c>
      <c r="C238" s="39" t="s">
        <v>485</v>
      </c>
      <c r="D238" s="39"/>
      <c r="E238" s="39"/>
      <c r="F238" s="39"/>
      <c r="G238" s="36"/>
      <c r="H238" s="36"/>
      <c r="I238" s="36"/>
      <c r="L238" s="44" t="s">
        <v>952</v>
      </c>
      <c r="M238" s="43">
        <v>99810</v>
      </c>
    </row>
    <row r="239" spans="2:13" ht="25.5">
      <c r="B239" s="39" t="s">
        <v>1412</v>
      </c>
      <c r="C239" s="39" t="s">
        <v>484</v>
      </c>
      <c r="D239" s="39"/>
      <c r="E239" s="39"/>
      <c r="F239" s="39"/>
      <c r="G239" s="36"/>
      <c r="H239" s="36"/>
      <c r="I239" s="36"/>
      <c r="L239" s="44" t="s">
        <v>953</v>
      </c>
      <c r="M239" s="43">
        <v>99820</v>
      </c>
    </row>
    <row r="240" spans="2:13">
      <c r="B240" s="39" t="s">
        <v>1413</v>
      </c>
      <c r="C240" s="39" t="s">
        <v>483</v>
      </c>
      <c r="D240" s="39"/>
      <c r="E240" s="39"/>
      <c r="F240" s="39"/>
      <c r="G240" s="36"/>
      <c r="H240" s="36"/>
      <c r="I240" s="36"/>
      <c r="L240"/>
    </row>
    <row r="241" spans="2:12">
      <c r="B241" s="39" t="s">
        <v>1414</v>
      </c>
      <c r="C241" s="39" t="s">
        <v>482</v>
      </c>
      <c r="D241" s="39"/>
      <c r="E241" s="39"/>
      <c r="F241" s="39"/>
      <c r="G241" s="36"/>
      <c r="H241" s="36"/>
      <c r="I241" s="36"/>
      <c r="L241"/>
    </row>
    <row r="242" spans="2:12" ht="26.25">
      <c r="B242" s="39" t="s">
        <v>1415</v>
      </c>
      <c r="C242" s="39" t="s">
        <v>481</v>
      </c>
      <c r="D242" s="39"/>
      <c r="E242" s="39"/>
      <c r="F242" s="39"/>
      <c r="G242" s="36"/>
      <c r="H242" s="36"/>
      <c r="I242" s="36"/>
      <c r="L242"/>
    </row>
    <row r="243" spans="2:12">
      <c r="B243" s="39" t="s">
        <v>1416</v>
      </c>
      <c r="C243" s="39" t="s">
        <v>480</v>
      </c>
      <c r="D243" s="39"/>
      <c r="E243" s="39"/>
      <c r="F243" s="39"/>
      <c r="G243" s="36"/>
      <c r="H243" s="36"/>
      <c r="I243" s="36"/>
      <c r="L243"/>
    </row>
    <row r="244" spans="2:12">
      <c r="B244" s="39" t="s">
        <v>1417</v>
      </c>
      <c r="C244" s="39" t="s">
        <v>479</v>
      </c>
      <c r="D244" s="39"/>
      <c r="E244" s="39"/>
      <c r="F244" s="39"/>
      <c r="G244" s="36"/>
      <c r="H244" s="36"/>
      <c r="I244" s="36"/>
      <c r="L244"/>
    </row>
    <row r="245" spans="2:12">
      <c r="B245" s="39" t="s">
        <v>1418</v>
      </c>
      <c r="C245" s="39" t="s">
        <v>478</v>
      </c>
      <c r="D245" s="39"/>
      <c r="E245" s="39"/>
      <c r="F245" s="39"/>
      <c r="G245" s="36"/>
      <c r="H245" s="36"/>
      <c r="I245" s="36"/>
      <c r="L245"/>
    </row>
    <row r="246" spans="2:12">
      <c r="B246" s="39" t="s">
        <v>1419</v>
      </c>
      <c r="C246" s="39" t="s">
        <v>477</v>
      </c>
      <c r="D246" s="39"/>
      <c r="E246" s="39"/>
      <c r="F246" s="39"/>
      <c r="G246" s="36"/>
      <c r="H246" s="36"/>
      <c r="I246" s="36"/>
      <c r="L246"/>
    </row>
    <row r="247" spans="2:12">
      <c r="B247" s="39" t="s">
        <v>1420</v>
      </c>
      <c r="C247" s="39" t="s">
        <v>476</v>
      </c>
      <c r="D247" s="39"/>
      <c r="E247" s="39"/>
      <c r="F247" s="39"/>
      <c r="G247" s="36"/>
      <c r="H247" s="36"/>
      <c r="I247" s="36"/>
      <c r="L247"/>
    </row>
    <row r="248" spans="2:12">
      <c r="B248" s="39" t="s">
        <v>1421</v>
      </c>
      <c r="C248" s="39" t="s">
        <v>475</v>
      </c>
      <c r="D248" s="39"/>
      <c r="E248" s="39"/>
      <c r="F248" s="39"/>
      <c r="G248" s="36"/>
      <c r="H248" s="36"/>
      <c r="I248" s="36"/>
      <c r="L248"/>
    </row>
    <row r="249" spans="2:12">
      <c r="B249" s="39" t="s">
        <v>1200</v>
      </c>
      <c r="C249" s="39" t="s">
        <v>474</v>
      </c>
      <c r="D249" s="39"/>
      <c r="E249" s="39"/>
      <c r="F249" s="39"/>
      <c r="G249" s="36"/>
      <c r="H249" s="36"/>
      <c r="I249" s="36"/>
      <c r="L249"/>
    </row>
    <row r="250" spans="2:12">
      <c r="B250" s="39" t="s">
        <v>1422</v>
      </c>
      <c r="C250" s="39" t="s">
        <v>473</v>
      </c>
      <c r="D250" s="39"/>
      <c r="E250" s="39"/>
      <c r="F250" s="39"/>
      <c r="G250" s="36"/>
      <c r="H250" s="36"/>
      <c r="I250" s="36"/>
      <c r="L250"/>
    </row>
  </sheetData>
  <dataConsolidate/>
  <mergeCells count="1">
    <mergeCell ref="T13:T14"/>
  </mergeCells>
  <dataValidations count="6">
    <dataValidation type="list" allowBlank="1" showInputMessage="1" showErrorMessage="1" sqref="H9">
      <formula1>INDIRECT(I9)</formula1>
    </dataValidation>
    <dataValidation type="list" allowBlank="1" showInputMessage="1" showErrorMessage="1" sqref="I10">
      <formula1>INDIRECT(VLOOKUP(J7,Name_Table_Sector_Vocab,2,FALSE))</formula1>
    </dataValidation>
    <dataValidation type="list" allowBlank="1" showInputMessage="1" showErrorMessage="1" sqref="I8">
      <formula1>INDIRECT(J6)</formula1>
    </dataValidation>
    <dataValidation type="list" allowBlank="1" showInputMessage="1" showErrorMessage="1" sqref="I11">
      <formula1>INDIRECT("List_DAC_Sector")</formula1>
    </dataValidation>
    <dataValidation type="list" allowBlank="1" showInputMessage="1" showErrorMessage="1" sqref="H10">
      <formula1>INDIRECT($J$7)</formula1>
    </dataValidation>
    <dataValidation type="list" allowBlank="1" showInputMessage="1" showErrorMessage="1" sqref="G2">
      <formula1>DAC</formula1>
    </dataValidation>
  </dataValidations>
  <pageMargins left="0.7" right="0.7" top="0.75" bottom="0.75" header="0.3" footer="0.3"/>
  <pageSetup paperSize="9" orientation="portrait" verticalDpi="0"/>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WaterAid"/>
  <dimension ref="A2:U26"/>
  <sheetViews>
    <sheetView workbookViewId="0"/>
  </sheetViews>
  <sheetFormatPr defaultRowHeight="15"/>
  <cols>
    <col min="1" max="1" width="6.28515625" customWidth="1"/>
    <col min="2" max="2" width="18.7109375" customWidth="1"/>
    <col min="3" max="3" width="6" customWidth="1"/>
    <col min="4" max="4" width="39.7109375" style="35" customWidth="1"/>
    <col min="5" max="5" width="13.85546875" style="303" customWidth="1"/>
    <col min="6" max="6" width="11.42578125" customWidth="1"/>
    <col min="7" max="7" width="16" customWidth="1"/>
    <col min="8" max="8" width="35" style="35" customWidth="1"/>
    <col min="9" max="9" width="32.140625" style="35" customWidth="1"/>
    <col min="10" max="10" width="27.85546875" customWidth="1"/>
    <col min="11" max="11" width="11.85546875" style="88" customWidth="1"/>
    <col min="12" max="13" width="13.5703125" style="88" customWidth="1"/>
    <col min="14" max="14" width="9.85546875" style="35" customWidth="1"/>
    <col min="15" max="15" width="11.28515625" customWidth="1"/>
    <col min="16" max="16" width="10.7109375" style="36" customWidth="1"/>
    <col min="17" max="18" width="10.7109375" style="315" customWidth="1"/>
    <col min="19" max="19" width="7.85546875" customWidth="1"/>
    <col min="20" max="20" width="15.7109375" customWidth="1"/>
    <col min="21" max="21" width="43.28515625" customWidth="1"/>
  </cols>
  <sheetData>
    <row r="2" spans="1:21" s="35" customFormat="1" ht="60">
      <c r="A2" s="35" t="s">
        <v>1424</v>
      </c>
      <c r="B2" s="35" t="s">
        <v>52</v>
      </c>
      <c r="C2" s="35" t="s">
        <v>1428</v>
      </c>
      <c r="D2" s="35" t="s">
        <v>954</v>
      </c>
      <c r="E2" s="253" t="s">
        <v>1168</v>
      </c>
      <c r="F2" s="35" t="s">
        <v>1429</v>
      </c>
      <c r="G2" s="35" t="s">
        <v>1423</v>
      </c>
      <c r="H2" s="35" t="s">
        <v>14</v>
      </c>
      <c r="I2" s="35" t="s">
        <v>15</v>
      </c>
      <c r="J2" s="35" t="s">
        <v>1153</v>
      </c>
      <c r="K2" s="87" t="s">
        <v>1445</v>
      </c>
      <c r="L2" s="87" t="s">
        <v>1494</v>
      </c>
      <c r="M2" s="35" t="s">
        <v>1430</v>
      </c>
      <c r="N2" s="35" t="s">
        <v>1136</v>
      </c>
      <c r="O2" s="35" t="s">
        <v>1137</v>
      </c>
      <c r="P2" s="35" t="s">
        <v>1427</v>
      </c>
      <c r="Q2" s="316" t="s">
        <v>1910</v>
      </c>
      <c r="R2" s="316" t="s">
        <v>1911</v>
      </c>
      <c r="S2" s="87" t="s">
        <v>1449</v>
      </c>
      <c r="T2" s="87" t="s">
        <v>27</v>
      </c>
      <c r="U2" s="87" t="s">
        <v>14</v>
      </c>
    </row>
    <row r="3" spans="1:21" ht="30">
      <c r="B3" s="35" t="s">
        <v>1178</v>
      </c>
      <c r="C3" s="58" t="s">
        <v>487</v>
      </c>
      <c r="D3" s="35" t="s">
        <v>955</v>
      </c>
      <c r="E3" s="299">
        <v>29677</v>
      </c>
      <c r="G3" t="s">
        <v>106</v>
      </c>
      <c r="H3" s="35" t="s">
        <v>1135</v>
      </c>
      <c r="I3" s="35" t="s">
        <v>125</v>
      </c>
      <c r="J3" t="s">
        <v>1154</v>
      </c>
      <c r="K3" s="88">
        <v>1</v>
      </c>
      <c r="L3" s="88">
        <v>1</v>
      </c>
      <c r="M3"/>
      <c r="N3" t="s">
        <v>1138</v>
      </c>
      <c r="O3" t="s">
        <v>1142</v>
      </c>
      <c r="P3" s="36" t="s">
        <v>1146</v>
      </c>
      <c r="Q3" s="315" t="s">
        <v>1143</v>
      </c>
      <c r="R3" s="317">
        <v>0</v>
      </c>
      <c r="T3" t="s">
        <v>1165</v>
      </c>
      <c r="U3" t="s">
        <v>1448</v>
      </c>
    </row>
    <row r="4" spans="1:21" ht="30">
      <c r="B4" s="35" t="s">
        <v>1179</v>
      </c>
      <c r="C4" s="59" t="s">
        <v>713</v>
      </c>
      <c r="D4" s="35" t="s">
        <v>956</v>
      </c>
      <c r="E4" s="299">
        <v>40269</v>
      </c>
      <c r="G4" t="s">
        <v>107</v>
      </c>
      <c r="H4" s="35" t="s">
        <v>1132</v>
      </c>
      <c r="I4" s="35" t="s">
        <v>126</v>
      </c>
      <c r="J4" t="s">
        <v>1155</v>
      </c>
      <c r="K4" s="88">
        <v>0</v>
      </c>
      <c r="L4" s="88">
        <v>0</v>
      </c>
      <c r="M4"/>
      <c r="N4" t="s">
        <v>1139</v>
      </c>
      <c r="O4" t="s">
        <v>1143</v>
      </c>
      <c r="P4" s="36" t="s">
        <v>1147</v>
      </c>
      <c r="Q4" s="315" t="s">
        <v>1144</v>
      </c>
      <c r="R4" s="317">
        <v>0</v>
      </c>
      <c r="T4" s="91" t="s">
        <v>1173</v>
      </c>
      <c r="U4" s="250" t="s">
        <v>1529</v>
      </c>
    </row>
    <row r="5" spans="1:21" ht="30">
      <c r="B5" s="35" t="s">
        <v>1180</v>
      </c>
      <c r="C5" s="60" t="s">
        <v>701</v>
      </c>
      <c r="D5" s="35" t="s">
        <v>957</v>
      </c>
      <c r="E5" s="299">
        <v>31503</v>
      </c>
      <c r="G5" t="s">
        <v>108</v>
      </c>
      <c r="H5" s="35" t="s">
        <v>1133</v>
      </c>
      <c r="I5" s="35" t="s">
        <v>126</v>
      </c>
      <c r="J5" t="s">
        <v>1155</v>
      </c>
      <c r="K5" s="88">
        <v>1</v>
      </c>
      <c r="L5" s="88">
        <v>0</v>
      </c>
      <c r="M5"/>
      <c r="N5" t="s">
        <v>1140</v>
      </c>
      <c r="O5" t="s">
        <v>1144</v>
      </c>
      <c r="P5" s="36" t="s">
        <v>1148</v>
      </c>
      <c r="Q5" s="318" t="s">
        <v>1145</v>
      </c>
      <c r="R5" s="319">
        <v>0</v>
      </c>
      <c r="T5" t="s">
        <v>1167</v>
      </c>
      <c r="U5" t="s">
        <v>1446</v>
      </c>
    </row>
    <row r="6" spans="1:21" ht="30">
      <c r="B6" s="35" t="s">
        <v>1181</v>
      </c>
      <c r="C6" s="59" t="s">
        <v>684</v>
      </c>
      <c r="D6" s="35" t="s">
        <v>958</v>
      </c>
      <c r="E6" s="299">
        <v>36982</v>
      </c>
      <c r="G6" t="s">
        <v>110</v>
      </c>
      <c r="H6" s="35" t="s">
        <v>1134</v>
      </c>
      <c r="I6" s="35" t="s">
        <v>126</v>
      </c>
      <c r="J6" t="s">
        <v>1154</v>
      </c>
      <c r="K6" s="88">
        <v>1</v>
      </c>
      <c r="L6" s="88">
        <v>1</v>
      </c>
      <c r="M6"/>
      <c r="N6" t="s">
        <v>1141</v>
      </c>
      <c r="O6" t="s">
        <v>1145</v>
      </c>
      <c r="P6" s="36" t="s">
        <v>1149</v>
      </c>
      <c r="Q6" s="315" t="s">
        <v>1142</v>
      </c>
      <c r="R6" s="317">
        <v>1</v>
      </c>
      <c r="T6" t="s">
        <v>1166</v>
      </c>
      <c r="U6" t="s">
        <v>1447</v>
      </c>
    </row>
    <row r="7" spans="1:21" ht="30">
      <c r="B7" s="35" t="s">
        <v>1182</v>
      </c>
      <c r="C7" s="60" t="s">
        <v>649</v>
      </c>
      <c r="D7" s="35" t="s">
        <v>959</v>
      </c>
      <c r="E7" s="299">
        <v>30407</v>
      </c>
      <c r="N7"/>
      <c r="P7"/>
    </row>
    <row r="8" spans="1:21" ht="30">
      <c r="B8" s="35" t="s">
        <v>1177</v>
      </c>
      <c r="C8" s="59" t="s">
        <v>123</v>
      </c>
      <c r="D8" s="35" t="s">
        <v>960</v>
      </c>
      <c r="E8" s="299">
        <v>31138</v>
      </c>
      <c r="N8"/>
      <c r="P8"/>
    </row>
    <row r="9" spans="1:21" ht="30">
      <c r="B9" s="35" t="s">
        <v>1183</v>
      </c>
      <c r="C9" s="60" t="s">
        <v>618</v>
      </c>
      <c r="D9" s="35" t="s">
        <v>961</v>
      </c>
      <c r="E9" s="299">
        <v>31503</v>
      </c>
      <c r="N9"/>
      <c r="O9" s="36"/>
      <c r="P9"/>
    </row>
    <row r="10" spans="1:21" ht="30">
      <c r="B10" s="35" t="s">
        <v>1184</v>
      </c>
      <c r="C10" s="59" t="s">
        <v>605</v>
      </c>
      <c r="D10" s="35" t="s">
        <v>962</v>
      </c>
      <c r="E10" s="299">
        <v>40269</v>
      </c>
      <c r="N10"/>
      <c r="O10" s="36"/>
      <c r="P10"/>
    </row>
    <row r="11" spans="1:21" ht="30">
      <c r="B11" s="35" t="s">
        <v>1185</v>
      </c>
      <c r="C11" s="60" t="s">
        <v>596</v>
      </c>
      <c r="D11" s="35" t="s">
        <v>963</v>
      </c>
      <c r="E11" s="299">
        <v>41000</v>
      </c>
      <c r="N11"/>
      <c r="O11" s="36"/>
      <c r="P11"/>
    </row>
    <row r="12" spans="1:21" ht="30">
      <c r="B12" s="35" t="s">
        <v>1186</v>
      </c>
      <c r="C12" s="59" t="s">
        <v>595</v>
      </c>
      <c r="D12" s="35" t="s">
        <v>964</v>
      </c>
      <c r="E12" s="299">
        <v>40269</v>
      </c>
      <c r="N12"/>
      <c r="P12"/>
    </row>
    <row r="13" spans="1:21">
      <c r="B13" s="35" t="s">
        <v>1187</v>
      </c>
      <c r="C13" s="60" t="s">
        <v>588</v>
      </c>
      <c r="D13" s="35" t="s">
        <v>965</v>
      </c>
      <c r="E13" s="299">
        <v>36251</v>
      </c>
    </row>
    <row r="14" spans="1:21" ht="30">
      <c r="B14" s="35" t="s">
        <v>1188</v>
      </c>
      <c r="C14" s="59" t="s">
        <v>587</v>
      </c>
      <c r="D14" s="35" t="s">
        <v>966</v>
      </c>
      <c r="E14" s="299">
        <v>36251</v>
      </c>
    </row>
    <row r="15" spans="1:21" ht="30">
      <c r="B15" s="35" t="s">
        <v>1189</v>
      </c>
      <c r="C15" s="60" t="s">
        <v>584</v>
      </c>
      <c r="D15" s="35" t="s">
        <v>967</v>
      </c>
      <c r="E15" s="299">
        <v>36617</v>
      </c>
    </row>
    <row r="16" spans="1:21" ht="30">
      <c r="B16" s="35" t="s">
        <v>1190</v>
      </c>
      <c r="C16" s="59" t="s">
        <v>569</v>
      </c>
      <c r="D16" s="35" t="s">
        <v>968</v>
      </c>
      <c r="E16" s="299">
        <v>34790</v>
      </c>
    </row>
    <row r="17" spans="2:5">
      <c r="B17" s="35" t="s">
        <v>1191</v>
      </c>
      <c r="C17" s="60" t="s">
        <v>565</v>
      </c>
      <c r="D17" s="35" t="s">
        <v>969</v>
      </c>
      <c r="E17" s="299">
        <v>31503</v>
      </c>
    </row>
    <row r="18" spans="2:5" ht="30">
      <c r="B18" s="35" t="s">
        <v>1192</v>
      </c>
      <c r="C18" s="59" t="s">
        <v>560</v>
      </c>
      <c r="D18" s="35" t="s">
        <v>970</v>
      </c>
      <c r="E18" s="299">
        <v>39904</v>
      </c>
    </row>
    <row r="19" spans="2:5">
      <c r="B19" s="35" t="s">
        <v>1193</v>
      </c>
      <c r="C19" s="60" t="s">
        <v>559</v>
      </c>
      <c r="D19" s="35" t="s">
        <v>971</v>
      </c>
      <c r="E19" s="299">
        <v>34790</v>
      </c>
    </row>
    <row r="20" spans="2:5" ht="30">
      <c r="B20" s="35" t="s">
        <v>1194</v>
      </c>
      <c r="C20" s="59" t="s">
        <v>553</v>
      </c>
      <c r="D20" s="35" t="s">
        <v>972</v>
      </c>
      <c r="E20" s="299">
        <v>34060</v>
      </c>
    </row>
    <row r="21" spans="2:5" ht="30">
      <c r="B21" s="35" t="s">
        <v>1195</v>
      </c>
      <c r="C21" s="60" t="s">
        <v>537</v>
      </c>
      <c r="D21" s="35" t="s">
        <v>973</v>
      </c>
      <c r="E21" s="299">
        <v>40269</v>
      </c>
    </row>
    <row r="22" spans="2:5" ht="30">
      <c r="B22" s="35" t="s">
        <v>1196</v>
      </c>
      <c r="C22" s="59" t="s">
        <v>522</v>
      </c>
      <c r="D22" s="35" t="s">
        <v>974</v>
      </c>
      <c r="E22" s="299">
        <v>40269</v>
      </c>
    </row>
    <row r="23" spans="2:5" ht="30">
      <c r="B23" s="35" t="s">
        <v>1197</v>
      </c>
      <c r="C23" s="60" t="s">
        <v>508</v>
      </c>
      <c r="D23" s="35" t="s">
        <v>975</v>
      </c>
      <c r="E23" s="299">
        <v>40634</v>
      </c>
    </row>
    <row r="24" spans="2:5" ht="30">
      <c r="B24" s="35" t="s">
        <v>1198</v>
      </c>
      <c r="C24" s="59" t="s">
        <v>502</v>
      </c>
      <c r="D24" s="35" t="s">
        <v>976</v>
      </c>
      <c r="E24" s="299">
        <v>30407</v>
      </c>
    </row>
    <row r="25" spans="2:5" ht="30">
      <c r="B25" s="35" t="s">
        <v>1199</v>
      </c>
      <c r="C25" s="60" t="s">
        <v>490</v>
      </c>
      <c r="D25" s="35" t="s">
        <v>977</v>
      </c>
      <c r="E25" s="299">
        <v>30407</v>
      </c>
    </row>
    <row r="26" spans="2:5" ht="30">
      <c r="B26" s="35" t="s">
        <v>1200</v>
      </c>
      <c r="C26" s="61" t="s">
        <v>474</v>
      </c>
      <c r="D26" s="35" t="s">
        <v>978</v>
      </c>
      <c r="E26" s="299">
        <v>33695</v>
      </c>
    </row>
  </sheetData>
  <dataConsolidate/>
  <pageMargins left="0.7" right="0.7" top="0.75" bottom="0.75" header="0.3" footer="0.3"/>
  <pageSetup paperSize="9"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Prerequisites</vt:lpstr>
      <vt:lpstr>iati-activities</vt:lpstr>
      <vt:lpstr>Activity Main Information</vt:lpstr>
      <vt:lpstr>Activity Dates</vt:lpstr>
      <vt:lpstr>Participating Organisations</vt:lpstr>
      <vt:lpstr>Transactions</vt:lpstr>
      <vt:lpstr>Related Activities</vt:lpstr>
      <vt:lpstr>Codelists</vt:lpstr>
      <vt:lpstr>WaterAid Shortcuts</vt:lpstr>
      <vt:lpstr>Default_Contact_Address</vt:lpstr>
      <vt:lpstr>Default_Contact_Email</vt:lpstr>
      <vt:lpstr>Default_Contact_Type</vt:lpstr>
      <vt:lpstr>Default_Contact_Website</vt:lpstr>
      <vt:lpstr>Default_Default_Aid_Type</vt:lpstr>
      <vt:lpstr>Default_Default_Currency</vt:lpstr>
      <vt:lpstr>Default_Default_Finance_Type</vt:lpstr>
      <vt:lpstr>Default_Default_Flow_Type</vt:lpstr>
      <vt:lpstr>Default_Default_Language_Code</vt:lpstr>
      <vt:lpstr>Default_Description_Type</vt:lpstr>
      <vt:lpstr>Default_Hierarchy</vt:lpstr>
      <vt:lpstr>Default_Recipient_Country</vt:lpstr>
      <vt:lpstr>Default_Sector_code</vt:lpstr>
      <vt:lpstr>Default_Sector_Percentage</vt:lpstr>
      <vt:lpstr>Default_Sector_Vocab</vt:lpstr>
      <vt:lpstr>info_Activity_File</vt:lpstr>
      <vt:lpstr>info_end_range_publish</vt:lpstr>
      <vt:lpstr>info_IATI_standard_version</vt:lpstr>
      <vt:lpstr>info_last_file_update_time</vt:lpstr>
      <vt:lpstr>info_last_update_time</vt:lpstr>
      <vt:lpstr>info_publish_date</vt:lpstr>
      <vt:lpstr>info_reporting_org_name</vt:lpstr>
      <vt:lpstr>info_reporting_org_type</vt:lpstr>
      <vt:lpstr>info_start_range_publish</vt:lpstr>
      <vt:lpstr>List_Activity_Dates</vt:lpstr>
      <vt:lpstr>List_Aid_Type</vt:lpstr>
      <vt:lpstr>List_Contact_Type_Code</vt:lpstr>
      <vt:lpstr>List_Currency</vt:lpstr>
      <vt:lpstr>List_DAC_Sector</vt:lpstr>
      <vt:lpstr>List_Donor_Category</vt:lpstr>
      <vt:lpstr>List_Finance_Type</vt:lpstr>
      <vt:lpstr>List_Flow_Type</vt:lpstr>
      <vt:lpstr>List_In_File</vt:lpstr>
      <vt:lpstr>List_Inter_Activity</vt:lpstr>
      <vt:lpstr>List_Inter_Title</vt:lpstr>
      <vt:lpstr>List_Intra_Activity</vt:lpstr>
      <vt:lpstr>List_Intra_Title</vt:lpstr>
      <vt:lpstr>List_Language_Code</vt:lpstr>
      <vt:lpstr>List_Org</vt:lpstr>
      <vt:lpstr>List_Org_Ref</vt:lpstr>
      <vt:lpstr>List_Org_Role</vt:lpstr>
      <vt:lpstr>List_Org_Type</vt:lpstr>
      <vt:lpstr>List_Provider_Name</vt:lpstr>
      <vt:lpstr>List_Reciever_Name</vt:lpstr>
      <vt:lpstr>List_Related</vt:lpstr>
      <vt:lpstr>List_Sector_Vocab</vt:lpstr>
      <vt:lpstr>List_Status</vt:lpstr>
      <vt:lpstr>List_Tied_Status</vt:lpstr>
      <vt:lpstr>List_Transaction_Type</vt:lpstr>
      <vt:lpstr>List_WA_CP</vt:lpstr>
      <vt:lpstr>Name_Table_In_File</vt:lpstr>
      <vt:lpstr>Name_Table_Sector_Vocab</vt:lpstr>
      <vt:lpstr>'Activity Main Information'!Print_Area</vt:lpstr>
    </vt:vector>
  </TitlesOfParts>
  <Manager>Mike Smith</Manager>
  <Company>WaterAid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XL2XML</dc:title>
  <dc:subject>IATI Aid project data reporting</dc:subject>
  <dc:creator>markstownsend</dc:creator>
  <cp:keywords>IATI WaterAid NGO</cp:keywords>
  <dc:description/>
  <cp:lastModifiedBy>markstownsend</cp:lastModifiedBy>
  <cp:lastPrinted>2013-12-21T09:06:06Z</cp:lastPrinted>
  <dcterms:created xsi:type="dcterms:W3CDTF">2012-07-17T13:15:36Z</dcterms:created>
  <dcterms:modified xsi:type="dcterms:W3CDTF">2015-10-05T14:58:56Z</dcterms:modified>
  <cp:contentStatus>beta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0.9.0.0</vt:lpwstr>
  </property>
</Properties>
</file>